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재료비" sheetId="2" state="visible" r:id="rId2"/>
    <sheet xmlns:r="http://schemas.openxmlformats.org/officeDocument/2006/relationships" name="가공비" sheetId="3" state="visible" r:id="rId3"/>
    <sheet xmlns:r="http://schemas.openxmlformats.org/officeDocument/2006/relationships" name="물류비" sheetId="4" state="visible" r:id="rId4"/>
    <sheet xmlns:r="http://schemas.openxmlformats.org/officeDocument/2006/relationships" name="투자비" sheetId="5" state="visible" r:id="rId5"/>
    <sheet xmlns:r="http://schemas.openxmlformats.org/officeDocument/2006/relationships" name="매출_지역1" sheetId="6" state="visible" r:id="rId6"/>
    <sheet xmlns:r="http://schemas.openxmlformats.org/officeDocument/2006/relationships" name="매출_지역2" sheetId="7" state="visible" r:id="rId7"/>
    <sheet xmlns:r="http://schemas.openxmlformats.org/officeDocument/2006/relationships" name="품질" sheetId="8" state="visible" r:id="rId8"/>
    <sheet xmlns:r="http://schemas.openxmlformats.org/officeDocument/2006/relationships" name="고정비" sheetId="9" state="visible" r:id="rId9"/>
    <sheet xmlns:r="http://schemas.openxmlformats.org/officeDocument/2006/relationships" name="고정비_사업부Control" sheetId="10" state="visible" r:id="rId10"/>
    <sheet xmlns:r="http://schemas.openxmlformats.org/officeDocument/2006/relationships" name="고정비_생산,제판법인Control" sheetId="11" state="visible" r:id="rId11"/>
    <sheet xmlns:r="http://schemas.openxmlformats.org/officeDocument/2006/relationships" name="고정비_UnControl" sheetId="12" state="visible" r:id="rId12"/>
    <sheet xmlns:r="http://schemas.openxmlformats.org/officeDocument/2006/relationships" name="고정비_Rawdata" sheetId="13" state="visible" r:id="rId13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22">
    <numFmt numFmtId="164" formatCode="0_);[Red]\(0\)"/>
    <numFmt numFmtId="165" formatCode="#,##0_ ;[Red]\-#,##0\ "/>
    <numFmt numFmtId="166" formatCode="_-* #,##0_-;\-* #,##0_-;_-* \-_-;_-@_-"/>
    <numFmt numFmtId="167" formatCode="#,##0;[Red]\Δ#,##0"/>
    <numFmt numFmtId="168" formatCode="0.0%"/>
    <numFmt numFmtId="169" formatCode="_-* #,##0.0_-;\-* #,##0.0_-;_-* \-_-;_-@_-"/>
    <numFmt numFmtId="170" formatCode="_-* #,##0.00_-;\-* #,##0.00_-;_-* \-_-;_-@_-"/>
    <numFmt numFmtId="171" formatCode="#,##0.0;[Red]\Δ#,##0.0;\-"/>
    <numFmt numFmtId="172" formatCode="_-* #,##0.0_-;\-* #,##0.0_-;_-* \-??_-;_-@_-"/>
    <numFmt numFmtId="173" formatCode="#,##0.0;[Red]\Δ#,##0.0"/>
    <numFmt numFmtId="174" formatCode="#,##0.00;[Red]\Δ#,##0.00"/>
    <numFmt numFmtId="175" formatCode="0_ ;[Red]\-0\ "/>
    <numFmt numFmtId="176" formatCode="0.00_ ;[Red]\-0.00\ "/>
    <numFmt numFmtId="177" formatCode="_(* #,##0_);_(* \(#,##0\);_(* \-_);_(@_)"/>
    <numFmt numFmtId="178" formatCode="#,##0.0_ ;[Red]\-#,##0.0\ "/>
    <numFmt numFmtId="179" formatCode="#,##0\ ;[Red]\Δ#,##0\ ;&quot;- &quot;"/>
    <numFmt numFmtId="180" formatCode="#,##0.0\ ;[Red]\Δ#,##0.0\ ;&quot;- &quot;"/>
    <numFmt numFmtId="181" formatCode="#,##0.0%\ ;[Red]\Δ#,##0.0%\ ;&quot;- &quot;"/>
    <numFmt numFmtId="182" formatCode="#,##0;[Red]\Δ##,##0"/>
    <numFmt numFmtId="183" formatCode="#,##0.0%;[Red]\Δ#,##0.0%;\-"/>
    <numFmt numFmtId="184" formatCode="#,##0.00;[Red]\Δ##,##0.00"/>
    <numFmt numFmtId="185" formatCode="#,##0.000;[Red]\Δ##,##0.000"/>
  </numFmts>
  <fonts count="23">
    <font>
      <name val="맑은 고딕"/>
      <charset val="129"/>
      <family val="2"/>
      <color theme="1"/>
      <sz val="11"/>
    </font>
    <font>
      <name val="Arial"/>
      <charset val="1"/>
      <family val="2"/>
      <color rgb="FF000000"/>
      <sz val="10"/>
    </font>
    <font>
      <name val="LG스마트체 Regular"/>
      <charset val="129"/>
      <family val="2"/>
      <color theme="1"/>
      <sz val="10"/>
    </font>
    <font>
      <name val="맑은 고딕"/>
      <charset val="1"/>
      <family val="2"/>
      <color theme="1"/>
      <sz val="11"/>
    </font>
    <font>
      <name val="Calibri"/>
      <charset val="1"/>
      <family val="2"/>
      <sz val="11"/>
    </font>
    <font>
      <name val="Arial Narrow"/>
      <charset val="129"/>
      <family val="2"/>
      <color theme="1"/>
      <sz val="10"/>
    </font>
    <font>
      <name val="LG스마트체 Regular"/>
      <charset val="129"/>
      <family val="2"/>
      <color theme="1"/>
      <sz val="11"/>
    </font>
    <font>
      <name val="맑은 고딕"/>
      <charset val="129"/>
      <family val="3"/>
      <sz val="11"/>
    </font>
    <font>
      <name val="Noto Sans CJK SC"/>
      <family val="2"/>
      <sz val="11"/>
    </font>
    <font>
      <name val="맑은 고딕"/>
      <charset val="129"/>
      <family val="3"/>
      <color theme="1"/>
      <sz val="11"/>
    </font>
    <font>
      <name val="Noto Sans CJK SC"/>
      <family val="2"/>
      <color theme="1"/>
      <sz val="11"/>
    </font>
    <font>
      <name val="Arial Narrow"/>
      <charset val="1"/>
      <family val="2"/>
      <sz val="11"/>
    </font>
    <font>
      <name val="Arial Narrow"/>
      <charset val="1"/>
      <family val="2"/>
      <color theme="1"/>
      <sz val="11"/>
    </font>
    <font>
      <name val="LG스마트체 Regular"/>
      <charset val="129"/>
      <family val="3"/>
      <sz val="11"/>
    </font>
    <font>
      <name val="맑은 고딕"/>
      <charset val="129"/>
      <family val="2"/>
      <sz val="11"/>
    </font>
    <font>
      <name val="Arial Narrow"/>
      <charset val="1"/>
      <family val="2"/>
      <b val="1"/>
      <sz val="11"/>
    </font>
    <font>
      <name val="Arial Narrow"/>
      <charset val="129"/>
      <family val="2"/>
      <sz val="11"/>
    </font>
    <font>
      <name val="LG스마트체 Regular"/>
      <charset val="129"/>
      <family val="2"/>
      <sz val="11"/>
    </font>
    <font>
      <name val="WenQuanYi Zen Hei"/>
      <charset val="1"/>
      <family val="2"/>
      <sz val="11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Arial"/>
      <family val="2"/>
      <sz val="11"/>
    </font>
    <font>
      <name val="Noto Sans CJK SC"/>
      <charset val="129"/>
      <family val="3"/>
      <sz val="11"/>
    </font>
  </fonts>
  <fills count="4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C000"/>
        <bgColor rgb="FFFF9900"/>
      </patternFill>
    </fill>
  </fills>
  <borders count="10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dashed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ashed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dashed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ashed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dashed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ashed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dashed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dashed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ashed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ashed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dashed">
        <color auto="1"/>
      </left>
      <right/>
      <top/>
      <bottom style="medium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/>
      <diagonal/>
    </border>
    <border>
      <left style="thin">
        <color theme="1"/>
      </left>
      <right style="dotted">
        <color auto="1"/>
      </right>
      <top/>
      <bottom/>
      <diagonal/>
    </border>
    <border>
      <left/>
      <right style="dashed">
        <color auto="1"/>
      </right>
      <top/>
      <bottom/>
      <diagonal/>
    </border>
    <border>
      <left/>
      <right style="dotted">
        <color auto="1"/>
      </right>
      <top style="medium">
        <color auto="1"/>
      </top>
      <bottom/>
      <diagonal/>
    </border>
    <border>
      <left style="dashed">
        <color auto="1"/>
      </left>
      <right/>
      <top style="medium">
        <color auto="1"/>
      </top>
      <bottom/>
      <diagonal/>
    </border>
    <border>
      <left style="dashed">
        <color auto="1"/>
      </left>
      <right style="dashed">
        <color auto="1"/>
      </right>
      <top style="medium">
        <color auto="1"/>
      </top>
      <bottom/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dashed">
        <color auto="1"/>
      </left>
      <right/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  <border>
      <left/>
      <right style="dashed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 style="dashed">
        <color auto="1"/>
      </left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medium">
        <color auto="1"/>
      </bottom>
      <diagonal/>
    </border>
    <border>
      <left/>
      <right style="dashed">
        <color auto="1"/>
      </right>
      <top/>
      <bottom style="medium">
        <color auto="1"/>
      </bottom>
      <diagonal/>
    </border>
    <border>
      <left/>
      <right style="dotted">
        <color auto="1"/>
      </right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/>
      <right style="dashed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/>
      <top style="medium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20">
    <xf numFmtId="0" fontId="19" fillId="0" borderId="0" applyAlignment="1">
      <alignment vertical="center"/>
    </xf>
    <xf numFmtId="0" fontId="1" fillId="0" borderId="0" applyAlignment="1">
      <alignment vertical="center"/>
    </xf>
    <xf numFmtId="9" fontId="2" fillId="0" borderId="0" applyAlignment="1">
      <alignment vertical="center"/>
    </xf>
    <xf numFmtId="9" fontId="3" fillId="0" borderId="0" applyAlignment="1">
      <alignment vertical="center"/>
    </xf>
    <xf numFmtId="9" fontId="4" fillId="0" borderId="0" applyAlignment="1">
      <alignment vertical="center"/>
    </xf>
    <xf numFmtId="9" fontId="5" fillId="0" borderId="0" applyAlignment="1">
      <alignment vertical="center"/>
    </xf>
    <xf numFmtId="177" fontId="6" fillId="0" borderId="0" applyAlignment="1">
      <alignment vertical="center"/>
    </xf>
    <xf numFmtId="177" fontId="19" fillId="0" borderId="0" applyAlignment="1">
      <alignment vertical="center"/>
    </xf>
    <xf numFmtId="177" fontId="19" fillId="0" borderId="0" applyAlignment="1">
      <alignment vertical="center"/>
    </xf>
    <xf numFmtId="177" fontId="6" fillId="0" borderId="0" applyAlignment="1">
      <alignment vertical="center"/>
    </xf>
    <xf numFmtId="177" fontId="19" fillId="0" borderId="0" applyAlignment="1">
      <alignment vertical="center"/>
    </xf>
    <xf numFmtId="0" fontId="19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6" fillId="0" borderId="0" applyAlignment="1">
      <alignment vertical="center"/>
    </xf>
    <xf numFmtId="0" fontId="4" fillId="0" borderId="0"/>
    <xf numFmtId="0" fontId="4" fillId="0" borderId="0"/>
    <xf numFmtId="0" fontId="5" fillId="0" borderId="0" applyAlignment="1">
      <alignment vertical="center"/>
    </xf>
    <xf numFmtId="177" fontId="19" fillId="0" borderId="0" applyAlignment="1">
      <alignment vertical="center"/>
    </xf>
    <xf numFmtId="177" fontId="19" fillId="0" borderId="0" applyAlignment="1">
      <alignment vertical="center"/>
    </xf>
  </cellStyleXfs>
  <cellXfs count="1419">
    <xf numFmtId="0" fontId="0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9" fillId="2" borderId="0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/>
    </xf>
    <xf numFmtId="0" fontId="9" fillId="2" borderId="6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9" fillId="2" borderId="9" applyAlignment="1" pivotButton="0" quotePrefix="0" xfId="0">
      <alignment horizontal="center" vertical="center"/>
    </xf>
    <xf numFmtId="0" fontId="10" fillId="2" borderId="11" applyAlignment="1" pivotButton="0" quotePrefix="0" xfId="0">
      <alignment horizontal="center" vertical="center"/>
    </xf>
    <xf numFmtId="164" fontId="9" fillId="2" borderId="12" applyAlignment="1" pivotButton="0" quotePrefix="0" xfId="0">
      <alignment vertical="center"/>
    </xf>
    <xf numFmtId="164" fontId="9" fillId="2" borderId="13" applyAlignment="1" pivotButton="0" quotePrefix="0" xfId="0">
      <alignment vertical="center"/>
    </xf>
    <xf numFmtId="164" fontId="9" fillId="2" borderId="14" applyAlignment="1" pivotButton="0" quotePrefix="0" xfId="0">
      <alignment vertical="center"/>
    </xf>
    <xf numFmtId="164" fontId="9" fillId="2" borderId="15" applyAlignment="1" pivotButton="0" quotePrefix="0" xfId="0">
      <alignment vertical="center"/>
    </xf>
    <xf numFmtId="165" fontId="9" fillId="2" borderId="15" applyAlignment="1" pivotButton="0" quotePrefix="0" xfId="0">
      <alignment vertical="center"/>
    </xf>
    <xf numFmtId="165" fontId="9" fillId="2" borderId="13" applyAlignment="1" pivotButton="0" quotePrefix="0" xfId="0">
      <alignment vertical="center"/>
    </xf>
    <xf numFmtId="165" fontId="9" fillId="2" borderId="14" applyAlignment="1" pivotButton="0" quotePrefix="0" xfId="0">
      <alignment vertical="center"/>
    </xf>
    <xf numFmtId="165" fontId="9" fillId="2" borderId="16" applyAlignment="1" pivotButton="0" quotePrefix="0" xfId="0">
      <alignment vertical="center"/>
    </xf>
    <xf numFmtId="165" fontId="9" fillId="2" borderId="0" applyAlignment="1" pivotButton="0" quotePrefix="0" xfId="0">
      <alignment vertical="center"/>
    </xf>
    <xf numFmtId="0" fontId="10" fillId="2" borderId="17" applyAlignment="1" pivotButton="0" quotePrefix="0" xfId="0">
      <alignment horizontal="center" vertical="center"/>
    </xf>
    <xf numFmtId="164" fontId="9" fillId="2" borderId="18" applyAlignment="1" pivotButton="0" quotePrefix="0" xfId="0">
      <alignment vertical="center"/>
    </xf>
    <xf numFmtId="164" fontId="9" fillId="2" borderId="0" applyAlignment="1" pivotButton="0" quotePrefix="0" xfId="0">
      <alignment vertical="center"/>
    </xf>
    <xf numFmtId="164" fontId="9" fillId="2" borderId="19" applyAlignment="1" pivotButton="0" quotePrefix="0" xfId="0">
      <alignment vertical="center"/>
    </xf>
    <xf numFmtId="164" fontId="9" fillId="2" borderId="20" applyAlignment="1" pivotButton="0" quotePrefix="0" xfId="0">
      <alignment vertical="center"/>
    </xf>
    <xf numFmtId="166" fontId="9" fillId="2" borderId="20" applyAlignment="1" pivotButton="0" quotePrefix="0" xfId="0">
      <alignment vertical="center"/>
    </xf>
    <xf numFmtId="166" fontId="9" fillId="2" borderId="0" applyAlignment="1" pivotButton="0" quotePrefix="0" xfId="0">
      <alignment vertical="center"/>
    </xf>
    <xf numFmtId="166" fontId="9" fillId="2" borderId="19" applyAlignment="1" pivotButton="0" quotePrefix="0" xfId="0">
      <alignment vertical="center"/>
    </xf>
    <xf numFmtId="165" fontId="9" fillId="2" borderId="20" applyAlignment="1" pivotButton="0" quotePrefix="0" xfId="0">
      <alignment vertical="center"/>
    </xf>
    <xf numFmtId="165" fontId="9" fillId="2" borderId="19" applyAlignment="1" pivotButton="0" quotePrefix="0" xfId="0">
      <alignment vertical="center"/>
    </xf>
    <xf numFmtId="165" fontId="9" fillId="2" borderId="21" applyAlignment="1" pivotButton="0" quotePrefix="0" xfId="0">
      <alignment vertical="center"/>
    </xf>
    <xf numFmtId="0" fontId="10" fillId="2" borderId="22" applyAlignment="1" pivotButton="0" quotePrefix="0" xfId="0">
      <alignment horizontal="center" vertical="center"/>
    </xf>
    <xf numFmtId="9" fontId="9" fillId="2" borderId="23" applyAlignment="1" pivotButton="0" quotePrefix="0" xfId="14">
      <alignment vertical="center"/>
    </xf>
    <xf numFmtId="9" fontId="9" fillId="2" borderId="24" applyAlignment="1" pivotButton="0" quotePrefix="0" xfId="14">
      <alignment vertical="center"/>
    </xf>
    <xf numFmtId="9" fontId="9" fillId="2" borderId="25" applyAlignment="1" pivotButton="0" quotePrefix="0" xfId="14">
      <alignment vertical="center"/>
    </xf>
    <xf numFmtId="9" fontId="9" fillId="2" borderId="26" applyAlignment="1" pivotButton="0" quotePrefix="0" xfId="14">
      <alignment vertical="center"/>
    </xf>
    <xf numFmtId="165" fontId="9" fillId="2" borderId="26" applyAlignment="1" pivotButton="0" quotePrefix="0" xfId="0">
      <alignment vertical="center"/>
    </xf>
    <xf numFmtId="165" fontId="9" fillId="2" borderId="25" applyAlignment="1" pivotButton="0" quotePrefix="0" xfId="0">
      <alignment vertical="center"/>
    </xf>
    <xf numFmtId="165" fontId="9" fillId="2" borderId="24" applyAlignment="1" pivotButton="0" quotePrefix="0" xfId="0">
      <alignment vertical="center"/>
    </xf>
    <xf numFmtId="165" fontId="9" fillId="2" borderId="27" applyAlignment="1" pivotButton="0" quotePrefix="0" xfId="0">
      <alignment vertical="center"/>
    </xf>
    <xf numFmtId="167" fontId="9" fillId="2" borderId="15" applyAlignment="1" pivotButton="0" quotePrefix="0" xfId="0">
      <alignment vertical="center"/>
    </xf>
    <xf numFmtId="167" fontId="9" fillId="2" borderId="13" applyAlignment="1" pivotButton="0" quotePrefix="0" xfId="0">
      <alignment vertical="center"/>
    </xf>
    <xf numFmtId="167" fontId="9" fillId="2" borderId="14" applyAlignment="1" pivotButton="0" quotePrefix="0" xfId="0">
      <alignment vertical="center"/>
    </xf>
    <xf numFmtId="167" fontId="9" fillId="2" borderId="16" applyAlignment="1" pivotButton="0" quotePrefix="0" xfId="0">
      <alignment vertical="center"/>
    </xf>
    <xf numFmtId="167" fontId="9" fillId="2" borderId="0" applyAlignment="1" pivotButton="0" quotePrefix="0" xfId="0">
      <alignment vertical="center"/>
    </xf>
    <xf numFmtId="164" fontId="9" fillId="2" borderId="23" applyAlignment="1" pivotButton="0" quotePrefix="0" xfId="0">
      <alignment vertical="center"/>
    </xf>
    <xf numFmtId="164" fontId="9" fillId="2" borderId="24" applyAlignment="1" pivotButton="0" quotePrefix="0" xfId="0">
      <alignment vertical="center"/>
    </xf>
    <xf numFmtId="164" fontId="9" fillId="2" borderId="25" applyAlignment="1" pivotButton="0" quotePrefix="0" xfId="0">
      <alignment vertical="center"/>
    </xf>
    <xf numFmtId="164" fontId="9" fillId="2" borderId="26" applyAlignment="1" pivotButton="0" quotePrefix="0" xfId="0">
      <alignment vertical="center"/>
    </xf>
    <xf numFmtId="167" fontId="9" fillId="2" borderId="26" applyAlignment="1" pivotButton="0" quotePrefix="0" xfId="0">
      <alignment vertical="center"/>
    </xf>
    <xf numFmtId="167" fontId="9" fillId="2" borderId="24" applyAlignment="1" pivotButton="0" quotePrefix="0" xfId="0">
      <alignment vertical="center"/>
    </xf>
    <xf numFmtId="167" fontId="9" fillId="2" borderId="25" applyAlignment="1" pivotButton="0" quotePrefix="0" xfId="0">
      <alignment vertical="center"/>
    </xf>
    <xf numFmtId="167" fontId="9" fillId="2" borderId="27" applyAlignment="1" pivotButton="0" quotePrefix="0" xfId="0">
      <alignment vertical="center"/>
    </xf>
    <xf numFmtId="167" fontId="9" fillId="2" borderId="12" applyAlignment="1" pivotButton="0" quotePrefix="0" xfId="0">
      <alignment vertical="center"/>
    </xf>
    <xf numFmtId="167" fontId="9" fillId="2" borderId="23" applyAlignment="1" pivotButton="0" quotePrefix="0" xfId="0">
      <alignment vertical="center"/>
    </xf>
    <xf numFmtId="167" fontId="9" fillId="2" borderId="28" applyAlignment="1" pivotButton="0" quotePrefix="0" xfId="0">
      <alignment vertical="center"/>
    </xf>
    <xf numFmtId="0" fontId="10" fillId="2" borderId="30" applyAlignment="1" pivotButton="0" quotePrefix="0" xfId="0">
      <alignment horizontal="center" vertical="center"/>
    </xf>
    <xf numFmtId="167" fontId="9" fillId="2" borderId="31" applyAlignment="1" pivotButton="0" quotePrefix="0" xfId="0">
      <alignment vertical="center"/>
    </xf>
    <xf numFmtId="167" fontId="9" fillId="2" borderId="32" applyAlignment="1" pivotButton="0" quotePrefix="0" xfId="0">
      <alignment vertical="center"/>
    </xf>
    <xf numFmtId="167" fontId="9" fillId="2" borderId="33" applyAlignment="1" pivotButton="0" quotePrefix="0" xfId="0">
      <alignment vertical="center"/>
    </xf>
    <xf numFmtId="167" fontId="9" fillId="2" borderId="34" applyAlignment="1" pivotButton="0" quotePrefix="0" xfId="0">
      <alignment vertical="center"/>
    </xf>
    <xf numFmtId="167" fontId="9" fillId="2" borderId="35" applyAlignment="1" pivotButton="0" quotePrefix="0" xfId="0">
      <alignment vertical="center"/>
    </xf>
    <xf numFmtId="0" fontId="7" fillId="2" borderId="36" applyAlignment="1" pivotButton="0" quotePrefix="0" xfId="0">
      <alignment horizontal="center" vertical="center"/>
    </xf>
    <xf numFmtId="0" fontId="10" fillId="2" borderId="37" applyAlignment="1" pivotButton="0" quotePrefix="0" xfId="0">
      <alignment horizontal="center" vertical="center"/>
    </xf>
    <xf numFmtId="165" fontId="7" fillId="2" borderId="38" applyAlignment="1" pivotButton="0" quotePrefix="0" xfId="0">
      <alignment vertical="center"/>
    </xf>
    <xf numFmtId="0" fontId="7" fillId="2" borderId="38" applyAlignment="1" pivotButton="0" quotePrefix="0" xfId="0">
      <alignment vertical="center"/>
    </xf>
    <xf numFmtId="0" fontId="7" fillId="2" borderId="39" applyAlignment="1" pivotButton="0" quotePrefix="0" xfId="0">
      <alignment vertical="center"/>
    </xf>
    <xf numFmtId="166" fontId="7" fillId="2" borderId="40" applyAlignment="1" pivotButton="0" quotePrefix="0" xfId="0">
      <alignment vertical="center"/>
    </xf>
    <xf numFmtId="0" fontId="7" fillId="2" borderId="40" applyAlignment="1" pivotButton="0" quotePrefix="0" xfId="0">
      <alignment vertical="center"/>
    </xf>
    <xf numFmtId="0" fontId="7" fillId="2" borderId="41" applyAlignment="1" pivotButton="0" quotePrefix="0" xfId="0">
      <alignment vertical="center"/>
    </xf>
    <xf numFmtId="0" fontId="7" fillId="2" borderId="42" applyAlignment="1" pivotButton="0" quotePrefix="0" xfId="0">
      <alignment vertical="center"/>
    </xf>
    <xf numFmtId="0" fontId="7" fillId="2" borderId="43" applyAlignment="1" pivotButton="0" quotePrefix="0" xfId="0">
      <alignment vertical="center"/>
    </xf>
    <xf numFmtId="165" fontId="7" fillId="2" borderId="36" applyAlignment="1" pivotButton="0" quotePrefix="0" xfId="0">
      <alignment vertical="center"/>
    </xf>
    <xf numFmtId="0" fontId="7" fillId="2" borderId="36" applyAlignment="1" pivotButton="0" quotePrefix="0" xfId="0">
      <alignment vertical="center"/>
    </xf>
    <xf numFmtId="0" fontId="7" fillId="2" borderId="44" applyAlignment="1" pivotButton="0" quotePrefix="0" xfId="0">
      <alignment vertical="center"/>
    </xf>
    <xf numFmtId="167" fontId="7" fillId="2" borderId="36" applyAlignment="1" pivotButton="0" quotePrefix="0" xfId="0">
      <alignment vertical="center"/>
    </xf>
    <xf numFmtId="167" fontId="7" fillId="2" borderId="42" applyAlignment="1" pivotButton="0" quotePrefix="0" xfId="0">
      <alignment vertical="center"/>
    </xf>
    <xf numFmtId="167" fontId="7" fillId="2" borderId="45" applyAlignment="1" pivotButton="0" quotePrefix="0" xfId="0">
      <alignment vertical="center"/>
    </xf>
    <xf numFmtId="0" fontId="7" fillId="2" borderId="45" applyAlignment="1" pivotButton="0" quotePrefix="0" xfId="0">
      <alignment vertical="center"/>
    </xf>
    <xf numFmtId="0" fontId="7" fillId="2" borderId="46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166" fontId="11" fillId="0" borderId="49" applyAlignment="1" pivotButton="0" quotePrefix="0" xfId="0">
      <alignment vertical="center"/>
    </xf>
    <xf numFmtId="166" fontId="11" fillId="0" borderId="50" applyAlignment="1" pivotButton="0" quotePrefix="0" xfId="0">
      <alignment vertical="center"/>
    </xf>
    <xf numFmtId="166" fontId="11" fillId="0" borderId="51" applyAlignment="1" pivotButton="0" quotePrefix="0" xfId="0">
      <alignment vertical="center"/>
    </xf>
    <xf numFmtId="164" fontId="11" fillId="0" borderId="49" applyAlignment="1" pivotButton="0" quotePrefix="0" xfId="0">
      <alignment vertical="center"/>
    </xf>
    <xf numFmtId="164" fontId="11" fillId="0" borderId="50" applyAlignment="1" pivotButton="0" quotePrefix="0" xfId="0">
      <alignment vertical="center"/>
    </xf>
    <xf numFmtId="164" fontId="11" fillId="0" borderId="51" applyAlignment="1" pivotButton="0" quotePrefix="0" xfId="0">
      <alignment vertical="center"/>
    </xf>
    <xf numFmtId="164" fontId="11" fillId="0" borderId="52" applyAlignment="1" pivotButton="0" quotePrefix="0" xfId="0">
      <alignment vertical="center"/>
    </xf>
    <xf numFmtId="0" fontId="8" fillId="0" borderId="42" applyAlignment="1" pivotButton="0" quotePrefix="0" xfId="0">
      <alignment horizontal="center" vertical="center"/>
    </xf>
    <xf numFmtId="166" fontId="11" fillId="0" borderId="26" applyAlignment="1" pivotButton="0" quotePrefix="0" xfId="0">
      <alignment vertical="center"/>
    </xf>
    <xf numFmtId="166" fontId="11" fillId="0" borderId="24" applyAlignment="1" pivotButton="0" quotePrefix="0" xfId="0">
      <alignment vertical="center"/>
    </xf>
    <xf numFmtId="166" fontId="11" fillId="0" borderId="25" applyAlignment="1" pivotButton="0" quotePrefix="0" xfId="0">
      <alignment vertical="center"/>
    </xf>
    <xf numFmtId="164" fontId="11" fillId="0" borderId="26" applyAlignment="1" pivotButton="0" quotePrefix="0" xfId="0">
      <alignment vertical="center"/>
    </xf>
    <xf numFmtId="164" fontId="11" fillId="0" borderId="24" applyAlignment="1" pivotButton="0" quotePrefix="0" xfId="0">
      <alignment vertical="center"/>
    </xf>
    <xf numFmtId="164" fontId="11" fillId="0" borderId="25" applyAlignment="1" pivotButton="0" quotePrefix="0" xfId="0">
      <alignment vertical="center"/>
    </xf>
    <xf numFmtId="164" fontId="11" fillId="0" borderId="27" applyAlignment="1" pivotButton="0" quotePrefix="0" xfId="0">
      <alignment vertical="center"/>
    </xf>
    <xf numFmtId="166" fontId="11" fillId="0" borderId="15" applyAlignment="1" pivotButton="0" quotePrefix="0" xfId="0">
      <alignment vertical="center"/>
    </xf>
    <xf numFmtId="166" fontId="11" fillId="0" borderId="13" applyAlignment="1" pivotButton="0" quotePrefix="0" xfId="0">
      <alignment vertical="center"/>
    </xf>
    <xf numFmtId="166" fontId="11" fillId="0" borderId="14" applyAlignment="1" pivotButton="0" quotePrefix="0" xfId="0">
      <alignment vertical="center"/>
    </xf>
    <xf numFmtId="164" fontId="11" fillId="0" borderId="15" applyAlignment="1" pivotButton="0" quotePrefix="0" xfId="0">
      <alignment vertical="center"/>
    </xf>
    <xf numFmtId="164" fontId="11" fillId="0" borderId="13" applyAlignment="1" pivotButton="0" quotePrefix="0" xfId="0">
      <alignment vertical="center"/>
    </xf>
    <xf numFmtId="164" fontId="11" fillId="0" borderId="14" applyAlignment="1" pivotButton="0" quotePrefix="0" xfId="0">
      <alignment vertical="center"/>
    </xf>
    <xf numFmtId="164" fontId="11" fillId="0" borderId="16" applyAlignment="1" pivotButton="0" quotePrefix="0" xfId="0">
      <alignment vertical="center"/>
    </xf>
    <xf numFmtId="0" fontId="8" fillId="0" borderId="47" applyAlignment="1" pivotButton="0" quotePrefix="0" xfId="0">
      <alignment horizontal="center" vertical="center"/>
    </xf>
    <xf numFmtId="0" fontId="8" fillId="0" borderId="45" applyAlignment="1" pivotButton="0" quotePrefix="0" xfId="0">
      <alignment horizontal="center" vertical="center"/>
    </xf>
    <xf numFmtId="166" fontId="11" fillId="0" borderId="34" applyAlignment="1" pivotButton="0" quotePrefix="0" xfId="0">
      <alignment vertical="center"/>
    </xf>
    <xf numFmtId="166" fontId="11" fillId="0" borderId="32" applyAlignment="1" pivotButton="0" quotePrefix="0" xfId="0">
      <alignment vertical="center"/>
    </xf>
    <xf numFmtId="166" fontId="11" fillId="0" borderId="33" applyAlignment="1" pivotButton="0" quotePrefix="0" xfId="0">
      <alignment vertical="center"/>
    </xf>
    <xf numFmtId="164" fontId="11" fillId="0" borderId="34" applyAlignment="1" pivotButton="0" quotePrefix="0" xfId="0">
      <alignment vertical="center"/>
    </xf>
    <xf numFmtId="164" fontId="11" fillId="0" borderId="32" applyAlignment="1" pivotButton="0" quotePrefix="0" xfId="0">
      <alignment vertical="center"/>
    </xf>
    <xf numFmtId="164" fontId="11" fillId="0" borderId="33" applyAlignment="1" pivotButton="0" quotePrefix="0" xfId="0">
      <alignment vertical="center"/>
    </xf>
    <xf numFmtId="164" fontId="11" fillId="0" borderId="35" applyAlignment="1" pivotButton="0" quotePrefix="0" xfId="0">
      <alignment vertical="center"/>
    </xf>
    <xf numFmtId="168" fontId="11" fillId="0" borderId="49" applyAlignment="1" pivotButton="0" quotePrefix="0" xfId="14">
      <alignment vertical="center"/>
    </xf>
    <xf numFmtId="168" fontId="11" fillId="0" borderId="50" applyAlignment="1" pivotButton="0" quotePrefix="0" xfId="14">
      <alignment vertical="center"/>
    </xf>
    <xf numFmtId="168" fontId="11" fillId="0" borderId="51" applyAlignment="1" pivotButton="0" quotePrefix="0" xfId="14">
      <alignment vertical="center"/>
    </xf>
    <xf numFmtId="168" fontId="11" fillId="0" borderId="52" applyAlignment="1" pivotButton="0" quotePrefix="0" xfId="14">
      <alignment vertical="center"/>
    </xf>
    <xf numFmtId="168" fontId="11" fillId="0" borderId="26" applyAlignment="1" pivotButton="0" quotePrefix="0" xfId="14">
      <alignment vertical="center"/>
    </xf>
    <xf numFmtId="168" fontId="11" fillId="0" borderId="24" applyAlignment="1" pivotButton="0" quotePrefix="0" xfId="14">
      <alignment vertical="center"/>
    </xf>
    <xf numFmtId="168" fontId="11" fillId="0" borderId="25" applyAlignment="1" pivotButton="0" quotePrefix="0" xfId="14">
      <alignment vertical="center"/>
    </xf>
    <xf numFmtId="166" fontId="11" fillId="0" borderId="27" applyAlignment="1" pivotButton="0" quotePrefix="0" xfId="0">
      <alignment vertical="center"/>
    </xf>
    <xf numFmtId="166" fontId="11" fillId="0" borderId="2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19" applyAlignment="1" pivotButton="0" quotePrefix="0" xfId="0">
      <alignment vertical="center"/>
    </xf>
    <xf numFmtId="166" fontId="11" fillId="0" borderId="21" applyAlignment="1" pivotButton="0" quotePrefix="0" xfId="0">
      <alignment vertical="center"/>
    </xf>
    <xf numFmtId="0" fontId="11" fillId="0" borderId="26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25" applyAlignment="1" pivotButton="0" quotePrefix="0" xfId="0">
      <alignment vertical="center"/>
    </xf>
    <xf numFmtId="0" fontId="11" fillId="0" borderId="27" applyAlignment="1" pivotButton="0" quotePrefix="0" xfId="0">
      <alignment vertical="center"/>
    </xf>
    <xf numFmtId="168" fontId="11" fillId="0" borderId="20" applyAlignment="1" pivotButton="0" quotePrefix="0" xfId="14">
      <alignment vertical="center"/>
    </xf>
    <xf numFmtId="168" fontId="11" fillId="0" borderId="13" applyAlignment="1" pivotButton="0" quotePrefix="0" xfId="14">
      <alignment vertical="center"/>
    </xf>
    <xf numFmtId="168" fontId="11" fillId="0" borderId="0" applyAlignment="1" pivotButton="0" quotePrefix="0" xfId="14">
      <alignment vertical="center"/>
    </xf>
    <xf numFmtId="168" fontId="11" fillId="0" borderId="15" applyAlignment="1" pivotButton="0" quotePrefix="0" xfId="14">
      <alignment vertical="center"/>
    </xf>
    <xf numFmtId="168" fontId="11" fillId="0" borderId="14" applyAlignment="1" pivotButton="0" quotePrefix="0" xfId="14">
      <alignment vertical="center"/>
    </xf>
    <xf numFmtId="168" fontId="11" fillId="0" borderId="16" applyAlignment="1" pivotButton="0" quotePrefix="0" xfId="14">
      <alignment vertical="center"/>
    </xf>
    <xf numFmtId="166" fontId="11" fillId="0" borderId="40" applyAlignment="1" pivotButton="0" quotePrefix="0" xfId="0">
      <alignment vertical="center"/>
    </xf>
    <xf numFmtId="166" fontId="11" fillId="0" borderId="16" applyAlignment="1" pivotButton="0" quotePrefix="0" xfId="0">
      <alignment vertical="center"/>
    </xf>
    <xf numFmtId="0" fontId="11" fillId="0" borderId="34" applyAlignment="1" pivotButton="0" quotePrefix="0" xfId="0">
      <alignment vertical="center"/>
    </xf>
    <xf numFmtId="0" fontId="11" fillId="0" borderId="32" applyAlignment="1" pivotButton="0" quotePrefix="0" xfId="0">
      <alignment vertical="center"/>
    </xf>
    <xf numFmtId="0" fontId="11" fillId="0" borderId="33" applyAlignment="1" pivotButton="0" quotePrefix="0" xfId="0">
      <alignment vertical="center"/>
    </xf>
    <xf numFmtId="0" fontId="11" fillId="0" borderId="35" applyAlignment="1" pivotButton="0" quotePrefix="0" xfId="0">
      <alignment vertical="center"/>
    </xf>
    <xf numFmtId="166" fontId="11" fillId="0" borderId="35" applyAlignment="1" pivotButton="0" quotePrefix="0" xfId="0">
      <alignment vertical="center"/>
    </xf>
    <xf numFmtId="0" fontId="8" fillId="0" borderId="40" applyAlignment="1" pivotButton="0" quotePrefix="0" xfId="0">
      <alignment horizontal="center" vertical="center"/>
    </xf>
    <xf numFmtId="0" fontId="11" fillId="0" borderId="20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1" fontId="11" fillId="0" borderId="15" applyAlignment="1" pivotButton="0" quotePrefix="0" xfId="0">
      <alignment vertical="center"/>
    </xf>
    <xf numFmtId="1" fontId="11" fillId="0" borderId="13" applyAlignment="1" pivotButton="0" quotePrefix="0" xfId="0">
      <alignment vertical="center"/>
    </xf>
    <xf numFmtId="1" fontId="11" fillId="0" borderId="14" applyAlignment="1" pivotButton="0" quotePrefix="0" xfId="0">
      <alignment vertical="center"/>
    </xf>
    <xf numFmtId="1" fontId="11" fillId="0" borderId="16" applyAlignment="1" pivotButton="0" quotePrefix="0" xfId="0">
      <alignment vertical="center"/>
    </xf>
    <xf numFmtId="1" fontId="11" fillId="0" borderId="26" applyAlignment="1" pivotButton="0" quotePrefix="0" xfId="0">
      <alignment vertical="center"/>
    </xf>
    <xf numFmtId="1" fontId="11" fillId="0" borderId="24" applyAlignment="1" pivotButton="0" quotePrefix="0" xfId="0">
      <alignment vertical="center"/>
    </xf>
    <xf numFmtId="1" fontId="11" fillId="0" borderId="25" applyAlignment="1" pivotButton="0" quotePrefix="0" xfId="0">
      <alignment vertical="center"/>
    </xf>
    <xf numFmtId="1" fontId="11" fillId="0" borderId="27" applyAlignment="1" pivotButton="0" quotePrefix="0" xfId="0">
      <alignment vertical="center"/>
    </xf>
    <xf numFmtId="1" fontId="11" fillId="0" borderId="2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" fontId="11" fillId="0" borderId="19" applyAlignment="1" pivotButton="0" quotePrefix="0" xfId="0">
      <alignment vertical="center"/>
    </xf>
    <xf numFmtId="1" fontId="11" fillId="0" borderId="21" applyAlignment="1" pivotButton="0" quotePrefix="0" xfId="0">
      <alignment vertical="center"/>
    </xf>
    <xf numFmtId="168" fontId="11" fillId="0" borderId="19" applyAlignment="1" pivotButton="0" quotePrefix="0" xfId="14">
      <alignment vertical="center"/>
    </xf>
    <xf numFmtId="168" fontId="11" fillId="0" borderId="21" applyAlignment="1" pivotButton="0" quotePrefix="0" xfId="14">
      <alignment vertical="center"/>
    </xf>
    <xf numFmtId="9" fontId="11" fillId="0" borderId="26" applyAlignment="1" pivotButton="0" quotePrefix="0" xfId="14">
      <alignment vertical="center"/>
    </xf>
    <xf numFmtId="9" fontId="11" fillId="0" borderId="24" applyAlignment="1" pivotButton="0" quotePrefix="0" xfId="14">
      <alignment vertical="center"/>
    </xf>
    <xf numFmtId="9" fontId="11" fillId="0" borderId="25" applyAlignment="1" pivotButton="0" quotePrefix="0" xfId="14">
      <alignment vertical="center"/>
    </xf>
    <xf numFmtId="169" fontId="11" fillId="0" borderId="15" applyAlignment="1" pivotButton="0" quotePrefix="0" xfId="0">
      <alignment vertical="center"/>
    </xf>
    <xf numFmtId="169" fontId="11" fillId="0" borderId="13" applyAlignment="1" pivotButton="0" quotePrefix="0" xfId="0">
      <alignment vertical="center"/>
    </xf>
    <xf numFmtId="169" fontId="11" fillId="0" borderId="14" applyAlignment="1" pivotButton="0" quotePrefix="0" xfId="0">
      <alignment vertical="center"/>
    </xf>
    <xf numFmtId="169" fontId="11" fillId="0" borderId="16" applyAlignment="1" pivotButton="0" quotePrefix="0" xfId="0">
      <alignment vertical="center"/>
    </xf>
    <xf numFmtId="169" fontId="11" fillId="0" borderId="26" applyAlignment="1" pivotButton="0" quotePrefix="0" xfId="0">
      <alignment vertical="center"/>
    </xf>
    <xf numFmtId="169" fontId="11" fillId="0" borderId="24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1" fillId="0" borderId="25" applyAlignment="1" pivotButton="0" quotePrefix="0" xfId="0">
      <alignment vertical="center"/>
    </xf>
    <xf numFmtId="169" fontId="11" fillId="0" borderId="27" applyAlignment="1" pivotButton="0" quotePrefix="0" xfId="0">
      <alignment vertical="center"/>
    </xf>
    <xf numFmtId="169" fontId="11" fillId="0" borderId="34" applyAlignment="1" pivotButton="0" quotePrefix="0" xfId="0">
      <alignment vertical="center"/>
    </xf>
    <xf numFmtId="169" fontId="11" fillId="0" borderId="32" applyAlignment="1" pivotButton="0" quotePrefix="0" xfId="0">
      <alignment vertical="center"/>
    </xf>
    <xf numFmtId="170" fontId="11" fillId="0" borderId="32" applyAlignment="1" pivotButton="0" quotePrefix="0" xfId="0">
      <alignment vertical="center"/>
    </xf>
    <xf numFmtId="169" fontId="11" fillId="0" borderId="53" applyAlignment="1" pivotButton="0" quotePrefix="0" xfId="0">
      <alignment vertical="center"/>
    </xf>
    <xf numFmtId="169" fontId="11" fillId="0" borderId="33" applyAlignment="1" pivotButton="0" quotePrefix="0" xfId="0">
      <alignment vertical="center"/>
    </xf>
    <xf numFmtId="171" fontId="11" fillId="0" borderId="34" applyAlignment="1" pivotButton="0" quotePrefix="0" xfId="0">
      <alignment vertical="center"/>
    </xf>
    <xf numFmtId="171" fontId="11" fillId="0" borderId="32" applyAlignment="1" pivotButton="0" quotePrefix="0" xfId="0">
      <alignment vertical="center"/>
    </xf>
    <xf numFmtId="171" fontId="11" fillId="0" borderId="33" applyAlignment="1" pivotButton="0" quotePrefix="0" xfId="0">
      <alignment vertical="center"/>
    </xf>
    <xf numFmtId="169" fontId="11" fillId="0" borderId="35" applyAlignment="1" pivotButton="0" quotePrefix="0" xfId="0">
      <alignment vertical="center"/>
    </xf>
    <xf numFmtId="172" fontId="11" fillId="0" borderId="0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166" fontId="11" fillId="3" borderId="0" applyAlignment="1" pivotButton="0" quotePrefix="0" xfId="0">
      <alignment vertical="center"/>
    </xf>
    <xf numFmtId="1" fontId="11" fillId="3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10" fillId="0" borderId="36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11" fillId="0" borderId="51" applyAlignment="1" pivotButton="0" quotePrefix="0" xfId="0">
      <alignment vertical="center"/>
    </xf>
    <xf numFmtId="173" fontId="11" fillId="0" borderId="54" applyAlignment="1" pivotButton="0" quotePrefix="0" xfId="0">
      <alignment vertical="center"/>
    </xf>
    <xf numFmtId="173" fontId="11" fillId="0" borderId="50" applyAlignment="1" pivotButton="0" quotePrefix="0" xfId="0">
      <alignment vertical="center"/>
    </xf>
    <xf numFmtId="173" fontId="11" fillId="0" borderId="55" applyAlignment="1" pivotButton="0" quotePrefix="0" xfId="0">
      <alignment vertical="center"/>
    </xf>
    <xf numFmtId="173" fontId="11" fillId="0" borderId="0" applyAlignment="1" pivotButton="0" quotePrefix="0" xfId="0">
      <alignment vertical="center"/>
    </xf>
    <xf numFmtId="173" fontId="11" fillId="0" borderId="19" applyAlignment="1" pivotButton="0" quotePrefix="0" xfId="0">
      <alignment vertical="center"/>
    </xf>
    <xf numFmtId="173" fontId="11" fillId="0" borderId="56" applyAlignment="1" pivotButton="0" quotePrefix="0" xfId="0">
      <alignment vertical="center"/>
    </xf>
    <xf numFmtId="173" fontId="11" fillId="0" borderId="57" applyAlignment="1" pivotButton="0" quotePrefix="0" xfId="0">
      <alignment vertical="center"/>
    </xf>
    <xf numFmtId="173" fontId="11" fillId="0" borderId="51" applyAlignment="1" pivotButton="0" quotePrefix="0" xfId="0">
      <alignment vertical="center"/>
    </xf>
    <xf numFmtId="173" fontId="11" fillId="0" borderId="49" applyAlignment="1" pivotButton="0" quotePrefix="0" xfId="0">
      <alignment vertical="center"/>
    </xf>
    <xf numFmtId="173" fontId="11" fillId="0" borderId="37" applyAlignment="1" pivotButton="0" quotePrefix="0" xfId="0">
      <alignment vertical="center"/>
    </xf>
    <xf numFmtId="173" fontId="11" fillId="0" borderId="58" applyAlignment="1" pivotButton="0" quotePrefix="0" xfId="0">
      <alignment vertical="center"/>
    </xf>
    <xf numFmtId="173" fontId="11" fillId="0" borderId="59" applyAlignment="1" pivotButton="0" quotePrefix="0" xfId="0">
      <alignment vertical="center"/>
    </xf>
    <xf numFmtId="173" fontId="11" fillId="0" borderId="52" applyAlignment="1" pivotButton="0" quotePrefix="0" xfId="0">
      <alignment vertical="center"/>
    </xf>
    <xf numFmtId="173" fontId="11" fillId="0" borderId="60" applyAlignment="1" pivotButton="0" quotePrefix="0" xfId="0">
      <alignment vertical="center"/>
    </xf>
    <xf numFmtId="173" fontId="11" fillId="0" borderId="24" applyAlignment="1" pivotButton="0" quotePrefix="0" xfId="0">
      <alignment vertical="center"/>
    </xf>
    <xf numFmtId="173" fontId="11" fillId="0" borderId="25" applyAlignment="1" pivotButton="0" quotePrefix="0" xfId="0">
      <alignment vertical="center"/>
    </xf>
    <xf numFmtId="173" fontId="11" fillId="0" borderId="61" applyAlignment="1" pivotButton="0" quotePrefix="0" xfId="0">
      <alignment vertical="center"/>
    </xf>
    <xf numFmtId="173" fontId="11" fillId="0" borderId="20" applyAlignment="1" pivotButton="0" quotePrefix="0" xfId="0">
      <alignment vertical="center"/>
    </xf>
    <xf numFmtId="173" fontId="11" fillId="0" borderId="17" applyAlignment="1" pivotButton="0" quotePrefix="0" xfId="0">
      <alignment vertical="center"/>
    </xf>
    <xf numFmtId="173" fontId="11" fillId="0" borderId="62" applyAlignment="1" pivotButton="0" quotePrefix="0" xfId="0">
      <alignment vertical="center"/>
    </xf>
    <xf numFmtId="173" fontId="11" fillId="0" borderId="63" applyAlignment="1" pivotButton="0" quotePrefix="0" xfId="0">
      <alignment vertical="center"/>
    </xf>
    <xf numFmtId="173" fontId="11" fillId="0" borderId="21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173" fontId="11" fillId="0" borderId="64" applyAlignment="1" pivotButton="0" quotePrefix="0" xfId="0">
      <alignment vertical="center"/>
    </xf>
    <xf numFmtId="173" fontId="11" fillId="0" borderId="13" applyAlignment="1" pivotButton="0" quotePrefix="0" xfId="0">
      <alignment vertical="center"/>
    </xf>
    <xf numFmtId="173" fontId="11" fillId="0" borderId="14" applyAlignment="1" pivotButton="0" quotePrefix="0" xfId="0">
      <alignment vertical="center"/>
    </xf>
    <xf numFmtId="173" fontId="11" fillId="0" borderId="28" applyAlignment="1" pivotButton="0" quotePrefix="0" xfId="0">
      <alignment vertical="center"/>
    </xf>
    <xf numFmtId="173" fontId="11" fillId="0" borderId="65" applyAlignment="1" pivotButton="0" quotePrefix="0" xfId="0">
      <alignment vertical="center"/>
    </xf>
    <xf numFmtId="173" fontId="11" fillId="0" borderId="15" applyAlignment="1" pivotButton="0" quotePrefix="0" xfId="0">
      <alignment vertical="center"/>
    </xf>
    <xf numFmtId="173" fontId="11" fillId="0" borderId="11" applyAlignment="1" pivotButton="0" quotePrefix="0" xfId="0">
      <alignment vertical="center"/>
    </xf>
    <xf numFmtId="173" fontId="11" fillId="0" borderId="66" applyAlignment="1" pivotButton="0" quotePrefix="0" xfId="0">
      <alignment vertical="center"/>
    </xf>
    <xf numFmtId="173" fontId="11" fillId="0" borderId="67" applyAlignment="1" pivotButton="0" quotePrefix="0" xfId="0">
      <alignment vertical="center"/>
    </xf>
    <xf numFmtId="173" fontId="11" fillId="0" borderId="16" applyAlignment="1" pivotButton="0" quotePrefix="0" xfId="0">
      <alignment vertical="center"/>
    </xf>
    <xf numFmtId="173" fontId="11" fillId="0" borderId="68" applyAlignment="1" pivotButton="0" quotePrefix="0" xfId="0">
      <alignment vertical="center"/>
    </xf>
    <xf numFmtId="173" fontId="11" fillId="0" borderId="69" applyAlignment="1" pivotButton="0" quotePrefix="0" xfId="0">
      <alignment vertical="center"/>
    </xf>
    <xf numFmtId="173" fontId="11" fillId="0" borderId="26" applyAlignment="1" pivotButton="0" quotePrefix="0" xfId="0">
      <alignment vertical="center"/>
    </xf>
    <xf numFmtId="173" fontId="11" fillId="0" borderId="22" applyAlignment="1" pivotButton="0" quotePrefix="0" xfId="0">
      <alignment vertical="center"/>
    </xf>
    <xf numFmtId="173" fontId="11" fillId="0" borderId="70" applyAlignment="1" pivotButton="0" quotePrefix="0" xfId="0">
      <alignment vertical="center"/>
    </xf>
    <xf numFmtId="173" fontId="11" fillId="0" borderId="71" applyAlignment="1" pivotButton="0" quotePrefix="0" xfId="0">
      <alignment vertical="center"/>
    </xf>
    <xf numFmtId="173" fontId="11" fillId="0" borderId="27" applyAlignment="1" pivotButton="0" quotePrefix="0" xfId="0">
      <alignment vertical="center"/>
    </xf>
    <xf numFmtId="173" fontId="11" fillId="0" borderId="72" applyAlignment="1" pivotButton="0" quotePrefix="0" xfId="0">
      <alignment vertical="center"/>
    </xf>
    <xf numFmtId="173" fontId="11" fillId="0" borderId="32" applyAlignment="1" pivotButton="0" quotePrefix="0" xfId="0">
      <alignment vertical="center"/>
    </xf>
    <xf numFmtId="173" fontId="11" fillId="0" borderId="33" applyAlignment="1" pivotButton="0" quotePrefix="0" xfId="0">
      <alignment vertical="center"/>
    </xf>
    <xf numFmtId="173" fontId="11" fillId="0" borderId="73" applyAlignment="1" pivotButton="0" quotePrefix="0" xfId="0">
      <alignment vertical="center"/>
    </xf>
    <xf numFmtId="173" fontId="11" fillId="0" borderId="74" applyAlignment="1" pivotButton="0" quotePrefix="0" xfId="0">
      <alignment vertical="center"/>
    </xf>
    <xf numFmtId="173" fontId="11" fillId="0" borderId="34" applyAlignment="1" pivotButton="0" quotePrefix="0" xfId="0">
      <alignment vertical="center"/>
    </xf>
    <xf numFmtId="173" fontId="11" fillId="0" borderId="30" applyAlignment="1" pivotButton="0" quotePrefix="0" xfId="0">
      <alignment vertical="center"/>
    </xf>
    <xf numFmtId="173" fontId="11" fillId="0" borderId="53" applyAlignment="1" pivotButton="0" quotePrefix="0" xfId="0">
      <alignment vertical="center"/>
    </xf>
    <xf numFmtId="173" fontId="11" fillId="0" borderId="75" applyAlignment="1" pivotButton="0" quotePrefix="0" xfId="0">
      <alignment vertical="center"/>
    </xf>
    <xf numFmtId="173" fontId="11" fillId="0" borderId="35" applyAlignment="1" pivotButton="0" quotePrefix="0" xfId="0">
      <alignment vertical="center"/>
    </xf>
    <xf numFmtId="173" fontId="11" fillId="0" borderId="76" applyAlignment="1" pivotButton="0" quotePrefix="0" xfId="0">
      <alignment vertical="center"/>
    </xf>
    <xf numFmtId="174" fontId="11" fillId="0" borderId="55" applyAlignment="1" pivotButton="0" quotePrefix="0" xfId="0">
      <alignment vertical="center"/>
    </xf>
    <xf numFmtId="174" fontId="11" fillId="0" borderId="0" applyAlignment="1" pivotButton="0" quotePrefix="0" xfId="0">
      <alignment vertical="center"/>
    </xf>
    <xf numFmtId="174" fontId="11" fillId="0" borderId="19" applyAlignment="1" pivotButton="0" quotePrefix="0" xfId="0">
      <alignment vertical="center"/>
    </xf>
    <xf numFmtId="174" fontId="11" fillId="0" borderId="56" applyAlignment="1" pivotButton="0" quotePrefix="0" xfId="0">
      <alignment vertical="center"/>
    </xf>
    <xf numFmtId="174" fontId="11" fillId="0" borderId="61" applyAlignment="1" pivotButton="0" quotePrefix="0" xfId="0">
      <alignment vertical="center"/>
    </xf>
    <xf numFmtId="174" fontId="11" fillId="0" borderId="20" applyAlignment="1" pivotButton="0" quotePrefix="0" xfId="0">
      <alignment vertical="center"/>
    </xf>
    <xf numFmtId="174" fontId="11" fillId="0" borderId="17" applyAlignment="1" pivotButton="0" quotePrefix="0" xfId="0">
      <alignment vertical="center"/>
    </xf>
    <xf numFmtId="174" fontId="11" fillId="0" borderId="62" applyAlignment="1" pivotButton="0" quotePrefix="0" xfId="0">
      <alignment vertical="center"/>
    </xf>
    <xf numFmtId="174" fontId="11" fillId="0" borderId="63" applyAlignment="1" pivotButton="0" quotePrefix="0" xfId="0">
      <alignment vertical="center"/>
    </xf>
    <xf numFmtId="174" fontId="11" fillId="0" borderId="21" applyAlignment="1" pivotButton="0" quotePrefix="0" xfId="0">
      <alignment vertical="center"/>
    </xf>
    <xf numFmtId="174" fontId="11" fillId="0" borderId="72" applyAlignment="1" pivotButton="0" quotePrefix="0" xfId="0">
      <alignment vertical="center"/>
    </xf>
    <xf numFmtId="174" fontId="11" fillId="0" borderId="32" applyAlignment="1" pivotButton="0" quotePrefix="0" xfId="0">
      <alignment vertical="center"/>
    </xf>
    <xf numFmtId="174" fontId="11" fillId="0" borderId="33" applyAlignment="1" pivotButton="0" quotePrefix="0" xfId="0">
      <alignment vertical="center"/>
    </xf>
    <xf numFmtId="174" fontId="11" fillId="0" borderId="73" applyAlignment="1" pivotButton="0" quotePrefix="0" xfId="0">
      <alignment vertical="center"/>
    </xf>
    <xf numFmtId="174" fontId="11" fillId="0" borderId="74" applyAlignment="1" pivotButton="0" quotePrefix="0" xfId="0">
      <alignment vertical="center"/>
    </xf>
    <xf numFmtId="174" fontId="11" fillId="0" borderId="34" applyAlignment="1" pivotButton="0" quotePrefix="0" xfId="0">
      <alignment vertical="center"/>
    </xf>
    <xf numFmtId="174" fontId="11" fillId="0" borderId="30" applyAlignment="1" pivotButton="0" quotePrefix="0" xfId="0">
      <alignment vertical="center"/>
    </xf>
    <xf numFmtId="174" fontId="11" fillId="0" borderId="53" applyAlignment="1" pivotButton="0" quotePrefix="0" xfId="0">
      <alignment vertical="center"/>
    </xf>
    <xf numFmtId="174" fontId="11" fillId="0" borderId="75" applyAlignment="1" pivotButton="0" quotePrefix="0" xfId="0">
      <alignment vertical="center"/>
    </xf>
    <xf numFmtId="174" fontId="11" fillId="0" borderId="35" applyAlignment="1" pivotButton="0" quotePrefix="0" xfId="0">
      <alignment vertical="center"/>
    </xf>
    <xf numFmtId="168" fontId="11" fillId="0" borderId="54" applyAlignment="1" pivotButton="0" quotePrefix="0" xfId="14">
      <alignment vertical="center"/>
    </xf>
    <xf numFmtId="168" fontId="11" fillId="0" borderId="76" applyAlignment="1" pivotButton="0" quotePrefix="0" xfId="14">
      <alignment vertical="center"/>
    </xf>
    <xf numFmtId="168" fontId="11" fillId="0" borderId="57" applyAlignment="1" pivotButton="0" quotePrefix="0" xfId="14">
      <alignment vertical="center"/>
    </xf>
    <xf numFmtId="168" fontId="11" fillId="0" borderId="37" applyAlignment="1" pivotButton="0" quotePrefix="0" xfId="14">
      <alignment vertical="center"/>
    </xf>
    <xf numFmtId="168" fontId="11" fillId="0" borderId="58" applyAlignment="1" pivotButton="0" quotePrefix="0" xfId="14">
      <alignment vertical="center"/>
    </xf>
    <xf numFmtId="168" fontId="11" fillId="0" borderId="59" applyAlignment="1" pivotButton="0" quotePrefix="0" xfId="14">
      <alignment vertical="center"/>
    </xf>
    <xf numFmtId="168" fontId="11" fillId="0" borderId="55" applyAlignment="1" pivotButton="0" quotePrefix="0" xfId="14">
      <alignment vertical="center"/>
    </xf>
    <xf numFmtId="168" fontId="11" fillId="0" borderId="56" applyAlignment="1" pivotButton="0" quotePrefix="0" xfId="14">
      <alignment vertical="center"/>
    </xf>
    <xf numFmtId="168" fontId="11" fillId="0" borderId="61" applyAlignment="1" pivotButton="0" quotePrefix="0" xfId="14">
      <alignment vertical="center"/>
    </xf>
    <xf numFmtId="168" fontId="11" fillId="0" borderId="17" applyAlignment="1" pivotButton="0" quotePrefix="0" xfId="14">
      <alignment vertical="center"/>
    </xf>
    <xf numFmtId="168" fontId="11" fillId="0" borderId="62" applyAlignment="1" pivotButton="0" quotePrefix="0" xfId="14">
      <alignment vertical="center"/>
    </xf>
    <xf numFmtId="168" fontId="11" fillId="0" borderId="63" applyAlignment="1" pivotButton="0" quotePrefix="0" xfId="14">
      <alignment vertical="center"/>
    </xf>
    <xf numFmtId="0" fontId="11" fillId="0" borderId="63" applyAlignment="1" pivotButton="0" quotePrefix="0" xfId="0">
      <alignment vertical="center"/>
    </xf>
    <xf numFmtId="166" fontId="11" fillId="0" borderId="64" applyAlignment="1" pivotButton="0" quotePrefix="0" xfId="0">
      <alignment vertical="center"/>
    </xf>
    <xf numFmtId="175" fontId="11" fillId="0" borderId="13" applyAlignment="1" pivotButton="0" quotePrefix="0" xfId="0">
      <alignment vertical="center"/>
    </xf>
    <xf numFmtId="175" fontId="11" fillId="0" borderId="64" applyAlignment="1" pivotButton="0" quotePrefix="0" xfId="0">
      <alignment vertical="center"/>
    </xf>
    <xf numFmtId="166" fontId="11" fillId="0" borderId="28" applyAlignment="1" pivotButton="0" quotePrefix="0" xfId="0">
      <alignment vertical="center"/>
    </xf>
    <xf numFmtId="166" fontId="11" fillId="0" borderId="65" applyAlignment="1" pivotButton="0" quotePrefix="0" xfId="0">
      <alignment vertical="center"/>
    </xf>
    <xf numFmtId="166" fontId="11" fillId="0" borderId="11" applyAlignment="1" pivotButton="0" quotePrefix="0" xfId="0">
      <alignment vertical="center"/>
    </xf>
    <xf numFmtId="166" fontId="11" fillId="0" borderId="66" applyAlignment="1" pivotButton="0" quotePrefix="0" xfId="0">
      <alignment vertical="center"/>
    </xf>
    <xf numFmtId="166" fontId="11" fillId="0" borderId="67" applyAlignment="1" pivotButton="0" quotePrefix="0" xfId="0">
      <alignment vertical="center"/>
    </xf>
    <xf numFmtId="166" fontId="11" fillId="0" borderId="55" applyAlignment="1" pivotButton="0" quotePrefix="0" xfId="0">
      <alignment vertical="center"/>
    </xf>
    <xf numFmtId="175" fontId="11" fillId="0" borderId="0" applyAlignment="1" pivotButton="0" quotePrefix="0" xfId="0">
      <alignment vertical="center"/>
    </xf>
    <xf numFmtId="175" fontId="11" fillId="0" borderId="55" applyAlignment="1" pivotButton="0" quotePrefix="0" xfId="0">
      <alignment vertical="center"/>
    </xf>
    <xf numFmtId="166" fontId="11" fillId="0" borderId="56" applyAlignment="1" pivotButton="0" quotePrefix="0" xfId="0">
      <alignment vertical="center"/>
    </xf>
    <xf numFmtId="166" fontId="11" fillId="0" borderId="61" applyAlignment="1" pivotButton="0" quotePrefix="0" xfId="0">
      <alignment vertical="center"/>
    </xf>
    <xf numFmtId="166" fontId="11" fillId="0" borderId="17" applyAlignment="1" pivotButton="0" quotePrefix="0" xfId="0">
      <alignment vertical="center"/>
    </xf>
    <xf numFmtId="166" fontId="11" fillId="0" borderId="62" applyAlignment="1" pivotButton="0" quotePrefix="0" xfId="0">
      <alignment vertical="center"/>
    </xf>
    <xf numFmtId="166" fontId="11" fillId="0" borderId="63" applyAlignment="1" pivotButton="0" quotePrefix="0" xfId="0">
      <alignment vertical="center"/>
    </xf>
    <xf numFmtId="166" fontId="11" fillId="0" borderId="60" applyAlignment="1" pivotButton="0" quotePrefix="0" xfId="0">
      <alignment vertical="center"/>
    </xf>
    <xf numFmtId="175" fontId="11" fillId="0" borderId="24" applyAlignment="1" pivotButton="0" quotePrefix="0" xfId="0">
      <alignment vertical="center"/>
    </xf>
    <xf numFmtId="175" fontId="11" fillId="0" borderId="60" applyAlignment="1" pivotButton="0" quotePrefix="0" xfId="0">
      <alignment vertical="center"/>
    </xf>
    <xf numFmtId="166" fontId="11" fillId="0" borderId="68" applyAlignment="1" pivotButton="0" quotePrefix="0" xfId="0">
      <alignment vertical="center"/>
    </xf>
    <xf numFmtId="166" fontId="11" fillId="0" borderId="69" applyAlignment="1" pivotButton="0" quotePrefix="0" xfId="0">
      <alignment vertical="center"/>
    </xf>
    <xf numFmtId="166" fontId="11" fillId="0" borderId="22" applyAlignment="1" pivotButton="0" quotePrefix="0" xfId="0">
      <alignment vertical="center"/>
    </xf>
    <xf numFmtId="166" fontId="11" fillId="0" borderId="70" applyAlignment="1" pivotButton="0" quotePrefix="0" xfId="0">
      <alignment vertical="center"/>
    </xf>
    <xf numFmtId="176" fontId="11" fillId="0" borderId="71" applyAlignment="1" pivotButton="0" quotePrefix="0" xfId="0">
      <alignment vertical="center"/>
    </xf>
    <xf numFmtId="176" fontId="11" fillId="0" borderId="24" applyAlignment="1" pivotButton="0" quotePrefix="0" xfId="0">
      <alignment vertical="center"/>
    </xf>
    <xf numFmtId="176" fontId="11" fillId="0" borderId="25" applyAlignment="1" pivotButton="0" quotePrefix="0" xfId="0">
      <alignment vertical="center"/>
    </xf>
    <xf numFmtId="176" fontId="11" fillId="0" borderId="27" applyAlignment="1" pivotButton="0" quotePrefix="0" xfId="0">
      <alignment vertical="center"/>
    </xf>
    <xf numFmtId="168" fontId="11" fillId="0" borderId="64" applyAlignment="1" pivotButton="0" quotePrefix="0" xfId="14">
      <alignment vertical="center"/>
    </xf>
    <xf numFmtId="168" fontId="11" fillId="0" borderId="28" applyAlignment="1" pivotButton="0" quotePrefix="0" xfId="14">
      <alignment vertical="center"/>
    </xf>
    <xf numFmtId="168" fontId="11" fillId="0" borderId="65" applyAlignment="1" pivotButton="0" quotePrefix="0" xfId="14">
      <alignment vertical="center"/>
    </xf>
    <xf numFmtId="168" fontId="11" fillId="0" borderId="11" applyAlignment="1" pivotButton="0" quotePrefix="0" xfId="14">
      <alignment vertical="center"/>
    </xf>
    <xf numFmtId="168" fontId="11" fillId="0" borderId="66" applyAlignment="1" pivotButton="0" quotePrefix="0" xfId="14">
      <alignment vertical="center"/>
    </xf>
    <xf numFmtId="168" fontId="11" fillId="0" borderId="67" applyAlignment="1" pivotButton="0" quotePrefix="0" xfId="14">
      <alignment vertical="center"/>
    </xf>
    <xf numFmtId="168" fontId="11" fillId="0" borderId="60" applyAlignment="1" pivotButton="0" quotePrefix="0" xfId="14">
      <alignment vertical="center"/>
    </xf>
    <xf numFmtId="168" fontId="11" fillId="0" borderId="68" applyAlignment="1" pivotButton="0" quotePrefix="0" xfId="14">
      <alignment vertical="center"/>
    </xf>
    <xf numFmtId="168" fontId="11" fillId="0" borderId="69" applyAlignment="1" pivotButton="0" quotePrefix="0" xfId="14">
      <alignment vertical="center"/>
    </xf>
    <xf numFmtId="168" fontId="11" fillId="0" borderId="22" applyAlignment="1" pivotButton="0" quotePrefix="0" xfId="14">
      <alignment vertical="center"/>
    </xf>
    <xf numFmtId="168" fontId="11" fillId="0" borderId="70" applyAlignment="1" pivotButton="0" quotePrefix="0" xfId="14">
      <alignment vertical="center"/>
    </xf>
    <xf numFmtId="0" fontId="11" fillId="0" borderId="71" applyAlignment="1" pivotButton="0" quotePrefix="0" xfId="0">
      <alignment vertical="center"/>
    </xf>
    <xf numFmtId="177" fontId="11" fillId="0" borderId="64" applyAlignment="1" pivotButton="0" quotePrefix="0" xfId="0">
      <alignment vertical="center"/>
    </xf>
    <xf numFmtId="177" fontId="11" fillId="0" borderId="28" applyAlignment="1" pivotButton="0" quotePrefix="0" xfId="0">
      <alignment vertical="center"/>
    </xf>
    <xf numFmtId="177" fontId="11" fillId="0" borderId="13" applyAlignment="1" pivotButton="0" quotePrefix="0" xfId="0">
      <alignment vertical="center"/>
    </xf>
    <xf numFmtId="177" fontId="11" fillId="0" borderId="14" applyAlignment="1" pivotButton="0" quotePrefix="0" xfId="0">
      <alignment vertical="center"/>
    </xf>
    <xf numFmtId="177" fontId="11" fillId="0" borderId="65" applyAlignment="1" pivotButton="0" quotePrefix="0" xfId="0">
      <alignment vertical="center"/>
    </xf>
    <xf numFmtId="177" fontId="11" fillId="0" borderId="15" applyAlignment="1" pivotButton="0" quotePrefix="0" xfId="0">
      <alignment vertical="center"/>
    </xf>
    <xf numFmtId="177" fontId="11" fillId="0" borderId="11" applyAlignment="1" pivotButton="0" quotePrefix="0" xfId="0">
      <alignment vertical="center"/>
    </xf>
    <xf numFmtId="177" fontId="11" fillId="0" borderId="66" applyAlignment="1" pivotButton="0" quotePrefix="0" xfId="0">
      <alignment vertical="center"/>
    </xf>
    <xf numFmtId="177" fontId="11" fillId="0" borderId="67" applyAlignment="1" pivotButton="0" quotePrefix="0" xfId="0">
      <alignment vertical="center"/>
    </xf>
    <xf numFmtId="177" fontId="11" fillId="0" borderId="16" applyAlignment="1" pivotButton="0" quotePrefix="0" xfId="0">
      <alignment vertical="center"/>
    </xf>
    <xf numFmtId="177" fontId="11" fillId="0" borderId="55" applyAlignment="1" pivotButton="0" quotePrefix="0" xfId="0">
      <alignment vertical="center"/>
    </xf>
    <xf numFmtId="177" fontId="11" fillId="0" borderId="56" applyAlignment="1" pivotButton="0" quotePrefix="0" xfId="0">
      <alignment vertical="center"/>
    </xf>
    <xf numFmtId="177" fontId="11" fillId="0" borderId="0" applyAlignment="1" pivotButton="0" quotePrefix="0" xfId="0">
      <alignment vertical="center"/>
    </xf>
    <xf numFmtId="177" fontId="11" fillId="0" borderId="19" applyAlignment="1" pivotButton="0" quotePrefix="0" xfId="0">
      <alignment vertical="center"/>
    </xf>
    <xf numFmtId="177" fontId="11" fillId="0" borderId="61" applyAlignment="1" pivotButton="0" quotePrefix="0" xfId="0">
      <alignment vertical="center"/>
    </xf>
    <xf numFmtId="177" fontId="11" fillId="0" borderId="20" applyAlignment="1" pivotButton="0" quotePrefix="0" xfId="0">
      <alignment vertical="center"/>
    </xf>
    <xf numFmtId="177" fontId="11" fillId="0" borderId="17" applyAlignment="1" pivotButton="0" quotePrefix="0" xfId="0">
      <alignment vertical="center"/>
    </xf>
    <xf numFmtId="177" fontId="11" fillId="0" borderId="62" applyAlignment="1" pivotButton="0" quotePrefix="0" xfId="0">
      <alignment vertical="center"/>
    </xf>
    <xf numFmtId="177" fontId="11" fillId="0" borderId="63" applyAlignment="1" pivotButton="0" quotePrefix="0" xfId="0">
      <alignment vertical="center"/>
    </xf>
    <xf numFmtId="177" fontId="11" fillId="0" borderId="21" applyAlignment="1" pivotButton="0" quotePrefix="0" xfId="0">
      <alignment vertical="center"/>
    </xf>
    <xf numFmtId="177" fontId="11" fillId="0" borderId="60" applyAlignment="1" pivotButton="0" quotePrefix="0" xfId="0">
      <alignment vertical="center"/>
    </xf>
    <xf numFmtId="177" fontId="11" fillId="0" borderId="68" applyAlignment="1" pivotButton="0" quotePrefix="0" xfId="0">
      <alignment vertical="center"/>
    </xf>
    <xf numFmtId="177" fontId="11" fillId="0" borderId="24" applyAlignment="1" pivotButton="0" quotePrefix="0" xfId="0">
      <alignment vertical="center"/>
    </xf>
    <xf numFmtId="166" fontId="11" fillId="0" borderId="71" applyAlignment="1" pivotButton="0" quotePrefix="0" xfId="0">
      <alignment vertical="center"/>
    </xf>
    <xf numFmtId="169" fontId="11" fillId="0" borderId="64" applyAlignment="1" pivotButton="0" quotePrefix="0" xfId="0">
      <alignment vertical="center"/>
    </xf>
    <xf numFmtId="169" fontId="11" fillId="0" borderId="28" applyAlignment="1" pivotButton="0" quotePrefix="0" xfId="0">
      <alignment vertical="center"/>
    </xf>
    <xf numFmtId="169" fontId="11" fillId="0" borderId="65" applyAlignment="1" pivotButton="0" quotePrefix="0" xfId="0">
      <alignment vertical="center"/>
    </xf>
    <xf numFmtId="169" fontId="11" fillId="0" borderId="11" applyAlignment="1" pivotButton="0" quotePrefix="0" xfId="0">
      <alignment vertical="center"/>
    </xf>
    <xf numFmtId="169" fontId="11" fillId="0" borderId="66" applyAlignment="1" pivotButton="0" quotePrefix="0" xfId="0">
      <alignment vertical="center"/>
    </xf>
    <xf numFmtId="169" fontId="11" fillId="0" borderId="67" applyAlignment="1" pivotButton="0" quotePrefix="0" xfId="0">
      <alignment vertical="center"/>
    </xf>
    <xf numFmtId="169" fontId="11" fillId="0" borderId="55" applyAlignment="1" pivotButton="0" quotePrefix="0" xfId="0">
      <alignment vertical="center"/>
    </xf>
    <xf numFmtId="169" fontId="11" fillId="0" borderId="19" applyAlignment="1" pivotButton="0" quotePrefix="0" xfId="0">
      <alignment vertical="center"/>
    </xf>
    <xf numFmtId="169" fontId="11" fillId="0" borderId="56" applyAlignment="1" pivotButton="0" quotePrefix="0" xfId="0">
      <alignment vertical="center"/>
    </xf>
    <xf numFmtId="169" fontId="11" fillId="0" borderId="61" applyAlignment="1" pivotButton="0" quotePrefix="0" xfId="0">
      <alignment vertical="center"/>
    </xf>
    <xf numFmtId="169" fontId="11" fillId="0" borderId="20" applyAlignment="1" pivotButton="0" quotePrefix="0" xfId="0">
      <alignment vertical="center"/>
    </xf>
    <xf numFmtId="169" fontId="11" fillId="0" borderId="17" applyAlignment="1" pivotButton="0" quotePrefix="0" xfId="0">
      <alignment vertical="center"/>
    </xf>
    <xf numFmtId="169" fontId="11" fillId="0" borderId="62" applyAlignment="1" pivotButton="0" quotePrefix="0" xfId="0">
      <alignment vertical="center"/>
    </xf>
    <xf numFmtId="169" fontId="11" fillId="0" borderId="63" applyAlignment="1" pivotButton="0" quotePrefix="0" xfId="0">
      <alignment vertical="center"/>
    </xf>
    <xf numFmtId="169" fontId="11" fillId="0" borderId="21" applyAlignment="1" pivotButton="0" quotePrefix="0" xfId="0">
      <alignment vertical="center"/>
    </xf>
    <xf numFmtId="169" fontId="11" fillId="0" borderId="60" applyAlignment="1" pivotButton="0" quotePrefix="0" xfId="0">
      <alignment vertical="center"/>
    </xf>
    <xf numFmtId="169" fontId="11" fillId="0" borderId="68" applyAlignment="1" pivotButton="0" quotePrefix="0" xfId="0">
      <alignment vertical="center"/>
    </xf>
    <xf numFmtId="169" fontId="11" fillId="0" borderId="69" applyAlignment="1" pivotButton="0" quotePrefix="0" xfId="0">
      <alignment vertical="center"/>
    </xf>
    <xf numFmtId="169" fontId="11" fillId="0" borderId="22" applyAlignment="1" pivotButton="0" quotePrefix="0" xfId="0">
      <alignment vertical="center"/>
    </xf>
    <xf numFmtId="169" fontId="11" fillId="0" borderId="70" applyAlignment="1" pivotButton="0" quotePrefix="0" xfId="0">
      <alignment vertical="center"/>
    </xf>
    <xf numFmtId="169" fontId="11" fillId="0" borderId="71" applyAlignment="1" pivotButton="0" quotePrefix="0" xfId="0">
      <alignment vertical="center"/>
    </xf>
    <xf numFmtId="0" fontId="11" fillId="0" borderId="36" applyAlignment="1" pivotButton="0" quotePrefix="0" xfId="0">
      <alignment vertical="center"/>
    </xf>
    <xf numFmtId="0" fontId="11" fillId="0" borderId="40" applyAlignment="1" pivotButton="0" quotePrefix="0" xfId="0">
      <alignment vertical="center"/>
    </xf>
    <xf numFmtId="0" fontId="11" fillId="0" borderId="42" applyAlignment="1" pivotButton="0" quotePrefix="0" xfId="0">
      <alignment vertical="center"/>
    </xf>
    <xf numFmtId="168" fontId="11" fillId="0" borderId="56" applyAlignment="1" pivotButton="0" quotePrefix="0" xfId="0">
      <alignment vertical="center"/>
    </xf>
    <xf numFmtId="168" fontId="11" fillId="0" borderId="0" applyAlignment="1" pivotButton="0" quotePrefix="0" xfId="0">
      <alignment vertical="center"/>
    </xf>
    <xf numFmtId="168" fontId="11" fillId="0" borderId="55" applyAlignment="1" pivotButton="0" quotePrefix="0" xfId="0">
      <alignment vertical="center"/>
    </xf>
    <xf numFmtId="168" fontId="11" fillId="0" borderId="19" applyAlignment="1" pivotButton="0" quotePrefix="0" xfId="0">
      <alignment vertical="center"/>
    </xf>
    <xf numFmtId="178" fontId="11" fillId="0" borderId="24" applyAlignment="1" pivotButton="0" quotePrefix="0" xfId="0">
      <alignment vertical="center"/>
    </xf>
    <xf numFmtId="170" fontId="11" fillId="0" borderId="55" applyAlignment="1" pivotButton="0" quotePrefix="0" xfId="0">
      <alignment vertical="center"/>
    </xf>
    <xf numFmtId="170" fontId="11" fillId="0" borderId="0" applyAlignment="1" pivotButton="0" quotePrefix="0" xfId="0">
      <alignment vertical="center"/>
    </xf>
    <xf numFmtId="170" fontId="11" fillId="0" borderId="19" applyAlignment="1" pivotButton="0" quotePrefix="0" xfId="0">
      <alignment vertical="center"/>
    </xf>
    <xf numFmtId="170" fontId="11" fillId="0" borderId="56" applyAlignment="1" pivotButton="0" quotePrefix="0" xfId="0">
      <alignment vertical="center"/>
    </xf>
    <xf numFmtId="170" fontId="11" fillId="0" borderId="61" applyAlignment="1" pivotButton="0" quotePrefix="0" xfId="0">
      <alignment vertical="center"/>
    </xf>
    <xf numFmtId="170" fontId="11" fillId="0" borderId="20" applyAlignment="1" pivotButton="0" quotePrefix="0" xfId="0">
      <alignment vertical="center"/>
    </xf>
    <xf numFmtId="170" fontId="11" fillId="0" borderId="17" applyAlignment="1" pivotButton="0" quotePrefix="0" xfId="0">
      <alignment vertical="center"/>
    </xf>
    <xf numFmtId="170" fontId="11" fillId="0" borderId="62" applyAlignment="1" pivotButton="0" quotePrefix="0" xfId="0">
      <alignment vertical="center"/>
    </xf>
    <xf numFmtId="170" fontId="11" fillId="0" borderId="63" applyAlignment="1" pivotButton="0" quotePrefix="0" xfId="0">
      <alignment vertical="center"/>
    </xf>
    <xf numFmtId="170" fontId="11" fillId="0" borderId="21" applyAlignment="1" pivotButton="0" quotePrefix="0" xfId="0">
      <alignment vertical="center"/>
    </xf>
    <xf numFmtId="170" fontId="11" fillId="0" borderId="72" applyAlignment="1" pivotButton="0" quotePrefix="0" xfId="0">
      <alignment vertical="center"/>
    </xf>
    <xf numFmtId="170" fontId="11" fillId="0" borderId="33" applyAlignment="1" pivotButton="0" quotePrefix="0" xfId="0">
      <alignment vertical="center"/>
    </xf>
    <xf numFmtId="170" fontId="11" fillId="0" borderId="73" applyAlignment="1" pivotButton="0" quotePrefix="0" xfId="0">
      <alignment vertical="center"/>
    </xf>
    <xf numFmtId="170" fontId="11" fillId="0" borderId="74" applyAlignment="1" pivotButton="0" quotePrefix="0" xfId="0">
      <alignment vertical="center"/>
    </xf>
    <xf numFmtId="170" fontId="11" fillId="0" borderId="34" applyAlignment="1" pivotButton="0" quotePrefix="0" xfId="0">
      <alignment vertical="center"/>
    </xf>
    <xf numFmtId="170" fontId="11" fillId="0" borderId="30" applyAlignment="1" pivotButton="0" quotePrefix="0" xfId="0">
      <alignment vertical="center"/>
    </xf>
    <xf numFmtId="170" fontId="11" fillId="0" borderId="53" applyAlignment="1" pivotButton="0" quotePrefix="0" xfId="0">
      <alignment vertical="center"/>
    </xf>
    <xf numFmtId="170" fontId="11" fillId="0" borderId="75" applyAlignment="1" pivotButton="0" quotePrefix="0" xfId="0">
      <alignment vertical="center"/>
    </xf>
    <xf numFmtId="170" fontId="11" fillId="0" borderId="35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165" fontId="11" fillId="0" borderId="54" applyAlignment="1" pivotButton="0" quotePrefix="0" xfId="0">
      <alignment vertical="center"/>
    </xf>
    <xf numFmtId="165" fontId="11" fillId="0" borderId="50" applyAlignment="1" pivotButton="0" quotePrefix="0" xfId="0">
      <alignment vertical="center"/>
    </xf>
    <xf numFmtId="165" fontId="11" fillId="0" borderId="51" applyAlignment="1" pivotButton="0" quotePrefix="0" xfId="0">
      <alignment vertical="center"/>
    </xf>
    <xf numFmtId="165" fontId="11" fillId="0" borderId="49" applyAlignment="1" pivotButton="0" quotePrefix="0" xfId="0">
      <alignment vertical="center"/>
    </xf>
    <xf numFmtId="165" fontId="11" fillId="0" borderId="52" applyAlignment="1" pivotButton="0" quotePrefix="0" xfId="0">
      <alignment vertical="center"/>
    </xf>
    <xf numFmtId="165" fontId="11" fillId="0" borderId="55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11" fillId="0" borderId="19" applyAlignment="1" pivotButton="0" quotePrefix="0" xfId="0">
      <alignment vertical="center"/>
    </xf>
    <xf numFmtId="165" fontId="11" fillId="0" borderId="20" applyAlignment="1" pivotButton="0" quotePrefix="0" xfId="0">
      <alignment vertical="center"/>
    </xf>
    <xf numFmtId="165" fontId="11" fillId="0" borderId="21" applyAlignment="1" pivotButton="0" quotePrefix="0" xfId="0">
      <alignment vertical="center"/>
    </xf>
    <xf numFmtId="0" fontId="11" fillId="0" borderId="13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168" fontId="11" fillId="0" borderId="64" applyAlignment="1" pivotButton="0" quotePrefix="0" xfId="0">
      <alignment vertical="center"/>
    </xf>
    <xf numFmtId="168" fontId="11" fillId="0" borderId="13" applyAlignment="1" pivotButton="0" quotePrefix="0" xfId="0">
      <alignment vertical="center"/>
    </xf>
    <xf numFmtId="168" fontId="11" fillId="0" borderId="14" applyAlignment="1" pivotButton="0" quotePrefix="0" xfId="0">
      <alignment vertical="center"/>
    </xf>
    <xf numFmtId="168" fontId="11" fillId="0" borderId="15" applyAlignment="1" pivotButton="0" quotePrefix="0" xfId="0">
      <alignment vertical="center"/>
    </xf>
    <xf numFmtId="168" fontId="11" fillId="0" borderId="16" applyAlignment="1" pivotButton="0" quotePrefix="0" xfId="0">
      <alignment vertical="center"/>
    </xf>
    <xf numFmtId="0" fontId="11" fillId="0" borderId="32" applyAlignment="1" pivotButton="0" quotePrefix="0" xfId="0">
      <alignment horizontal="center" vertical="center"/>
    </xf>
    <xf numFmtId="165" fontId="11" fillId="0" borderId="72" applyAlignment="1" pivotButton="0" quotePrefix="0" xfId="0">
      <alignment vertical="center"/>
    </xf>
    <xf numFmtId="165" fontId="11" fillId="0" borderId="32" applyAlignment="1" pivotButton="0" quotePrefix="0" xfId="0">
      <alignment vertical="center"/>
    </xf>
    <xf numFmtId="165" fontId="11" fillId="0" borderId="33" applyAlignment="1" pivotButton="0" quotePrefix="0" xfId="0">
      <alignment vertical="center"/>
    </xf>
    <xf numFmtId="165" fontId="11" fillId="0" borderId="34" applyAlignment="1" pivotButton="0" quotePrefix="0" xfId="0">
      <alignment vertical="center"/>
    </xf>
    <xf numFmtId="165" fontId="11" fillId="0" borderId="35" applyAlignment="1" pivotButton="0" quotePrefix="0" xfId="0">
      <alignment vertical="center"/>
    </xf>
    <xf numFmtId="0" fontId="11" fillId="0" borderId="50" applyAlignment="1" pivotButton="0" quotePrefix="0" xfId="0">
      <alignment horizontal="center" vertical="center"/>
    </xf>
    <xf numFmtId="178" fontId="11" fillId="0" borderId="55" applyAlignment="1" pivotButton="0" quotePrefix="0" xfId="0">
      <alignment vertical="center"/>
    </xf>
    <xf numFmtId="178" fontId="11" fillId="0" borderId="0" applyAlignment="1" pivotButton="0" quotePrefix="0" xfId="0">
      <alignment vertical="center"/>
    </xf>
    <xf numFmtId="178" fontId="11" fillId="0" borderId="19" applyAlignment="1" pivotButton="0" quotePrefix="0" xfId="0">
      <alignment vertical="center"/>
    </xf>
    <xf numFmtId="178" fontId="11" fillId="0" borderId="20" applyAlignment="1" pivotButton="0" quotePrefix="0" xfId="0">
      <alignment vertical="center"/>
    </xf>
    <xf numFmtId="178" fontId="11" fillId="0" borderId="21" applyAlignment="1" pivotButton="0" quotePrefix="0" xfId="0">
      <alignment vertical="center"/>
    </xf>
    <xf numFmtId="178" fontId="11" fillId="0" borderId="72" applyAlignment="1" pivotButton="0" quotePrefix="0" xfId="0">
      <alignment vertical="center"/>
    </xf>
    <xf numFmtId="178" fontId="11" fillId="0" borderId="32" applyAlignment="1" pivotButton="0" quotePrefix="0" xfId="0">
      <alignment vertical="center"/>
    </xf>
    <xf numFmtId="178" fontId="11" fillId="0" borderId="33" applyAlignment="1" pivotButton="0" quotePrefix="0" xfId="0">
      <alignment vertical="center"/>
    </xf>
    <xf numFmtId="178" fontId="11" fillId="0" borderId="34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12" fillId="0" borderId="13" applyAlignment="1" pivotButton="0" quotePrefix="0" xfId="0">
      <alignment vertical="center"/>
    </xf>
    <xf numFmtId="0" fontId="12" fillId="0" borderId="13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12" fillId="0" borderId="17" applyAlignment="1" pivotButton="0" quotePrefix="0" xfId="0">
      <alignment vertical="center"/>
    </xf>
    <xf numFmtId="0" fontId="8" fillId="0" borderId="37" applyAlignment="1" pivotButton="0" quotePrefix="0" xfId="0">
      <alignment horizontal="center" vertical="center"/>
    </xf>
    <xf numFmtId="169" fontId="11" fillId="0" borderId="49" applyAlignment="1" pivotButton="0" quotePrefix="0" xfId="0">
      <alignment horizontal="center" vertical="center"/>
    </xf>
    <xf numFmtId="169" fontId="11" fillId="0" borderId="50" applyAlignment="1" pivotButton="0" quotePrefix="0" xfId="0">
      <alignment horizontal="center" vertical="center"/>
    </xf>
    <xf numFmtId="169" fontId="11" fillId="0" borderId="51" applyAlignment="1" pivotButton="0" quotePrefix="0" xfId="0">
      <alignment horizontal="center" vertical="center"/>
    </xf>
    <xf numFmtId="169" fontId="11" fillId="0" borderId="58" applyAlignment="1" pivotButton="0" quotePrefix="0" xfId="0">
      <alignment horizontal="center" vertical="center"/>
    </xf>
    <xf numFmtId="1" fontId="11" fillId="0" borderId="52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169" fontId="11" fillId="0" borderId="33" applyAlignment="1" pivotButton="0" quotePrefix="0" xfId="0">
      <alignment horizontal="center" vertical="center"/>
    </xf>
    <xf numFmtId="169" fontId="11" fillId="0" borderId="34" applyAlignment="1" pivotButton="0" quotePrefix="0" xfId="0">
      <alignment horizontal="center" vertical="center"/>
    </xf>
    <xf numFmtId="169" fontId="11" fillId="0" borderId="53" applyAlignment="1" pivotButton="0" quotePrefix="0" xfId="0">
      <alignment horizontal="center" vertical="center"/>
    </xf>
    <xf numFmtId="169" fontId="11" fillId="0" borderId="32" applyAlignment="1" pivotButton="0" quotePrefix="0" xfId="0">
      <alignment horizontal="center" vertical="center"/>
    </xf>
    <xf numFmtId="0" fontId="11" fillId="0" borderId="35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69" fontId="11" fillId="0" borderId="49" applyAlignment="1" pivotButton="0" quotePrefix="0" xfId="0">
      <alignment vertical="center"/>
    </xf>
    <xf numFmtId="169" fontId="11" fillId="0" borderId="50" applyAlignment="1" pivotButton="0" quotePrefix="0" xfId="0">
      <alignment vertical="center"/>
    </xf>
    <xf numFmtId="169" fontId="11" fillId="0" borderId="51" applyAlignment="1" pivotButton="0" quotePrefix="0" xfId="0">
      <alignment vertical="center"/>
    </xf>
    <xf numFmtId="166" fontId="11" fillId="0" borderId="58" applyAlignment="1" pivotButton="0" quotePrefix="0" xfId="0">
      <alignment vertical="center"/>
    </xf>
    <xf numFmtId="166" fontId="11" fillId="0" borderId="52" applyAlignment="1" pivotButton="0" quotePrefix="0" xfId="0">
      <alignment vertical="center"/>
    </xf>
    <xf numFmtId="0" fontId="8" fillId="0" borderId="17" applyAlignment="1" pivotButton="0" quotePrefix="0" xfId="0">
      <alignment horizontal="center" vertical="center"/>
    </xf>
    <xf numFmtId="166" fontId="15" fillId="0" borderId="21" applyAlignment="1" pivotButton="0" quotePrefix="0" xfId="0">
      <alignment vertical="center"/>
    </xf>
    <xf numFmtId="0" fontId="8" fillId="0" borderId="22" applyAlignment="1" pivotButton="0" quotePrefix="0" xfId="0">
      <alignment horizontal="center" vertical="center"/>
    </xf>
    <xf numFmtId="9" fontId="11" fillId="0" borderId="70" applyAlignment="1" pivotButton="0" quotePrefix="0" xfId="14">
      <alignment vertical="center"/>
    </xf>
    <xf numFmtId="9" fontId="11" fillId="0" borderId="27" applyAlignment="1" pivotButton="0" quotePrefix="0" xfId="14">
      <alignment vertical="center"/>
    </xf>
    <xf numFmtId="0" fontId="11" fillId="0" borderId="17" applyAlignment="1" pivotButton="0" quotePrefix="0" xfId="0">
      <alignment horizontal="center" vertical="center"/>
    </xf>
    <xf numFmtId="0" fontId="11" fillId="0" borderId="62" applyAlignment="1" pivotButton="0" quotePrefix="0" xfId="0">
      <alignment vertical="center"/>
    </xf>
    <xf numFmtId="9" fontId="11" fillId="0" borderId="34" applyAlignment="1" pivotButton="0" quotePrefix="0" xfId="14">
      <alignment vertical="center"/>
    </xf>
    <xf numFmtId="9" fontId="11" fillId="0" borderId="32" applyAlignment="1" pivotButton="0" quotePrefix="0" xfId="14">
      <alignment vertical="center"/>
    </xf>
    <xf numFmtId="9" fontId="11" fillId="0" borderId="33" applyAlignment="1" pivotButton="0" quotePrefix="0" xfId="14">
      <alignment vertical="center"/>
    </xf>
    <xf numFmtId="0" fontId="11" fillId="0" borderId="53" applyAlignment="1" pivotButton="0" quotePrefix="0" xfId="0">
      <alignment vertical="center"/>
    </xf>
    <xf numFmtId="169" fontId="11" fillId="0" borderId="58" applyAlignment="1" pivotButton="0" quotePrefix="0" xfId="0">
      <alignment vertical="center"/>
    </xf>
    <xf numFmtId="172" fontId="11" fillId="0" borderId="20" applyAlignment="1" pivotButton="0" quotePrefix="0" xfId="0">
      <alignment vertical="center"/>
    </xf>
    <xf numFmtId="172" fontId="11" fillId="0" borderId="19" applyAlignment="1" pivotButton="0" quotePrefix="0" xfId="0">
      <alignment vertical="center"/>
    </xf>
    <xf numFmtId="172" fontId="11" fillId="0" borderId="62" applyAlignment="1" pivotButton="0" quotePrefix="0" xfId="0">
      <alignment vertical="center"/>
    </xf>
    <xf numFmtId="0" fontId="11" fillId="0" borderId="70" applyAlignment="1" pivotButton="0" quotePrefix="0" xfId="0">
      <alignment vertical="center"/>
    </xf>
    <xf numFmtId="0" fontId="11" fillId="0" borderId="13" applyAlignment="1" pivotButton="0" quotePrefix="0" xfId="0">
      <alignment vertical="center"/>
    </xf>
    <xf numFmtId="168" fontId="11" fillId="0" borderId="27" applyAlignment="1" pivotButton="0" quotePrefix="0" xfId="14">
      <alignment vertical="center"/>
    </xf>
    <xf numFmtId="166" fontId="12" fillId="0" borderId="0" applyAlignment="1" pivotButton="0" quotePrefix="0" xfId="0">
      <alignment vertical="center"/>
    </xf>
    <xf numFmtId="0" fontId="10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78" applyAlignment="1" pivotButton="0" quotePrefix="0" xfId="0">
      <alignment horizontal="center" vertical="center"/>
    </xf>
    <xf numFmtId="179" fontId="11" fillId="0" borderId="76" applyAlignment="1" pivotButton="0" quotePrefix="0" xfId="0">
      <alignment vertical="center"/>
    </xf>
    <xf numFmtId="179" fontId="11" fillId="0" borderId="50" applyAlignment="1" pivotButton="0" quotePrefix="0" xfId="0">
      <alignment vertical="center"/>
    </xf>
    <xf numFmtId="179" fontId="11" fillId="0" borderId="49" applyAlignment="1" pivotButton="0" quotePrefix="0" xfId="0">
      <alignment vertical="center"/>
    </xf>
    <xf numFmtId="179" fontId="11" fillId="0" borderId="51" applyAlignment="1" pivotButton="0" quotePrefix="0" xfId="0">
      <alignment vertical="center"/>
    </xf>
    <xf numFmtId="179" fontId="11" fillId="0" borderId="52" applyAlignment="1" pivotButton="0" quotePrefix="0" xfId="0">
      <alignment vertical="center"/>
    </xf>
    <xf numFmtId="179" fontId="11" fillId="0" borderId="56" applyAlignment="1" pivotButton="0" quotePrefix="0" xfId="0">
      <alignment vertical="center"/>
    </xf>
    <xf numFmtId="179" fontId="11" fillId="0" borderId="0" applyAlignment="1" pivotButton="0" quotePrefix="0" xfId="0">
      <alignment vertical="center"/>
    </xf>
    <xf numFmtId="179" fontId="11" fillId="0" borderId="20" applyAlignment="1" pivotButton="0" quotePrefix="0" xfId="0">
      <alignment vertical="center"/>
    </xf>
    <xf numFmtId="179" fontId="11" fillId="0" borderId="19" applyAlignment="1" pivotButton="0" quotePrefix="0" xfId="0">
      <alignment vertical="center"/>
    </xf>
    <xf numFmtId="179" fontId="11" fillId="0" borderId="21" applyAlignment="1" pivotButton="0" quotePrefix="0" xfId="0">
      <alignment vertical="center"/>
    </xf>
    <xf numFmtId="180" fontId="11" fillId="0" borderId="28" applyAlignment="1" pivotButton="0" quotePrefix="0" xfId="0">
      <alignment vertical="center"/>
    </xf>
    <xf numFmtId="180" fontId="11" fillId="0" borderId="13" applyAlignment="1" pivotButton="0" quotePrefix="0" xfId="0">
      <alignment vertical="center"/>
    </xf>
    <xf numFmtId="180" fontId="11" fillId="0" borderId="15" applyAlignment="1" pivotButton="0" quotePrefix="0" xfId="0">
      <alignment vertical="center"/>
    </xf>
    <xf numFmtId="180" fontId="11" fillId="0" borderId="14" applyAlignment="1" pivotButton="0" quotePrefix="0" xfId="0">
      <alignment vertical="center"/>
    </xf>
    <xf numFmtId="180" fontId="11" fillId="0" borderId="16" applyAlignment="1" pivotButton="0" quotePrefix="0" xfId="0">
      <alignment vertical="center"/>
    </xf>
    <xf numFmtId="180" fontId="11" fillId="0" borderId="56" applyAlignment="1" pivotButton="0" quotePrefix="0" xfId="0">
      <alignment vertical="center"/>
    </xf>
    <xf numFmtId="180" fontId="11" fillId="0" borderId="0" applyAlignment="1" pivotButton="0" quotePrefix="0" xfId="0">
      <alignment vertical="center"/>
    </xf>
    <xf numFmtId="180" fontId="11" fillId="0" borderId="20" applyAlignment="1" pivotButton="0" quotePrefix="0" xfId="0">
      <alignment vertical="center"/>
    </xf>
    <xf numFmtId="180" fontId="11" fillId="0" borderId="19" applyAlignment="1" pivotButton="0" quotePrefix="0" xfId="0">
      <alignment vertical="center"/>
    </xf>
    <xf numFmtId="180" fontId="11" fillId="0" borderId="21" applyAlignment="1" pivotButton="0" quotePrefix="0" xfId="0">
      <alignment vertical="center"/>
    </xf>
    <xf numFmtId="180" fontId="11" fillId="0" borderId="68" applyAlignment="1" pivotButton="0" quotePrefix="0" xfId="0">
      <alignment vertical="center"/>
    </xf>
    <xf numFmtId="180" fontId="11" fillId="0" borderId="24" applyAlignment="1" pivotButton="0" quotePrefix="0" xfId="0">
      <alignment vertical="center"/>
    </xf>
    <xf numFmtId="180" fontId="11" fillId="0" borderId="26" applyAlignment="1" pivotButton="0" quotePrefix="0" xfId="0">
      <alignment vertical="center"/>
    </xf>
    <xf numFmtId="180" fontId="11" fillId="0" borderId="25" applyAlignment="1" pivotButton="0" quotePrefix="0" xfId="0">
      <alignment vertical="center"/>
    </xf>
    <xf numFmtId="180" fontId="11" fillId="0" borderId="27" applyAlignment="1" pivotButton="0" quotePrefix="0" xfId="0">
      <alignment vertical="center"/>
    </xf>
    <xf numFmtId="179" fontId="11" fillId="0" borderId="28" applyAlignment="1" pivotButton="0" quotePrefix="0" xfId="0">
      <alignment vertical="center"/>
    </xf>
    <xf numFmtId="179" fontId="11" fillId="0" borderId="13" applyAlignment="1" pivotButton="0" quotePrefix="0" xfId="0">
      <alignment vertical="center"/>
    </xf>
    <xf numFmtId="179" fontId="11" fillId="0" borderId="15" applyAlignment="1" pivotButton="0" quotePrefix="0" xfId="0">
      <alignment vertical="center"/>
    </xf>
    <xf numFmtId="179" fontId="11" fillId="0" borderId="14" applyAlignment="1" pivotButton="0" quotePrefix="0" xfId="0">
      <alignment vertical="center"/>
    </xf>
    <xf numFmtId="179" fontId="11" fillId="0" borderId="16" applyAlignment="1" pivotButton="0" quotePrefix="0" xfId="0">
      <alignment vertical="center"/>
    </xf>
    <xf numFmtId="179" fontId="11" fillId="0" borderId="68" applyAlignment="1" pivotButton="0" quotePrefix="0" xfId="0">
      <alignment vertical="center"/>
    </xf>
    <xf numFmtId="179" fontId="11" fillId="0" borderId="24" applyAlignment="1" pivotButton="0" quotePrefix="0" xfId="0">
      <alignment vertical="center"/>
    </xf>
    <xf numFmtId="179" fontId="11" fillId="0" borderId="26" applyAlignment="1" pivotButton="0" quotePrefix="0" xfId="0">
      <alignment vertical="center"/>
    </xf>
    <xf numFmtId="179" fontId="11" fillId="0" borderId="25" applyAlignment="1" pivotButton="0" quotePrefix="0" xfId="0">
      <alignment vertical="center"/>
    </xf>
    <xf numFmtId="179" fontId="11" fillId="0" borderId="27" applyAlignment="1" pivotButton="0" quotePrefix="0" xfId="0">
      <alignment vertical="center"/>
    </xf>
    <xf numFmtId="181" fontId="11" fillId="0" borderId="28" applyAlignment="1" pivotButton="0" quotePrefix="0" xfId="0">
      <alignment vertical="center"/>
    </xf>
    <xf numFmtId="181" fontId="11" fillId="0" borderId="13" applyAlignment="1" pivotButton="0" quotePrefix="0" xfId="0">
      <alignment vertical="center"/>
    </xf>
    <xf numFmtId="181" fontId="11" fillId="0" borderId="15" applyAlignment="1" pivotButton="0" quotePrefix="0" xfId="0">
      <alignment vertical="center"/>
    </xf>
    <xf numFmtId="181" fontId="11" fillId="0" borderId="14" applyAlignment="1" pivotButton="0" quotePrefix="0" xfId="0">
      <alignment vertical="center"/>
    </xf>
    <xf numFmtId="181" fontId="11" fillId="0" borderId="16" applyAlignment="1" pivotButton="0" quotePrefix="0" xfId="0">
      <alignment vertical="center"/>
    </xf>
    <xf numFmtId="181" fontId="11" fillId="0" borderId="56" applyAlignment="1" pivotButton="0" quotePrefix="0" xfId="0">
      <alignment vertical="center"/>
    </xf>
    <xf numFmtId="181" fontId="11" fillId="0" borderId="0" applyAlignment="1" pivotButton="0" quotePrefix="0" xfId="0">
      <alignment vertical="center"/>
    </xf>
    <xf numFmtId="181" fontId="11" fillId="0" borderId="20" applyAlignment="1" pivotButton="0" quotePrefix="0" xfId="0">
      <alignment vertical="center"/>
    </xf>
    <xf numFmtId="181" fontId="11" fillId="0" borderId="19" applyAlignment="1" pivotButton="0" quotePrefix="0" xfId="0">
      <alignment vertical="center"/>
    </xf>
    <xf numFmtId="181" fontId="11" fillId="0" borderId="21" applyAlignment="1" pivotButton="0" quotePrefix="0" xfId="0">
      <alignment vertical="center"/>
    </xf>
    <xf numFmtId="181" fontId="11" fillId="0" borderId="68" applyAlignment="1" pivotButton="0" quotePrefix="0" xfId="0">
      <alignment vertical="center"/>
    </xf>
    <xf numFmtId="181" fontId="11" fillId="0" borderId="24" applyAlignment="1" pivotButton="0" quotePrefix="0" xfId="0">
      <alignment vertical="center"/>
    </xf>
    <xf numFmtId="181" fontId="11" fillId="0" borderId="26" applyAlignment="1" pivotButton="0" quotePrefix="0" xfId="0">
      <alignment vertical="center"/>
    </xf>
    <xf numFmtId="181" fontId="11" fillId="0" borderId="25" applyAlignment="1" pivotButton="0" quotePrefix="0" xfId="0">
      <alignment vertical="center"/>
    </xf>
    <xf numFmtId="179" fontId="11" fillId="0" borderId="73" applyAlignment="1" pivotButton="0" quotePrefix="0" xfId="0">
      <alignment vertical="center"/>
    </xf>
    <xf numFmtId="179" fontId="11" fillId="0" borderId="32" applyAlignment="1" pivotButton="0" quotePrefix="0" xfId="0">
      <alignment vertical="center"/>
    </xf>
    <xf numFmtId="179" fontId="11" fillId="0" borderId="34" applyAlignment="1" pivotButton="0" quotePrefix="0" xfId="0">
      <alignment vertical="center"/>
    </xf>
    <xf numFmtId="179" fontId="11" fillId="0" borderId="33" applyAlignment="1" pivotButton="0" quotePrefix="0" xfId="0">
      <alignment vertical="center"/>
    </xf>
    <xf numFmtId="179" fontId="11" fillId="0" borderId="35" applyAlignment="1" pivotButton="0" quotePrefix="0" xfId="0">
      <alignment vertical="center"/>
    </xf>
    <xf numFmtId="0" fontId="11" fillId="0" borderId="50" applyAlignment="1" pivotButton="0" quotePrefix="0" xfId="0">
      <alignment vertical="center"/>
    </xf>
    <xf numFmtId="167" fontId="11" fillId="0" borderId="76" applyAlignment="1" pivotButton="0" quotePrefix="0" xfId="0">
      <alignment vertical="center"/>
    </xf>
    <xf numFmtId="167" fontId="11" fillId="0" borderId="50" applyAlignment="1" pivotButton="0" quotePrefix="0" xfId="0">
      <alignment vertical="center"/>
    </xf>
    <xf numFmtId="167" fontId="11" fillId="0" borderId="49" applyAlignment="1" pivotButton="0" quotePrefix="0" xfId="0">
      <alignment vertical="center"/>
    </xf>
    <xf numFmtId="167" fontId="11" fillId="0" borderId="51" applyAlignment="1" pivotButton="0" quotePrefix="0" xfId="0">
      <alignment vertical="center"/>
    </xf>
    <xf numFmtId="167" fontId="11" fillId="0" borderId="52" applyAlignment="1" pivotButton="0" quotePrefix="0" xfId="0">
      <alignment vertical="center"/>
    </xf>
    <xf numFmtId="167" fontId="11" fillId="0" borderId="56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1" fillId="0" borderId="20" applyAlignment="1" pivotButton="0" quotePrefix="0" xfId="0">
      <alignment vertical="center"/>
    </xf>
    <xf numFmtId="167" fontId="11" fillId="0" borderId="19" applyAlignment="1" pivotButton="0" quotePrefix="0" xfId="0">
      <alignment vertical="center"/>
    </xf>
    <xf numFmtId="167" fontId="11" fillId="0" borderId="21" applyAlignment="1" pivotButton="0" quotePrefix="0" xfId="0">
      <alignment vertical="center"/>
    </xf>
    <xf numFmtId="167" fontId="11" fillId="0" borderId="28" applyAlignment="1" pivotButton="0" quotePrefix="0" xfId="0">
      <alignment vertical="center"/>
    </xf>
    <xf numFmtId="167" fontId="11" fillId="0" borderId="13" applyAlignment="1" pivotButton="0" quotePrefix="0" xfId="0">
      <alignment vertical="center"/>
    </xf>
    <xf numFmtId="167" fontId="11" fillId="0" borderId="15" applyAlignment="1" pivotButton="0" quotePrefix="0" xfId="0">
      <alignment vertical="center"/>
    </xf>
    <xf numFmtId="167" fontId="11" fillId="0" borderId="14" applyAlignment="1" pivotButton="0" quotePrefix="0" xfId="0">
      <alignment vertical="center"/>
    </xf>
    <xf numFmtId="167" fontId="11" fillId="0" borderId="16" applyAlignment="1" pivotButton="0" quotePrefix="0" xfId="0">
      <alignment vertical="center"/>
    </xf>
    <xf numFmtId="167" fontId="11" fillId="0" borderId="68" applyAlignment="1" pivotButton="0" quotePrefix="0" xfId="0">
      <alignment vertical="center"/>
    </xf>
    <xf numFmtId="167" fontId="11" fillId="0" borderId="24" applyAlignment="1" pivotButton="0" quotePrefix="0" xfId="0">
      <alignment vertical="center"/>
    </xf>
    <xf numFmtId="167" fontId="11" fillId="0" borderId="26" applyAlignment="1" pivotButton="0" quotePrefix="0" xfId="0">
      <alignment vertical="center"/>
    </xf>
    <xf numFmtId="167" fontId="11" fillId="0" borderId="25" applyAlignment="1" pivotButton="0" quotePrefix="0" xfId="0">
      <alignment vertical="center"/>
    </xf>
    <xf numFmtId="167" fontId="11" fillId="0" borderId="27" applyAlignment="1" pivotButton="0" quotePrefix="0" xfId="0">
      <alignment vertical="center"/>
    </xf>
    <xf numFmtId="0" fontId="11" fillId="0" borderId="42" applyAlignment="1" pivotButton="0" quotePrefix="0" xfId="0">
      <alignment horizontal="center" vertical="center"/>
    </xf>
    <xf numFmtId="167" fontId="11" fillId="0" borderId="73" applyAlignment="1" pivotButton="0" quotePrefix="0" xfId="0">
      <alignment vertical="center"/>
    </xf>
    <xf numFmtId="167" fontId="11" fillId="0" borderId="32" applyAlignment="1" pivotButton="0" quotePrefix="0" xfId="0">
      <alignment vertical="center"/>
    </xf>
    <xf numFmtId="167" fontId="11" fillId="0" borderId="34" applyAlignment="1" pivotButton="0" quotePrefix="0" xfId="0">
      <alignment vertical="center"/>
    </xf>
    <xf numFmtId="167" fontId="11" fillId="0" borderId="33" applyAlignment="1" pivotButton="0" quotePrefix="0" xfId="0">
      <alignment vertical="center"/>
    </xf>
    <xf numFmtId="167" fontId="11" fillId="0" borderId="35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82" fontId="11" fillId="0" borderId="38" applyAlignment="1" pivotButton="0" quotePrefix="0" xfId="0">
      <alignment horizontal="right" vertical="center"/>
    </xf>
    <xf numFmtId="182" fontId="11" fillId="0" borderId="52" applyAlignment="1" pivotButton="0" quotePrefix="0" xfId="0">
      <alignment horizontal="right" vertical="center"/>
    </xf>
    <xf numFmtId="182" fontId="11" fillId="0" borderId="0" applyAlignment="1" pivotButton="0" quotePrefix="0" xfId="0">
      <alignment horizontal="right" vertical="center"/>
    </xf>
    <xf numFmtId="182" fontId="11" fillId="0" borderId="40" applyAlignment="1" pivotButton="0" quotePrefix="0" xfId="0">
      <alignment horizontal="right" vertical="center"/>
    </xf>
    <xf numFmtId="182" fontId="11" fillId="0" borderId="21" applyAlignment="1" pivotButton="0" quotePrefix="0" xfId="0">
      <alignment horizontal="right" vertical="center"/>
    </xf>
    <xf numFmtId="183" fontId="11" fillId="0" borderId="40" applyAlignment="1" pivotButton="0" quotePrefix="0" xfId="0">
      <alignment horizontal="right" vertical="center"/>
    </xf>
    <xf numFmtId="183" fontId="11" fillId="0" borderId="21" applyAlignment="1" pivotButton="0" quotePrefix="0" xfId="0">
      <alignment horizontal="right" vertical="center"/>
    </xf>
    <xf numFmtId="183" fontId="11" fillId="0" borderId="0" applyAlignment="1" pivotButton="0" quotePrefix="0" xfId="0">
      <alignment horizontal="right" vertical="center"/>
    </xf>
    <xf numFmtId="168" fontId="11" fillId="0" borderId="40" applyAlignment="1" pivotButton="0" quotePrefix="0" xfId="14">
      <alignment horizontal="right" vertical="center"/>
    </xf>
    <xf numFmtId="168" fontId="11" fillId="0" borderId="21" applyAlignment="1" pivotButton="0" quotePrefix="0" xfId="14">
      <alignment horizontal="right" vertical="center"/>
    </xf>
    <xf numFmtId="168" fontId="11" fillId="0" borderId="0" applyAlignment="1" pivotButton="0" quotePrefix="0" xfId="14">
      <alignment horizontal="right" vertical="center"/>
    </xf>
    <xf numFmtId="0" fontId="8" fillId="0" borderId="13" applyAlignment="1" pivotButton="0" quotePrefix="0" xfId="0">
      <alignment horizontal="center" vertical="center"/>
    </xf>
    <xf numFmtId="182" fontId="11" fillId="0" borderId="36" applyAlignment="1" pivotButton="0" quotePrefix="0" xfId="0">
      <alignment horizontal="right" vertical="center"/>
    </xf>
    <xf numFmtId="0" fontId="11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0" borderId="24" applyAlignment="1" pivotButton="0" quotePrefix="0" xfId="0">
      <alignment horizontal="center" vertical="center"/>
    </xf>
    <xf numFmtId="182" fontId="11" fillId="0" borderId="36" applyAlignment="1" pivotButton="0" quotePrefix="0" xfId="0">
      <alignment vertical="center"/>
    </xf>
    <xf numFmtId="182" fontId="11" fillId="0" borderId="16" applyAlignment="1" pivotButton="0" quotePrefix="0" xfId="0">
      <alignment vertical="center"/>
    </xf>
    <xf numFmtId="182" fontId="11" fillId="0" borderId="0" applyAlignment="1" pivotButton="0" quotePrefix="0" xfId="0">
      <alignment vertical="center"/>
    </xf>
    <xf numFmtId="182" fontId="11" fillId="0" borderId="42" applyAlignment="1" pivotButton="0" quotePrefix="0" xfId="0">
      <alignment horizontal="right" vertical="center"/>
    </xf>
    <xf numFmtId="182" fontId="11" fillId="0" borderId="27" applyAlignment="1" pivotButton="0" quotePrefix="0" xfId="0">
      <alignment horizontal="right" vertical="center"/>
    </xf>
    <xf numFmtId="182" fontId="11" fillId="0" borderId="40" applyAlignment="1" pivotButton="0" quotePrefix="0" xfId="0">
      <alignment vertical="center"/>
    </xf>
    <xf numFmtId="0" fontId="8" fillId="0" borderId="32" applyAlignment="1" pivotButton="0" quotePrefix="0" xfId="0">
      <alignment horizontal="center" vertical="center"/>
    </xf>
    <xf numFmtId="182" fontId="11" fillId="0" borderId="45" applyAlignment="1" pivotButton="0" quotePrefix="0" xfId="0">
      <alignment horizontal="right" vertical="center"/>
    </xf>
    <xf numFmtId="0" fontId="11" fillId="0" borderId="45" applyAlignment="1" pivotButton="0" quotePrefix="0" xfId="0">
      <alignment vertical="center"/>
    </xf>
    <xf numFmtId="0" fontId="8" fillId="0" borderId="50" applyAlignment="1" pivotButton="0" quotePrefix="0" xfId="0">
      <alignment horizontal="center" vertical="center"/>
    </xf>
    <xf numFmtId="184" fontId="11" fillId="0" borderId="0" applyAlignment="1" pivotButton="0" quotePrefix="0" xfId="0">
      <alignment horizontal="right" vertical="center"/>
    </xf>
    <xf numFmtId="185" fontId="11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167" fontId="11" fillId="0" borderId="19" applyAlignment="1" pivotButton="0" quotePrefix="0" xfId="0">
      <alignment horizontal="right" vertical="center"/>
    </xf>
    <xf numFmtId="167" fontId="11" fillId="0" borderId="32" applyAlignment="1" pivotButton="0" quotePrefix="0" xfId="0">
      <alignment horizontal="right" vertical="center"/>
    </xf>
    <xf numFmtId="167" fontId="11" fillId="0" borderId="33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/>
    </xf>
    <xf numFmtId="0" fontId="11" fillId="0" borderId="38" applyAlignment="1" pivotButton="0" quotePrefix="0" xfId="0">
      <alignment vertical="center"/>
    </xf>
    <xf numFmtId="167" fontId="11" fillId="0" borderId="38" applyAlignment="1" pivotButton="0" quotePrefix="0" xfId="0">
      <alignment vertical="center"/>
    </xf>
    <xf numFmtId="167" fontId="11" fillId="0" borderId="39" applyAlignment="1" pivotButton="0" quotePrefix="0" xfId="0">
      <alignment vertical="center"/>
    </xf>
    <xf numFmtId="167" fontId="11" fillId="0" borderId="40" applyAlignment="1" pivotButton="0" quotePrefix="0" xfId="0">
      <alignment vertical="center"/>
    </xf>
    <xf numFmtId="167" fontId="11" fillId="0" borderId="41" applyAlignment="1" pivotButton="0" quotePrefix="0" xfId="0">
      <alignment vertical="center"/>
    </xf>
    <xf numFmtId="167" fontId="11" fillId="0" borderId="36" applyAlignment="1" pivotButton="0" quotePrefix="0" xfId="0">
      <alignment vertical="center"/>
    </xf>
    <xf numFmtId="167" fontId="11" fillId="0" borderId="44" applyAlignment="1" pivotButton="0" quotePrefix="0" xfId="0">
      <alignment vertical="center"/>
    </xf>
    <xf numFmtId="167" fontId="11" fillId="0" borderId="42" applyAlignment="1" pivotButton="0" quotePrefix="0" xfId="0">
      <alignment vertical="center"/>
    </xf>
    <xf numFmtId="167" fontId="11" fillId="0" borderId="43" applyAlignment="1" pivotButton="0" quotePrefix="0" xfId="0">
      <alignment vertical="center"/>
    </xf>
    <xf numFmtId="167" fontId="11" fillId="0" borderId="45" applyAlignment="1" pivotButton="0" quotePrefix="0" xfId="0">
      <alignment vertical="center"/>
    </xf>
    <xf numFmtId="167" fontId="11" fillId="0" borderId="46" applyAlignment="1" pivotButton="0" quotePrefix="0" xfId="0">
      <alignment vertical="center"/>
    </xf>
    <xf numFmtId="173" fontId="11" fillId="0" borderId="36" applyAlignment="1" pivotButton="0" quotePrefix="0" xfId="0">
      <alignment vertical="center"/>
    </xf>
    <xf numFmtId="173" fontId="11" fillId="0" borderId="44" applyAlignment="1" pivotButton="0" quotePrefix="0" xfId="0">
      <alignment vertical="center"/>
    </xf>
    <xf numFmtId="173" fontId="11" fillId="0" borderId="42" applyAlignment="1" pivotButton="0" quotePrefix="0" xfId="0">
      <alignment vertical="center"/>
    </xf>
    <xf numFmtId="173" fontId="11" fillId="0" borderId="43" applyAlignment="1" pivotButton="0" quotePrefix="0" xfId="0">
      <alignment vertical="center"/>
    </xf>
    <xf numFmtId="0" fontId="11" fillId="0" borderId="38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173" fontId="11" fillId="0" borderId="38" applyAlignment="1" pivotButton="0" quotePrefix="0" xfId="0">
      <alignment vertical="center"/>
    </xf>
    <xf numFmtId="173" fontId="11" fillId="0" borderId="39" applyAlignment="1" pivotButton="0" quotePrefix="0" xfId="0">
      <alignment vertical="center"/>
    </xf>
    <xf numFmtId="173" fontId="11" fillId="0" borderId="40" applyAlignment="1" pivotButton="0" quotePrefix="0" xfId="0">
      <alignment vertical="center"/>
    </xf>
    <xf numFmtId="173" fontId="11" fillId="0" borderId="41" applyAlignment="1" pivotButton="0" quotePrefix="0" xfId="0">
      <alignment vertical="center"/>
    </xf>
    <xf numFmtId="173" fontId="12" fillId="0" borderId="42" applyAlignment="1" pivotButton="0" quotePrefix="0" xfId="0">
      <alignment vertical="center"/>
    </xf>
    <xf numFmtId="173" fontId="12" fillId="0" borderId="24" applyAlignment="1" pivotButton="0" quotePrefix="0" xfId="0">
      <alignment vertical="center"/>
    </xf>
    <xf numFmtId="173" fontId="11" fillId="0" borderId="40" applyAlignment="1" pivotButton="0" quotePrefix="0" xfId="0">
      <alignment horizontal="right" vertical="center"/>
    </xf>
    <xf numFmtId="173" fontId="11" fillId="0" borderId="0" applyAlignment="1" pivotButton="0" quotePrefix="0" xfId="0">
      <alignment horizontal="right" vertical="center"/>
    </xf>
    <xf numFmtId="173" fontId="11" fillId="0" borderId="41" applyAlignment="1" pivotButton="0" quotePrefix="0" xfId="0">
      <alignment horizontal="right" vertical="center"/>
    </xf>
    <xf numFmtId="173" fontId="11" fillId="0" borderId="36" applyAlignment="1" pivotButton="0" quotePrefix="0" xfId="0">
      <alignment horizontal="right" vertical="center"/>
    </xf>
    <xf numFmtId="173" fontId="11" fillId="0" borderId="13" applyAlignment="1" pivotButton="0" quotePrefix="0" xfId="0">
      <alignment horizontal="right" vertical="center"/>
    </xf>
    <xf numFmtId="173" fontId="11" fillId="0" borderId="44" applyAlignment="1" pivotButton="0" quotePrefix="0" xfId="0">
      <alignment horizontal="right" vertical="center"/>
    </xf>
    <xf numFmtId="173" fontId="12" fillId="0" borderId="45" applyAlignment="1" pivotButton="0" quotePrefix="0" xfId="0">
      <alignment vertical="center"/>
    </xf>
    <xf numFmtId="173" fontId="12" fillId="0" borderId="32" applyAlignment="1" pivotButton="0" quotePrefix="0" xfId="0">
      <alignment vertical="center"/>
    </xf>
    <xf numFmtId="173" fontId="11" fillId="0" borderId="45" applyAlignment="1" pivotButton="0" quotePrefix="0" xfId="0">
      <alignment vertical="center"/>
    </xf>
    <xf numFmtId="173" fontId="11" fillId="0" borderId="46" applyAlignment="1" pivotButton="0" quotePrefix="0" xfId="0">
      <alignment vertical="center"/>
    </xf>
    <xf numFmtId="0" fontId="11" fillId="0" borderId="4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1" fillId="0" borderId="45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11" fillId="0" borderId="36" applyAlignment="1" pivotButton="0" quotePrefix="0" xfId="0">
      <alignment horizontal="center"/>
    </xf>
    <xf numFmtId="165" fontId="11" fillId="0" borderId="38" applyAlignment="1" pivotButton="0" quotePrefix="0" xfId="0">
      <alignment vertical="center"/>
    </xf>
    <xf numFmtId="165" fontId="11" fillId="0" borderId="39" applyAlignment="1" pivotButton="0" quotePrefix="0" xfId="0">
      <alignment vertical="center"/>
    </xf>
    <xf numFmtId="165" fontId="11" fillId="0" borderId="40" applyAlignment="1" pivotButton="0" quotePrefix="0" xfId="0">
      <alignment vertical="center"/>
    </xf>
    <xf numFmtId="165" fontId="11" fillId="0" borderId="41" applyAlignment="1" pivotButton="0" quotePrefix="0" xfId="0">
      <alignment vertical="center"/>
    </xf>
    <xf numFmtId="165" fontId="11" fillId="0" borderId="42" applyAlignment="1" pivotButton="0" quotePrefix="0" xfId="0">
      <alignment vertical="center"/>
    </xf>
    <xf numFmtId="165" fontId="11" fillId="0" borderId="43" applyAlignment="1" pivotButton="0" quotePrefix="0" xfId="0">
      <alignment vertical="center"/>
    </xf>
    <xf numFmtId="178" fontId="11" fillId="0" borderId="36" applyAlignment="1" pivotButton="0" quotePrefix="0" xfId="0">
      <alignment vertical="center"/>
    </xf>
    <xf numFmtId="178" fontId="11" fillId="0" borderId="44" applyAlignment="1" pivotButton="0" quotePrefix="0" xfId="0">
      <alignment vertical="center"/>
    </xf>
    <xf numFmtId="178" fontId="11" fillId="0" borderId="42" applyAlignment="1" pivotButton="0" quotePrefix="0" xfId="0">
      <alignment vertical="center"/>
    </xf>
    <xf numFmtId="165" fontId="11" fillId="0" borderId="36" applyAlignment="1" pivotButton="0" quotePrefix="0" xfId="0">
      <alignment vertical="center"/>
    </xf>
    <xf numFmtId="165" fontId="11" fillId="0" borderId="44" applyAlignment="1" pivotButton="0" quotePrefix="0" xfId="0">
      <alignment vertical="center"/>
    </xf>
    <xf numFmtId="178" fontId="11" fillId="0" borderId="43" applyAlignment="1" pivotButton="0" quotePrefix="0" xfId="0">
      <alignment vertical="center"/>
    </xf>
    <xf numFmtId="178" fontId="11" fillId="0" borderId="45" applyAlignment="1" pivotButton="0" quotePrefix="0" xfId="0">
      <alignment vertical="center"/>
    </xf>
    <xf numFmtId="165" fontId="11" fillId="0" borderId="45" applyAlignment="1" pivotButton="0" quotePrefix="0" xfId="0">
      <alignment vertical="center"/>
    </xf>
    <xf numFmtId="165" fontId="11" fillId="0" borderId="46" applyAlignment="1" pivotButton="0" quotePrefix="0" xfId="0">
      <alignment vertical="center"/>
    </xf>
    <xf numFmtId="0" fontId="14" fillId="2" borderId="0" applyAlignment="1" pivotButton="0" quotePrefix="0" xfId="0">
      <alignment vertical="center"/>
    </xf>
    <xf numFmtId="0" fontId="11" fillId="2" borderId="8" applyAlignment="1" pivotButton="0" quotePrefix="0" xfId="0">
      <alignment horizontal="center" vertical="center"/>
    </xf>
    <xf numFmtId="0" fontId="11" fillId="2" borderId="36" applyAlignment="1" pivotButton="0" quotePrefix="0" xfId="0">
      <alignment horizontal="center" vertical="center"/>
    </xf>
    <xf numFmtId="0" fontId="10" fillId="2" borderId="36" applyAlignment="1" pivotButton="0" quotePrefix="0" xfId="0">
      <alignment horizontal="center" vertical="center"/>
    </xf>
    <xf numFmtId="0" fontId="9" fillId="2" borderId="36" applyAlignment="1" pivotButton="0" quotePrefix="0" xfId="0">
      <alignment horizontal="center" vertical="center"/>
    </xf>
    <xf numFmtId="0" fontId="8" fillId="2" borderId="82" applyAlignment="1" pivotButton="0" quotePrefix="0" xfId="0">
      <alignment vertical="center"/>
    </xf>
    <xf numFmtId="167" fontId="11" fillId="2" borderId="1" applyAlignment="1" pivotButton="0" quotePrefix="0" xfId="0">
      <alignment horizontal="right" vertical="center"/>
    </xf>
    <xf numFmtId="167" fontId="11" fillId="2" borderId="2" applyAlignment="1" pivotButton="0" quotePrefix="0" xfId="0">
      <alignment horizontal="right" vertical="center"/>
    </xf>
    <xf numFmtId="167" fontId="15" fillId="2" borderId="3" applyAlignment="1" pivotButton="0" quotePrefix="0" xfId="0">
      <alignment horizontal="right" vertical="center"/>
    </xf>
    <xf numFmtId="167" fontId="11" fillId="0" borderId="87" applyAlignment="1" pivotButton="0" quotePrefix="0" xfId="0">
      <alignment vertical="center"/>
    </xf>
    <xf numFmtId="167" fontId="11" fillId="0" borderId="79" applyAlignment="1" pivotButton="0" quotePrefix="0" xfId="0">
      <alignment vertical="center"/>
    </xf>
    <xf numFmtId="167" fontId="11" fillId="0" borderId="88" applyAlignment="1" pivotButton="0" quotePrefix="0" xfId="0">
      <alignment vertical="center"/>
    </xf>
    <xf numFmtId="167" fontId="11" fillId="0" borderId="89" applyAlignment="1" pivotButton="0" quotePrefix="0" xfId="0">
      <alignment vertical="center"/>
    </xf>
    <xf numFmtId="167" fontId="11" fillId="0" borderId="2" applyAlignment="1" pivotButton="0" quotePrefix="0" xfId="0">
      <alignment vertical="center"/>
    </xf>
    <xf numFmtId="167" fontId="11" fillId="2" borderId="89" applyAlignment="1" pivotButton="0" quotePrefix="0" xfId="0">
      <alignment vertical="center"/>
    </xf>
    <xf numFmtId="167" fontId="11" fillId="2" borderId="79" applyAlignment="1" pivotButton="0" quotePrefix="0" xfId="0">
      <alignment vertical="center"/>
    </xf>
    <xf numFmtId="167" fontId="11" fillId="2" borderId="88" applyAlignment="1" pivotButton="0" quotePrefix="0" xfId="0">
      <alignment vertical="center"/>
    </xf>
    <xf numFmtId="167" fontId="11" fillId="2" borderId="79" applyAlignment="1" pivotButton="0" quotePrefix="0" xfId="0">
      <alignment horizontal="center" vertical="center"/>
    </xf>
    <xf numFmtId="167" fontId="11" fillId="2" borderId="90" applyAlignment="1" pivotButton="0" quotePrefix="0" xfId="0">
      <alignment horizontal="center" vertical="center"/>
    </xf>
    <xf numFmtId="0" fontId="8" fillId="2" borderId="78" applyAlignment="1" pivotButton="0" quotePrefix="0" xfId="0">
      <alignment vertical="center"/>
    </xf>
    <xf numFmtId="167" fontId="11" fillId="2" borderId="10" applyAlignment="1" pivotButton="0" quotePrefix="0" xfId="0">
      <alignment horizontal="right" vertical="center"/>
    </xf>
    <xf numFmtId="167" fontId="11" fillId="2" borderId="8" applyAlignment="1" pivotButton="0" quotePrefix="0" xfId="0">
      <alignment horizontal="right" vertical="center"/>
    </xf>
    <xf numFmtId="167" fontId="11" fillId="2" borderId="9" applyAlignment="1" pivotButton="0" quotePrefix="0" xfId="0">
      <alignment horizontal="right" vertical="center"/>
    </xf>
    <xf numFmtId="167" fontId="11" fillId="0" borderId="4" applyAlignment="1" pivotButton="0" quotePrefix="0" xfId="0">
      <alignment vertical="center"/>
    </xf>
    <xf numFmtId="167" fontId="11" fillId="0" borderId="5" applyAlignment="1" pivotButton="0" quotePrefix="0" xfId="0">
      <alignment vertical="center"/>
    </xf>
    <xf numFmtId="167" fontId="11" fillId="0" borderId="6" applyAlignment="1" pivotButton="0" quotePrefix="0" xfId="0">
      <alignment vertical="center"/>
    </xf>
    <xf numFmtId="167" fontId="11" fillId="0" borderId="7" applyAlignment="1" pivotButton="0" quotePrefix="0" xfId="0">
      <alignment horizontal="right" vertical="center"/>
    </xf>
    <xf numFmtId="167" fontId="11" fillId="0" borderId="5" applyAlignment="1" pivotButton="0" quotePrefix="0" xfId="0">
      <alignment horizontal="right" vertical="center"/>
    </xf>
    <xf numFmtId="167" fontId="11" fillId="0" borderId="6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  <xf numFmtId="167" fontId="11" fillId="2" borderId="7" applyAlignment="1" pivotButton="0" quotePrefix="0" xfId="0">
      <alignment horizontal="right" vertical="center"/>
    </xf>
    <xf numFmtId="167" fontId="11" fillId="2" borderId="5" applyAlignment="1" pivotButton="0" quotePrefix="0" xfId="0">
      <alignment horizontal="right" vertical="center"/>
    </xf>
    <xf numFmtId="167" fontId="11" fillId="2" borderId="6" applyAlignment="1" pivotButton="0" quotePrefix="0" xfId="0">
      <alignment horizontal="right" vertical="center"/>
    </xf>
    <xf numFmtId="167" fontId="11" fillId="2" borderId="5" applyAlignment="1" pivotButton="0" quotePrefix="0" xfId="0">
      <alignment horizontal="center" vertical="center"/>
    </xf>
    <xf numFmtId="167" fontId="11" fillId="2" borderId="91" applyAlignment="1" pivotButton="0" quotePrefix="0" xfId="0">
      <alignment horizontal="center" vertical="center"/>
    </xf>
    <xf numFmtId="0" fontId="13" fillId="2" borderId="78" applyAlignment="1" pivotButton="0" quotePrefix="0" xfId="0">
      <alignment vertical="center"/>
    </xf>
    <xf numFmtId="0" fontId="8" fillId="2" borderId="81" applyAlignment="1" pivotButton="0" quotePrefix="0" xfId="0">
      <alignment vertical="center"/>
    </xf>
    <xf numFmtId="167" fontId="11" fillId="2" borderId="29" applyAlignment="1" pivotButton="0" quotePrefix="0" xfId="0">
      <alignment horizontal="right" vertical="center"/>
    </xf>
    <xf numFmtId="167" fontId="11" fillId="2" borderId="47" applyAlignment="1" pivotButton="0" quotePrefix="0" xfId="0">
      <alignment horizontal="right" vertical="center"/>
    </xf>
    <xf numFmtId="167" fontId="11" fillId="2" borderId="92" applyAlignment="1" pivotButton="0" quotePrefix="0" xfId="0">
      <alignment horizontal="right" vertical="center"/>
    </xf>
    <xf numFmtId="167" fontId="11" fillId="0" borderId="93" applyAlignment="1" pivotButton="0" quotePrefix="0" xfId="0">
      <alignment vertical="center"/>
    </xf>
    <xf numFmtId="167" fontId="11" fillId="0" borderId="94" applyAlignment="1" pivotButton="0" quotePrefix="0" xfId="0">
      <alignment vertical="center"/>
    </xf>
    <xf numFmtId="167" fontId="11" fillId="0" borderId="80" applyAlignment="1" pivotButton="0" quotePrefix="0" xfId="0">
      <alignment vertical="center"/>
    </xf>
    <xf numFmtId="167" fontId="11" fillId="0" borderId="95" applyAlignment="1" pivotButton="0" quotePrefix="0" xfId="0">
      <alignment horizontal="right" vertical="center"/>
    </xf>
    <xf numFmtId="167" fontId="11" fillId="0" borderId="94" applyAlignment="1" pivotButton="0" quotePrefix="0" xfId="0">
      <alignment horizontal="right" vertical="center"/>
    </xf>
    <xf numFmtId="167" fontId="11" fillId="0" borderId="80" applyAlignment="1" pivotButton="0" quotePrefix="0" xfId="0">
      <alignment horizontal="right" vertical="center"/>
    </xf>
    <xf numFmtId="167" fontId="11" fillId="0" borderId="47" applyAlignment="1" pivotButton="0" quotePrefix="0" xfId="0">
      <alignment horizontal="right" vertical="center"/>
    </xf>
    <xf numFmtId="167" fontId="11" fillId="2" borderId="95" applyAlignment="1" pivotButton="0" quotePrefix="0" xfId="0">
      <alignment horizontal="right" vertical="center"/>
    </xf>
    <xf numFmtId="167" fontId="11" fillId="2" borderId="94" applyAlignment="1" pivotButton="0" quotePrefix="0" xfId="0">
      <alignment horizontal="right" vertical="center"/>
    </xf>
    <xf numFmtId="167" fontId="11" fillId="2" borderId="80" applyAlignment="1" pivotButton="0" quotePrefix="0" xfId="0">
      <alignment horizontal="right" vertical="center"/>
    </xf>
    <xf numFmtId="167" fontId="11" fillId="2" borderId="94" applyAlignment="1" pivotButton="0" quotePrefix="0" xfId="0">
      <alignment horizontal="center" vertical="center"/>
    </xf>
    <xf numFmtId="167" fontId="11" fillId="2" borderId="96" applyAlignment="1" pivotButton="0" quotePrefix="0" xfId="0">
      <alignment horizontal="center" vertical="center"/>
    </xf>
    <xf numFmtId="167" fontId="11" fillId="2" borderId="90" applyAlignment="1" pivotButton="0" quotePrefix="0" xfId="0">
      <alignment vertical="center"/>
    </xf>
    <xf numFmtId="167" fontId="11" fillId="0" borderId="7" applyAlignment="1" pivotButton="0" quotePrefix="0" xfId="0">
      <alignment vertical="center"/>
    </xf>
    <xf numFmtId="167" fontId="11" fillId="0" borderId="8" applyAlignment="1" pivotButton="0" quotePrefix="0" xfId="0">
      <alignment vertical="center"/>
    </xf>
    <xf numFmtId="167" fontId="11" fillId="2" borderId="7" applyAlignment="1" pivotButton="0" quotePrefix="0" xfId="0">
      <alignment vertical="center"/>
    </xf>
    <xf numFmtId="167" fontId="11" fillId="2" borderId="5" applyAlignment="1" pivotButton="0" quotePrefix="0" xfId="0">
      <alignment vertical="center"/>
    </xf>
    <xf numFmtId="167" fontId="11" fillId="2" borderId="6" applyAlignment="1" pivotButton="0" quotePrefix="0" xfId="0">
      <alignment vertical="center"/>
    </xf>
    <xf numFmtId="167" fontId="11" fillId="2" borderId="91" applyAlignment="1" pivotButton="0" quotePrefix="0" xfId="0">
      <alignment vertical="center"/>
    </xf>
    <xf numFmtId="0" fontId="8" fillId="2" borderId="11" applyAlignment="1" pivotButton="0" quotePrefix="0" xfId="0">
      <alignment vertical="center"/>
    </xf>
    <xf numFmtId="167" fontId="11" fillId="2" borderId="97" applyAlignment="1" pivotButton="0" quotePrefix="0" xfId="0">
      <alignment horizontal="right" vertical="center"/>
    </xf>
    <xf numFmtId="167" fontId="11" fillId="2" borderId="36" applyAlignment="1" pivotButton="0" quotePrefix="0" xfId="0">
      <alignment horizontal="right" vertical="center"/>
    </xf>
    <xf numFmtId="167" fontId="11" fillId="0" borderId="12" applyAlignment="1" pivotButton="0" quotePrefix="0" xfId="0">
      <alignment vertical="center"/>
    </xf>
    <xf numFmtId="167" fontId="11" fillId="2" borderId="15" applyAlignment="1" pivotButton="0" quotePrefix="0" xfId="0">
      <alignment vertical="center"/>
    </xf>
    <xf numFmtId="167" fontId="11" fillId="2" borderId="13" applyAlignment="1" pivotButton="0" quotePrefix="0" xfId="0">
      <alignment vertical="center"/>
    </xf>
    <xf numFmtId="167" fontId="11" fillId="2" borderId="14" applyAlignment="1" pivotButton="0" quotePrefix="0" xfId="0">
      <alignment vertical="center"/>
    </xf>
    <xf numFmtId="167" fontId="11" fillId="2" borderId="16" applyAlignment="1" pivotButton="0" quotePrefix="0" xfId="0">
      <alignment vertical="center"/>
    </xf>
    <xf numFmtId="167" fontId="11" fillId="2" borderId="95" applyAlignment="1" pivotButton="0" quotePrefix="0" xfId="0">
      <alignment vertical="center"/>
    </xf>
    <xf numFmtId="167" fontId="11" fillId="2" borderId="94" applyAlignment="1" pivotButton="0" quotePrefix="0" xfId="0">
      <alignment vertical="center"/>
    </xf>
    <xf numFmtId="167" fontId="11" fillId="2" borderId="80" applyAlignment="1" pivotButton="0" quotePrefix="0" xfId="0">
      <alignment vertical="center"/>
    </xf>
    <xf numFmtId="167" fontId="11" fillId="2" borderId="96" applyAlignment="1" pivotButton="0" quotePrefix="0" xfId="0">
      <alignment vertical="center"/>
    </xf>
    <xf numFmtId="0" fontId="8" fillId="2" borderId="3" applyAlignment="1" pivotButton="0" quotePrefix="0" xfId="0">
      <alignment vertical="center"/>
    </xf>
    <xf numFmtId="167" fontId="11" fillId="2" borderId="98" applyAlignment="1" pivotButton="0" quotePrefix="0" xfId="0">
      <alignment vertical="center"/>
    </xf>
    <xf numFmtId="0" fontId="8" fillId="2" borderId="9" applyAlignment="1" pivotButton="0" quotePrefix="0" xfId="0">
      <alignment vertical="center"/>
    </xf>
    <xf numFmtId="167" fontId="11" fillId="2" borderId="99" applyAlignment="1" pivotButton="0" quotePrefix="0" xfId="0">
      <alignment vertical="center"/>
    </xf>
    <xf numFmtId="167" fontId="11" fillId="2" borderId="10" applyAlignment="1" pivotButton="0" quotePrefix="0" xfId="0">
      <alignment vertical="center"/>
    </xf>
    <xf numFmtId="167" fontId="11" fillId="2" borderId="8" applyAlignment="1" pivotButton="0" quotePrefix="0" xfId="0">
      <alignment vertical="center"/>
    </xf>
    <xf numFmtId="0" fontId="13" fillId="2" borderId="9" applyAlignment="1" pivotButton="0" quotePrefix="0" xfId="0">
      <alignment vertical="center"/>
    </xf>
    <xf numFmtId="0" fontId="8" fillId="2" borderId="92" applyAlignment="1" pivotButton="0" quotePrefix="0" xfId="0">
      <alignment vertical="center"/>
    </xf>
    <xf numFmtId="167" fontId="11" fillId="2" borderId="29" applyAlignment="1" pivotButton="0" quotePrefix="0" xfId="0">
      <alignment vertical="center"/>
    </xf>
    <xf numFmtId="167" fontId="11" fillId="2" borderId="47" applyAlignment="1" pivotButton="0" quotePrefix="0" xfId="0">
      <alignment vertical="center"/>
    </xf>
    <xf numFmtId="167" fontId="11" fillId="0" borderId="95" applyAlignment="1" pivotButton="0" quotePrefix="0" xfId="0">
      <alignment vertical="center"/>
    </xf>
    <xf numFmtId="167" fontId="11" fillId="0" borderId="47" applyAlignment="1" pivotButton="0" quotePrefix="0" xfId="0">
      <alignment vertical="center"/>
    </xf>
    <xf numFmtId="167" fontId="11" fillId="2" borderId="100" applyAlignment="1" pivotButton="0" quotePrefix="0" xfId="0">
      <alignment vertical="center"/>
    </xf>
    <xf numFmtId="165" fontId="11" fillId="2" borderId="0" applyAlignment="1" pivotButton="0" quotePrefix="0" xfId="0">
      <alignment vertical="center"/>
    </xf>
    <xf numFmtId="165" fontId="14" fillId="2" borderId="0" applyAlignment="1" pivotButton="0" quotePrefix="0" xfId="0">
      <alignment vertical="center"/>
    </xf>
    <xf numFmtId="0" fontId="11" fillId="0" borderId="8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22" pivotButton="0" quotePrefix="0" xfId="0"/>
    <xf numFmtId="0" fontId="0" fillId="0" borderId="25" pivotButton="0" quotePrefix="0" xfId="0"/>
    <xf numFmtId="0" fontId="8" fillId="0" borderId="8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2" pivotButton="0" quotePrefix="0" xfId="0"/>
    <xf numFmtId="0" fontId="0" fillId="0" borderId="5" pivotButton="0" quotePrefix="0" xfId="0"/>
    <xf numFmtId="0" fontId="0" fillId="0" borderId="6" pivotButton="0" quotePrefix="0" xfId="0"/>
    <xf numFmtId="0" fontId="11" fillId="0" borderId="2" applyAlignment="1" pivotButton="0" quotePrefix="0" xfId="0">
      <alignment horizontal="center" vertical="center"/>
    </xf>
    <xf numFmtId="0" fontId="0" fillId="0" borderId="51" pivotButton="0" quotePrefix="0" xfId="0"/>
    <xf numFmtId="0" fontId="11" fillId="0" borderId="47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30" pivotButton="0" quotePrefix="0" xfId="0"/>
    <xf numFmtId="0" fontId="0" fillId="0" borderId="32" pivotButton="0" quotePrefix="0" xfId="0"/>
    <xf numFmtId="0" fontId="0" fillId="0" borderId="33" pivotButton="0" quotePrefix="0" xfId="0"/>
    <xf numFmtId="0" fontId="8" fillId="0" borderId="47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24" pivotButton="0" quotePrefix="0" xfId="0"/>
    <xf numFmtId="0" fontId="0" fillId="0" borderId="45" pivotButton="0" quotePrefix="0" xfId="0"/>
    <xf numFmtId="0" fontId="8" fillId="0" borderId="42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 wrapText="1"/>
    </xf>
    <xf numFmtId="0" fontId="0" fillId="0" borderId="84" pivotButton="0" quotePrefix="0" xfId="0"/>
    <xf numFmtId="0" fontId="0" fillId="0" borderId="85" pivotButton="0" quotePrefix="0" xfId="0"/>
    <xf numFmtId="0" fontId="8" fillId="0" borderId="48" applyAlignment="1" pivotButton="0" quotePrefix="0" xfId="0">
      <alignment horizontal="center" vertical="center"/>
    </xf>
    <xf numFmtId="0" fontId="10" fillId="2" borderId="29" applyAlignment="1" pivotButton="0" quotePrefix="0" xfId="0">
      <alignment horizontal="center" vertical="center"/>
    </xf>
    <xf numFmtId="0" fontId="0" fillId="0" borderId="103" pivotButton="0" quotePrefix="0" xfId="0"/>
    <xf numFmtId="0" fontId="9" fillId="2" borderId="2" applyAlignment="1" pivotButton="0" quotePrefix="0" xfId="0">
      <alignment horizontal="center" vertical="center"/>
    </xf>
    <xf numFmtId="0" fontId="0" fillId="0" borderId="79" pivotButton="0" quotePrefix="0" xfId="0"/>
    <xf numFmtId="0" fontId="0" fillId="0" borderId="88" pivotButton="0" quotePrefix="0" xfId="0"/>
    <xf numFmtId="0" fontId="10" fillId="2" borderId="10" applyAlignment="1" pivotButton="0" quotePrefix="0" xfId="0">
      <alignment horizontal="center" vertical="center"/>
    </xf>
    <xf numFmtId="0" fontId="0" fillId="0" borderId="101" pivotButton="0" quotePrefix="0" xfId="0"/>
    <xf numFmtId="0" fontId="0" fillId="0" borderId="19" pivotButton="0" quotePrefix="0" xfId="0"/>
    <xf numFmtId="0" fontId="0" fillId="0" borderId="102" pivotButton="0" quotePrefix="0" xfId="0"/>
    <xf numFmtId="0" fontId="10" fillId="2" borderId="8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0" fillId="0" borderId="77" pivotButton="0" quotePrefix="0" xfId="0"/>
    <xf numFmtId="0" fontId="9" fillId="2" borderId="3" applyAlignment="1" pivotButton="0" quotePrefix="0" xfId="0">
      <alignment horizontal="center" vertical="center"/>
    </xf>
    <xf numFmtId="0" fontId="0" fillId="0" borderId="90" pivotButton="0" quotePrefix="0" xfId="0"/>
    <xf numFmtId="0" fontId="10" fillId="2" borderId="1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77" applyAlignment="1" pivotButton="0" quotePrefix="0" xfId="0">
      <alignment horizontal="center" vertical="center" wrapText="1"/>
    </xf>
    <xf numFmtId="0" fontId="8" fillId="0" borderId="45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8" fillId="0" borderId="37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11" fillId="0" borderId="42" applyAlignment="1" pivotButton="0" quotePrefix="0" xfId="0">
      <alignment horizontal="center" vertical="center"/>
    </xf>
    <xf numFmtId="0" fontId="8" fillId="0" borderId="7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8" applyAlignment="1" pivotButton="0" quotePrefix="0" xfId="0">
      <alignment vertical="center"/>
    </xf>
    <xf numFmtId="0" fontId="11" fillId="0" borderId="36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0" fontId="8" fillId="0" borderId="78" applyAlignment="1" pivotButton="0" quotePrefix="0" xfId="0">
      <alignment vertical="center"/>
    </xf>
    <xf numFmtId="0" fontId="0" fillId="0" borderId="17" pivotButton="0" quotePrefix="0" xfId="0"/>
    <xf numFmtId="0" fontId="8" fillId="0" borderId="2" applyAlignment="1" pivotButton="0" quotePrefix="0" xfId="0">
      <alignment vertical="center"/>
    </xf>
    <xf numFmtId="0" fontId="11" fillId="0" borderId="38" applyAlignment="1" pivotButton="0" quotePrefix="0" xfId="0">
      <alignment horizontal="center" vertical="center"/>
    </xf>
    <xf numFmtId="0" fontId="8" fillId="0" borderId="78" applyAlignment="1" pivotButton="0" quotePrefix="0" xfId="0">
      <alignment vertical="center" wrapText="1"/>
    </xf>
    <xf numFmtId="0" fontId="8" fillId="0" borderId="81" applyAlignment="1" pivotButton="0" quotePrefix="0" xfId="0">
      <alignment vertical="center" wrapText="1"/>
    </xf>
    <xf numFmtId="0" fontId="8" fillId="0" borderId="82" applyAlignment="1" pivotButton="0" quotePrefix="0" xfId="0">
      <alignment vertical="center"/>
    </xf>
    <xf numFmtId="0" fontId="8" fillId="0" borderId="79" applyAlignment="1" pivotButton="0" quotePrefix="0" xfId="0">
      <alignment horizontal="center" vertical="center"/>
    </xf>
    <xf numFmtId="0" fontId="11" fillId="0" borderId="80" applyAlignment="1" pivotButton="0" quotePrefix="0" xfId="0">
      <alignment horizontal="center" vertical="center"/>
    </xf>
    <xf numFmtId="0" fontId="8" fillId="0" borderId="83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/>
    </xf>
    <xf numFmtId="0" fontId="11" fillId="0" borderId="84" applyAlignment="1" pivotButton="0" quotePrefix="0" xfId="0">
      <alignment horizontal="center" vertical="center"/>
    </xf>
    <xf numFmtId="0" fontId="8" fillId="0" borderId="84" applyAlignment="1" pivotButton="0" quotePrefix="0" xfId="0">
      <alignment horizontal="center" vertical="center"/>
    </xf>
    <xf numFmtId="0" fontId="8" fillId="0" borderId="85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8" fillId="0" borderId="8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8" fillId="0" borderId="33" applyAlignment="1" pivotButton="0" quotePrefix="0" xfId="0">
      <alignment horizontal="center"/>
    </xf>
    <xf numFmtId="0" fontId="8" fillId="2" borderId="1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8" fillId="2" borderId="86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22" fillId="0" borderId="47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47" pivotButton="0" quotePrefix="0" xfId="0"/>
    <xf numFmtId="0" fontId="22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22" fillId="0" borderId="42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22" fillId="0" borderId="38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7" fontId="11" fillId="0" borderId="0" applyAlignment="1" pivotButton="0" quotePrefix="0" xfId="0">
      <alignment vertical="center"/>
    </xf>
    <xf numFmtId="167" fontId="11" fillId="0" borderId="0" applyAlignment="1" pivotButton="0" quotePrefix="0" xfId="0">
      <alignment horizontal="right" vertical="center"/>
    </xf>
    <xf numFmtId="0" fontId="22" fillId="0" borderId="1" applyAlignment="1" pivotButton="0" quotePrefix="0" xfId="0">
      <alignment horizontal="center" vertical="center"/>
    </xf>
    <xf numFmtId="0" fontId="0" fillId="0" borderId="0" pivotButton="0" quotePrefix="0" xfId="0"/>
    <xf numFmtId="164" fontId="9" fillId="2" borderId="12" applyAlignment="1" pivotButton="0" quotePrefix="0" xfId="0">
      <alignment vertical="center"/>
    </xf>
    <xf numFmtId="164" fontId="9" fillId="2" borderId="13" applyAlignment="1" pivotButton="0" quotePrefix="0" xfId="0">
      <alignment vertical="center"/>
    </xf>
    <xf numFmtId="164" fontId="9" fillId="2" borderId="14" applyAlignment="1" pivotButton="0" quotePrefix="0" xfId="0">
      <alignment vertical="center"/>
    </xf>
    <xf numFmtId="164" fontId="9" fillId="2" borderId="15" applyAlignment="1" pivotButton="0" quotePrefix="0" xfId="0">
      <alignment vertical="center"/>
    </xf>
    <xf numFmtId="165" fontId="9" fillId="2" borderId="15" applyAlignment="1" pivotButton="0" quotePrefix="0" xfId="0">
      <alignment vertical="center"/>
    </xf>
    <xf numFmtId="165" fontId="9" fillId="2" borderId="13" applyAlignment="1" pivotButton="0" quotePrefix="0" xfId="0">
      <alignment vertical="center"/>
    </xf>
    <xf numFmtId="165" fontId="9" fillId="2" borderId="14" applyAlignment="1" pivotButton="0" quotePrefix="0" xfId="0">
      <alignment vertical="center"/>
    </xf>
    <xf numFmtId="165" fontId="9" fillId="2" borderId="16" applyAlignment="1" pivotButton="0" quotePrefix="0" xfId="0">
      <alignment vertical="center"/>
    </xf>
    <xf numFmtId="165" fontId="9" fillId="2" borderId="0" applyAlignment="1" pivotButton="0" quotePrefix="0" xfId="0">
      <alignment vertical="center"/>
    </xf>
    <xf numFmtId="164" fontId="9" fillId="2" borderId="18" applyAlignment="1" pivotButton="0" quotePrefix="0" xfId="0">
      <alignment vertical="center"/>
    </xf>
    <xf numFmtId="164" fontId="9" fillId="2" borderId="0" applyAlignment="1" pivotButton="0" quotePrefix="0" xfId="0">
      <alignment vertical="center"/>
    </xf>
    <xf numFmtId="164" fontId="9" fillId="2" borderId="19" applyAlignment="1" pivotButton="0" quotePrefix="0" xfId="0">
      <alignment vertical="center"/>
    </xf>
    <xf numFmtId="164" fontId="9" fillId="2" borderId="20" applyAlignment="1" pivotButton="0" quotePrefix="0" xfId="0">
      <alignment vertical="center"/>
    </xf>
    <xf numFmtId="166" fontId="9" fillId="2" borderId="20" applyAlignment="1" pivotButton="0" quotePrefix="0" xfId="0">
      <alignment vertical="center"/>
    </xf>
    <xf numFmtId="166" fontId="9" fillId="2" borderId="0" applyAlignment="1" pivotButton="0" quotePrefix="0" xfId="0">
      <alignment vertical="center"/>
    </xf>
    <xf numFmtId="166" fontId="9" fillId="2" borderId="19" applyAlignment="1" pivotButton="0" quotePrefix="0" xfId="0">
      <alignment vertical="center"/>
    </xf>
    <xf numFmtId="165" fontId="9" fillId="2" borderId="20" applyAlignment="1" pivotButton="0" quotePrefix="0" xfId="0">
      <alignment vertical="center"/>
    </xf>
    <xf numFmtId="165" fontId="9" fillId="2" borderId="19" applyAlignment="1" pivotButton="0" quotePrefix="0" xfId="0">
      <alignment vertical="center"/>
    </xf>
    <xf numFmtId="165" fontId="9" fillId="2" borderId="21" applyAlignment="1" pivotButton="0" quotePrefix="0" xfId="0">
      <alignment vertical="center"/>
    </xf>
    <xf numFmtId="165" fontId="9" fillId="2" borderId="26" applyAlignment="1" pivotButton="0" quotePrefix="0" xfId="0">
      <alignment vertical="center"/>
    </xf>
    <xf numFmtId="165" fontId="9" fillId="2" borderId="25" applyAlignment="1" pivotButton="0" quotePrefix="0" xfId="0">
      <alignment vertical="center"/>
    </xf>
    <xf numFmtId="165" fontId="9" fillId="2" borderId="24" applyAlignment="1" pivotButton="0" quotePrefix="0" xfId="0">
      <alignment vertical="center"/>
    </xf>
    <xf numFmtId="165" fontId="9" fillId="2" borderId="27" applyAlignment="1" pivotButton="0" quotePrefix="0" xfId="0">
      <alignment vertical="center"/>
    </xf>
    <xf numFmtId="167" fontId="9" fillId="2" borderId="15" applyAlignment="1" pivotButton="0" quotePrefix="0" xfId="0">
      <alignment vertical="center"/>
    </xf>
    <xf numFmtId="167" fontId="9" fillId="2" borderId="13" applyAlignment="1" pivotButton="0" quotePrefix="0" xfId="0">
      <alignment vertical="center"/>
    </xf>
    <xf numFmtId="167" fontId="9" fillId="2" borderId="14" applyAlignment="1" pivotButton="0" quotePrefix="0" xfId="0">
      <alignment vertical="center"/>
    </xf>
    <xf numFmtId="167" fontId="9" fillId="2" borderId="16" applyAlignment="1" pivotButton="0" quotePrefix="0" xfId="0">
      <alignment vertical="center"/>
    </xf>
    <xf numFmtId="167" fontId="9" fillId="2" borderId="0" applyAlignment="1" pivotButton="0" quotePrefix="0" xfId="0">
      <alignment vertical="center"/>
    </xf>
    <xf numFmtId="164" fontId="9" fillId="2" borderId="23" applyAlignment="1" pivotButton="0" quotePrefix="0" xfId="0">
      <alignment vertical="center"/>
    </xf>
    <xf numFmtId="164" fontId="9" fillId="2" borderId="24" applyAlignment="1" pivotButton="0" quotePrefix="0" xfId="0">
      <alignment vertical="center"/>
    </xf>
    <xf numFmtId="164" fontId="9" fillId="2" borderId="25" applyAlignment="1" pivotButton="0" quotePrefix="0" xfId="0">
      <alignment vertical="center"/>
    </xf>
    <xf numFmtId="164" fontId="9" fillId="2" borderId="26" applyAlignment="1" pivotButton="0" quotePrefix="0" xfId="0">
      <alignment vertical="center"/>
    </xf>
    <xf numFmtId="167" fontId="9" fillId="2" borderId="26" applyAlignment="1" pivotButton="0" quotePrefix="0" xfId="0">
      <alignment vertical="center"/>
    </xf>
    <xf numFmtId="167" fontId="9" fillId="2" borderId="24" applyAlignment="1" pivotButton="0" quotePrefix="0" xfId="0">
      <alignment vertical="center"/>
    </xf>
    <xf numFmtId="167" fontId="9" fillId="2" borderId="25" applyAlignment="1" pivotButton="0" quotePrefix="0" xfId="0">
      <alignment vertical="center"/>
    </xf>
    <xf numFmtId="167" fontId="9" fillId="2" borderId="27" applyAlignment="1" pivotButton="0" quotePrefix="0" xfId="0">
      <alignment vertical="center"/>
    </xf>
    <xf numFmtId="167" fontId="9" fillId="2" borderId="12" applyAlignment="1" pivotButton="0" quotePrefix="0" xfId="0">
      <alignment vertical="center"/>
    </xf>
    <xf numFmtId="167" fontId="9" fillId="2" borderId="23" applyAlignment="1" pivotButton="0" quotePrefix="0" xfId="0">
      <alignment vertical="center"/>
    </xf>
    <xf numFmtId="167" fontId="9" fillId="2" borderId="28" applyAlignment="1" pivotButton="0" quotePrefix="0" xfId="0">
      <alignment vertical="center"/>
    </xf>
    <xf numFmtId="167" fontId="9" fillId="2" borderId="31" applyAlignment="1" pivotButton="0" quotePrefix="0" xfId="0">
      <alignment vertical="center"/>
    </xf>
    <xf numFmtId="167" fontId="9" fillId="2" borderId="32" applyAlignment="1" pivotButton="0" quotePrefix="0" xfId="0">
      <alignment vertical="center"/>
    </xf>
    <xf numFmtId="167" fontId="9" fillId="2" borderId="33" applyAlignment="1" pivotButton="0" quotePrefix="0" xfId="0">
      <alignment vertical="center"/>
    </xf>
    <xf numFmtId="167" fontId="9" fillId="2" borderId="34" applyAlignment="1" pivotButton="0" quotePrefix="0" xfId="0">
      <alignment vertical="center"/>
    </xf>
    <xf numFmtId="167" fontId="9" fillId="2" borderId="35" applyAlignment="1" pivotButton="0" quotePrefix="0" xfId="0">
      <alignment vertical="center"/>
    </xf>
    <xf numFmtId="165" fontId="7" fillId="2" borderId="38" applyAlignment="1" pivotButton="0" quotePrefix="0" xfId="0">
      <alignment vertical="center"/>
    </xf>
    <xf numFmtId="166" fontId="7" fillId="2" borderId="40" applyAlignment="1" pivotButton="0" quotePrefix="0" xfId="0">
      <alignment vertical="center"/>
    </xf>
    <xf numFmtId="165" fontId="7" fillId="2" borderId="36" applyAlignment="1" pivotButton="0" quotePrefix="0" xfId="0">
      <alignment vertical="center"/>
    </xf>
    <xf numFmtId="167" fontId="7" fillId="2" borderId="36" applyAlignment="1" pivotButton="0" quotePrefix="0" xfId="0">
      <alignment vertical="center"/>
    </xf>
    <xf numFmtId="167" fontId="7" fillId="2" borderId="42" applyAlignment="1" pivotButton="0" quotePrefix="0" xfId="0">
      <alignment vertical="center"/>
    </xf>
    <xf numFmtId="167" fontId="7" fillId="2" borderId="45" applyAlignment="1" pivotButton="0" quotePrefix="0" xfId="0">
      <alignment vertical="center"/>
    </xf>
    <xf numFmtId="166" fontId="11" fillId="0" borderId="49" applyAlignment="1" pivotButton="0" quotePrefix="0" xfId="0">
      <alignment vertical="center"/>
    </xf>
    <xf numFmtId="166" fontId="11" fillId="0" borderId="50" applyAlignment="1" pivotButton="0" quotePrefix="0" xfId="0">
      <alignment vertical="center"/>
    </xf>
    <xf numFmtId="166" fontId="11" fillId="0" borderId="51" applyAlignment="1" pivotButton="0" quotePrefix="0" xfId="0">
      <alignment vertical="center"/>
    </xf>
    <xf numFmtId="164" fontId="11" fillId="0" borderId="49" applyAlignment="1" pivotButton="0" quotePrefix="0" xfId="0">
      <alignment vertical="center"/>
    </xf>
    <xf numFmtId="164" fontId="11" fillId="0" borderId="50" applyAlignment="1" pivotButton="0" quotePrefix="0" xfId="0">
      <alignment vertical="center"/>
    </xf>
    <xf numFmtId="164" fontId="11" fillId="0" borderId="51" applyAlignment="1" pivotButton="0" quotePrefix="0" xfId="0">
      <alignment vertical="center"/>
    </xf>
    <xf numFmtId="164" fontId="11" fillId="0" borderId="52" applyAlignment="1" pivotButton="0" quotePrefix="0" xfId="0">
      <alignment vertical="center"/>
    </xf>
    <xf numFmtId="166" fontId="11" fillId="0" borderId="26" applyAlignment="1" pivotButton="0" quotePrefix="0" xfId="0">
      <alignment vertical="center"/>
    </xf>
    <xf numFmtId="166" fontId="11" fillId="0" borderId="24" applyAlignment="1" pivotButton="0" quotePrefix="0" xfId="0">
      <alignment vertical="center"/>
    </xf>
    <xf numFmtId="166" fontId="11" fillId="0" borderId="25" applyAlignment="1" pivotButton="0" quotePrefix="0" xfId="0">
      <alignment vertical="center"/>
    </xf>
    <xf numFmtId="164" fontId="11" fillId="0" borderId="26" applyAlignment="1" pivotButton="0" quotePrefix="0" xfId="0">
      <alignment vertical="center"/>
    </xf>
    <xf numFmtId="164" fontId="11" fillId="0" borderId="24" applyAlignment="1" pivotButton="0" quotePrefix="0" xfId="0">
      <alignment vertical="center"/>
    </xf>
    <xf numFmtId="164" fontId="11" fillId="0" borderId="25" applyAlignment="1" pivotButton="0" quotePrefix="0" xfId="0">
      <alignment vertical="center"/>
    </xf>
    <xf numFmtId="164" fontId="11" fillId="0" borderId="27" applyAlignment="1" pivotButton="0" quotePrefix="0" xfId="0">
      <alignment vertical="center"/>
    </xf>
    <xf numFmtId="166" fontId="11" fillId="0" borderId="15" applyAlignment="1" pivotButton="0" quotePrefix="0" xfId="0">
      <alignment vertical="center"/>
    </xf>
    <xf numFmtId="166" fontId="11" fillId="0" borderId="13" applyAlignment="1" pivotButton="0" quotePrefix="0" xfId="0">
      <alignment vertical="center"/>
    </xf>
    <xf numFmtId="166" fontId="11" fillId="0" borderId="14" applyAlignment="1" pivotButton="0" quotePrefix="0" xfId="0">
      <alignment vertical="center"/>
    </xf>
    <xf numFmtId="164" fontId="11" fillId="0" borderId="15" applyAlignment="1" pivotButton="0" quotePrefix="0" xfId="0">
      <alignment vertical="center"/>
    </xf>
    <xf numFmtId="164" fontId="11" fillId="0" borderId="13" applyAlignment="1" pivotButton="0" quotePrefix="0" xfId="0">
      <alignment vertical="center"/>
    </xf>
    <xf numFmtId="164" fontId="11" fillId="0" borderId="14" applyAlignment="1" pivotButton="0" quotePrefix="0" xfId="0">
      <alignment vertical="center"/>
    </xf>
    <xf numFmtId="164" fontId="11" fillId="0" borderId="16" applyAlignment="1" pivotButton="0" quotePrefix="0" xfId="0">
      <alignment vertical="center"/>
    </xf>
    <xf numFmtId="166" fontId="11" fillId="0" borderId="34" applyAlignment="1" pivotButton="0" quotePrefix="0" xfId="0">
      <alignment vertical="center"/>
    </xf>
    <xf numFmtId="166" fontId="11" fillId="0" borderId="32" applyAlignment="1" pivotButton="0" quotePrefix="0" xfId="0">
      <alignment vertical="center"/>
    </xf>
    <xf numFmtId="166" fontId="11" fillId="0" borderId="33" applyAlignment="1" pivotButton="0" quotePrefix="0" xfId="0">
      <alignment vertical="center"/>
    </xf>
    <xf numFmtId="164" fontId="11" fillId="0" borderId="34" applyAlignment="1" pivotButton="0" quotePrefix="0" xfId="0">
      <alignment vertical="center"/>
    </xf>
    <xf numFmtId="164" fontId="11" fillId="0" borderId="32" applyAlignment="1" pivotButton="0" quotePrefix="0" xfId="0">
      <alignment vertical="center"/>
    </xf>
    <xf numFmtId="164" fontId="11" fillId="0" borderId="33" applyAlignment="1" pivotButton="0" quotePrefix="0" xfId="0">
      <alignment vertical="center"/>
    </xf>
    <xf numFmtId="164" fontId="11" fillId="0" borderId="35" applyAlignment="1" pivotButton="0" quotePrefix="0" xfId="0">
      <alignment vertical="center"/>
    </xf>
    <xf numFmtId="168" fontId="11" fillId="0" borderId="49" applyAlignment="1" pivotButton="0" quotePrefix="0" xfId="14">
      <alignment vertical="center"/>
    </xf>
    <xf numFmtId="168" fontId="11" fillId="0" borderId="50" applyAlignment="1" pivotButton="0" quotePrefix="0" xfId="14">
      <alignment vertical="center"/>
    </xf>
    <xf numFmtId="168" fontId="11" fillId="0" borderId="51" applyAlignment="1" pivotButton="0" quotePrefix="0" xfId="14">
      <alignment vertical="center"/>
    </xf>
    <xf numFmtId="168" fontId="11" fillId="0" borderId="52" applyAlignment="1" pivotButton="0" quotePrefix="0" xfId="14">
      <alignment vertical="center"/>
    </xf>
    <xf numFmtId="168" fontId="11" fillId="0" borderId="26" applyAlignment="1" pivotButton="0" quotePrefix="0" xfId="14">
      <alignment vertical="center"/>
    </xf>
    <xf numFmtId="168" fontId="11" fillId="0" borderId="24" applyAlignment="1" pivotButton="0" quotePrefix="0" xfId="14">
      <alignment vertical="center"/>
    </xf>
    <xf numFmtId="168" fontId="11" fillId="0" borderId="25" applyAlignment="1" pivotButton="0" quotePrefix="0" xfId="14">
      <alignment vertical="center"/>
    </xf>
    <xf numFmtId="166" fontId="11" fillId="0" borderId="27" applyAlignment="1" pivotButton="0" quotePrefix="0" xfId="0">
      <alignment vertical="center"/>
    </xf>
    <xf numFmtId="166" fontId="11" fillId="0" borderId="2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19" applyAlignment="1" pivotButton="0" quotePrefix="0" xfId="0">
      <alignment vertical="center"/>
    </xf>
    <xf numFmtId="166" fontId="11" fillId="0" borderId="21" applyAlignment="1" pivotButton="0" quotePrefix="0" xfId="0">
      <alignment vertical="center"/>
    </xf>
    <xf numFmtId="168" fontId="11" fillId="0" borderId="20" applyAlignment="1" pivotButton="0" quotePrefix="0" xfId="14">
      <alignment vertical="center"/>
    </xf>
    <xf numFmtId="168" fontId="11" fillId="0" borderId="13" applyAlignment="1" pivotButton="0" quotePrefix="0" xfId="14">
      <alignment vertical="center"/>
    </xf>
    <xf numFmtId="168" fontId="11" fillId="0" borderId="0" applyAlignment="1" pivotButton="0" quotePrefix="0" xfId="14">
      <alignment vertical="center"/>
    </xf>
    <xf numFmtId="168" fontId="11" fillId="0" borderId="15" applyAlignment="1" pivotButton="0" quotePrefix="0" xfId="14">
      <alignment vertical="center"/>
    </xf>
    <xf numFmtId="168" fontId="11" fillId="0" borderId="14" applyAlignment="1" pivotButton="0" quotePrefix="0" xfId="14">
      <alignment vertical="center"/>
    </xf>
    <xf numFmtId="168" fontId="11" fillId="0" borderId="16" applyAlignment="1" pivotButton="0" quotePrefix="0" xfId="14">
      <alignment vertical="center"/>
    </xf>
    <xf numFmtId="166" fontId="11" fillId="0" borderId="40" applyAlignment="1" pivotButton="0" quotePrefix="0" xfId="0">
      <alignment vertical="center"/>
    </xf>
    <xf numFmtId="166" fontId="11" fillId="0" borderId="16" applyAlignment="1" pivotButton="0" quotePrefix="0" xfId="0">
      <alignment vertical="center"/>
    </xf>
    <xf numFmtId="166" fontId="11" fillId="0" borderId="35" applyAlignment="1" pivotButton="0" quotePrefix="0" xfId="0">
      <alignment vertical="center"/>
    </xf>
    <xf numFmtId="168" fontId="11" fillId="0" borderId="19" applyAlignment="1" pivotButton="0" quotePrefix="0" xfId="14">
      <alignment vertical="center"/>
    </xf>
    <xf numFmtId="168" fontId="11" fillId="0" borderId="21" applyAlignment="1" pivotButton="0" quotePrefix="0" xfId="14">
      <alignment vertical="center"/>
    </xf>
    <xf numFmtId="169" fontId="11" fillId="0" borderId="15" applyAlignment="1" pivotButton="0" quotePrefix="0" xfId="0">
      <alignment vertical="center"/>
    </xf>
    <xf numFmtId="169" fontId="11" fillId="0" borderId="13" applyAlignment="1" pivotButton="0" quotePrefix="0" xfId="0">
      <alignment vertical="center"/>
    </xf>
    <xf numFmtId="169" fontId="11" fillId="0" borderId="14" applyAlignment="1" pivotButton="0" quotePrefix="0" xfId="0">
      <alignment vertical="center"/>
    </xf>
    <xf numFmtId="169" fontId="11" fillId="0" borderId="16" applyAlignment="1" pivotButton="0" quotePrefix="0" xfId="0">
      <alignment vertical="center"/>
    </xf>
    <xf numFmtId="169" fontId="11" fillId="0" borderId="26" applyAlignment="1" pivotButton="0" quotePrefix="0" xfId="0">
      <alignment vertical="center"/>
    </xf>
    <xf numFmtId="169" fontId="11" fillId="0" borderId="24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1" fillId="0" borderId="25" applyAlignment="1" pivotButton="0" quotePrefix="0" xfId="0">
      <alignment vertical="center"/>
    </xf>
    <xf numFmtId="169" fontId="11" fillId="0" borderId="27" applyAlignment="1" pivotButton="0" quotePrefix="0" xfId="0">
      <alignment vertical="center"/>
    </xf>
    <xf numFmtId="169" fontId="11" fillId="0" borderId="34" applyAlignment="1" pivotButton="0" quotePrefix="0" xfId="0">
      <alignment vertical="center"/>
    </xf>
    <xf numFmtId="169" fontId="11" fillId="0" borderId="32" applyAlignment="1" pivotButton="0" quotePrefix="0" xfId="0">
      <alignment vertical="center"/>
    </xf>
    <xf numFmtId="170" fontId="11" fillId="0" borderId="32" applyAlignment="1" pivotButton="0" quotePrefix="0" xfId="0">
      <alignment vertical="center"/>
    </xf>
    <xf numFmtId="169" fontId="11" fillId="0" borderId="53" applyAlignment="1" pivotButton="0" quotePrefix="0" xfId="0">
      <alignment vertical="center"/>
    </xf>
    <xf numFmtId="169" fontId="11" fillId="0" borderId="33" applyAlignment="1" pivotButton="0" quotePrefix="0" xfId="0">
      <alignment vertical="center"/>
    </xf>
    <xf numFmtId="171" fontId="11" fillId="0" borderId="34" applyAlignment="1" pivotButton="0" quotePrefix="0" xfId="0">
      <alignment vertical="center"/>
    </xf>
    <xf numFmtId="171" fontId="11" fillId="0" borderId="32" applyAlignment="1" pivotButton="0" quotePrefix="0" xfId="0">
      <alignment vertical="center"/>
    </xf>
    <xf numFmtId="171" fontId="11" fillId="0" borderId="33" applyAlignment="1" pivotButton="0" quotePrefix="0" xfId="0">
      <alignment vertical="center"/>
    </xf>
    <xf numFmtId="169" fontId="11" fillId="0" borderId="35" applyAlignment="1" pivotButton="0" quotePrefix="0" xfId="0">
      <alignment vertical="center"/>
    </xf>
    <xf numFmtId="172" fontId="11" fillId="0" borderId="0" applyAlignment="1" pivotButton="0" quotePrefix="0" xfId="0">
      <alignment vertical="center"/>
    </xf>
    <xf numFmtId="166" fontId="11" fillId="3" borderId="0" applyAlignment="1" pivotButton="0" quotePrefix="0" xfId="0">
      <alignment vertical="center"/>
    </xf>
    <xf numFmtId="173" fontId="11" fillId="0" borderId="54" applyAlignment="1" pivotButton="0" quotePrefix="0" xfId="0">
      <alignment vertical="center"/>
    </xf>
    <xf numFmtId="173" fontId="11" fillId="0" borderId="50" applyAlignment="1" pivotButton="0" quotePrefix="0" xfId="0">
      <alignment vertical="center"/>
    </xf>
    <xf numFmtId="173" fontId="11" fillId="0" borderId="55" applyAlignment="1" pivotButton="0" quotePrefix="0" xfId="0">
      <alignment vertical="center"/>
    </xf>
    <xf numFmtId="173" fontId="11" fillId="0" borderId="0" applyAlignment="1" pivotButton="0" quotePrefix="0" xfId="0">
      <alignment vertical="center"/>
    </xf>
    <xf numFmtId="173" fontId="11" fillId="0" borderId="19" applyAlignment="1" pivotButton="0" quotePrefix="0" xfId="0">
      <alignment vertical="center"/>
    </xf>
    <xf numFmtId="173" fontId="11" fillId="0" borderId="56" applyAlignment="1" pivotButton="0" quotePrefix="0" xfId="0">
      <alignment vertical="center"/>
    </xf>
    <xf numFmtId="173" fontId="11" fillId="0" borderId="57" applyAlignment="1" pivotButton="0" quotePrefix="0" xfId="0">
      <alignment vertical="center"/>
    </xf>
    <xf numFmtId="173" fontId="11" fillId="0" borderId="51" applyAlignment="1" pivotButton="0" quotePrefix="0" xfId="0">
      <alignment vertical="center"/>
    </xf>
    <xf numFmtId="173" fontId="11" fillId="0" borderId="49" applyAlignment="1" pivotButton="0" quotePrefix="0" xfId="0">
      <alignment vertical="center"/>
    </xf>
    <xf numFmtId="173" fontId="11" fillId="0" borderId="37" applyAlignment="1" pivotButton="0" quotePrefix="0" xfId="0">
      <alignment vertical="center"/>
    </xf>
    <xf numFmtId="173" fontId="11" fillId="0" borderId="58" applyAlignment="1" pivotButton="0" quotePrefix="0" xfId="0">
      <alignment vertical="center"/>
    </xf>
    <xf numFmtId="173" fontId="11" fillId="0" borderId="59" applyAlignment="1" pivotButton="0" quotePrefix="0" xfId="0">
      <alignment vertical="center"/>
    </xf>
    <xf numFmtId="173" fontId="11" fillId="0" borderId="52" applyAlignment="1" pivotButton="0" quotePrefix="0" xfId="0">
      <alignment vertical="center"/>
    </xf>
    <xf numFmtId="173" fontId="11" fillId="0" borderId="60" applyAlignment="1" pivotButton="0" quotePrefix="0" xfId="0">
      <alignment vertical="center"/>
    </xf>
    <xf numFmtId="173" fontId="11" fillId="0" borderId="24" applyAlignment="1" pivotButton="0" quotePrefix="0" xfId="0">
      <alignment vertical="center"/>
    </xf>
    <xf numFmtId="173" fontId="11" fillId="0" borderId="25" applyAlignment="1" pivotButton="0" quotePrefix="0" xfId="0">
      <alignment vertical="center"/>
    </xf>
    <xf numFmtId="173" fontId="11" fillId="0" borderId="61" applyAlignment="1" pivotButton="0" quotePrefix="0" xfId="0">
      <alignment vertical="center"/>
    </xf>
    <xf numFmtId="173" fontId="11" fillId="0" borderId="20" applyAlignment="1" pivotButton="0" quotePrefix="0" xfId="0">
      <alignment vertical="center"/>
    </xf>
    <xf numFmtId="173" fontId="11" fillId="0" borderId="17" applyAlignment="1" pivotButton="0" quotePrefix="0" xfId="0">
      <alignment vertical="center"/>
    </xf>
    <xf numFmtId="173" fontId="11" fillId="0" borderId="62" applyAlignment="1" pivotButton="0" quotePrefix="0" xfId="0">
      <alignment vertical="center"/>
    </xf>
    <xf numFmtId="173" fontId="11" fillId="0" borderId="63" applyAlignment="1" pivotButton="0" quotePrefix="0" xfId="0">
      <alignment vertical="center"/>
    </xf>
    <xf numFmtId="173" fontId="11" fillId="0" borderId="21" applyAlignment="1" pivotButton="0" quotePrefix="0" xfId="0">
      <alignment vertical="center"/>
    </xf>
    <xf numFmtId="173" fontId="11" fillId="0" borderId="64" applyAlignment="1" pivotButton="0" quotePrefix="0" xfId="0">
      <alignment vertical="center"/>
    </xf>
    <xf numFmtId="173" fontId="11" fillId="0" borderId="13" applyAlignment="1" pivotButton="0" quotePrefix="0" xfId="0">
      <alignment vertical="center"/>
    </xf>
    <xf numFmtId="173" fontId="11" fillId="0" borderId="14" applyAlignment="1" pivotButton="0" quotePrefix="0" xfId="0">
      <alignment vertical="center"/>
    </xf>
    <xf numFmtId="173" fontId="11" fillId="0" borderId="28" applyAlignment="1" pivotButton="0" quotePrefix="0" xfId="0">
      <alignment vertical="center"/>
    </xf>
    <xf numFmtId="173" fontId="11" fillId="0" borderId="65" applyAlignment="1" pivotButton="0" quotePrefix="0" xfId="0">
      <alignment vertical="center"/>
    </xf>
    <xf numFmtId="173" fontId="11" fillId="0" borderId="15" applyAlignment="1" pivotButton="0" quotePrefix="0" xfId="0">
      <alignment vertical="center"/>
    </xf>
    <xf numFmtId="173" fontId="11" fillId="0" borderId="11" applyAlignment="1" pivotButton="0" quotePrefix="0" xfId="0">
      <alignment vertical="center"/>
    </xf>
    <xf numFmtId="173" fontId="11" fillId="0" borderId="66" applyAlignment="1" pivotButton="0" quotePrefix="0" xfId="0">
      <alignment vertical="center"/>
    </xf>
    <xf numFmtId="173" fontId="11" fillId="0" borderId="67" applyAlignment="1" pivotButton="0" quotePrefix="0" xfId="0">
      <alignment vertical="center"/>
    </xf>
    <xf numFmtId="173" fontId="11" fillId="0" borderId="16" applyAlignment="1" pivotButton="0" quotePrefix="0" xfId="0">
      <alignment vertical="center"/>
    </xf>
    <xf numFmtId="173" fontId="11" fillId="0" borderId="68" applyAlignment="1" pivotButton="0" quotePrefix="0" xfId="0">
      <alignment vertical="center"/>
    </xf>
    <xf numFmtId="173" fontId="11" fillId="0" borderId="69" applyAlignment="1" pivotButton="0" quotePrefix="0" xfId="0">
      <alignment vertical="center"/>
    </xf>
    <xf numFmtId="173" fontId="11" fillId="0" borderId="26" applyAlignment="1" pivotButton="0" quotePrefix="0" xfId="0">
      <alignment vertical="center"/>
    </xf>
    <xf numFmtId="173" fontId="11" fillId="0" borderId="22" applyAlignment="1" pivotButton="0" quotePrefix="0" xfId="0">
      <alignment vertical="center"/>
    </xf>
    <xf numFmtId="173" fontId="11" fillId="0" borderId="70" applyAlignment="1" pivotButton="0" quotePrefix="0" xfId="0">
      <alignment vertical="center"/>
    </xf>
    <xf numFmtId="173" fontId="11" fillId="0" borderId="71" applyAlignment="1" pivotButton="0" quotePrefix="0" xfId="0">
      <alignment vertical="center"/>
    </xf>
    <xf numFmtId="173" fontId="11" fillId="0" borderId="27" applyAlignment="1" pivotButton="0" quotePrefix="0" xfId="0">
      <alignment vertical="center"/>
    </xf>
    <xf numFmtId="173" fontId="11" fillId="0" borderId="72" applyAlignment="1" pivotButton="0" quotePrefix="0" xfId="0">
      <alignment vertical="center"/>
    </xf>
    <xf numFmtId="173" fontId="11" fillId="0" borderId="32" applyAlignment="1" pivotButton="0" quotePrefix="0" xfId="0">
      <alignment vertical="center"/>
    </xf>
    <xf numFmtId="173" fontId="11" fillId="0" borderId="33" applyAlignment="1" pivotButton="0" quotePrefix="0" xfId="0">
      <alignment vertical="center"/>
    </xf>
    <xf numFmtId="173" fontId="11" fillId="0" borderId="73" applyAlignment="1" pivotButton="0" quotePrefix="0" xfId="0">
      <alignment vertical="center"/>
    </xf>
    <xf numFmtId="173" fontId="11" fillId="0" borderId="74" applyAlignment="1" pivotButton="0" quotePrefix="0" xfId="0">
      <alignment vertical="center"/>
    </xf>
    <xf numFmtId="173" fontId="11" fillId="0" borderId="34" applyAlignment="1" pivotButton="0" quotePrefix="0" xfId="0">
      <alignment vertical="center"/>
    </xf>
    <xf numFmtId="173" fontId="11" fillId="0" borderId="30" applyAlignment="1" pivotButton="0" quotePrefix="0" xfId="0">
      <alignment vertical="center"/>
    </xf>
    <xf numFmtId="173" fontId="11" fillId="0" borderId="53" applyAlignment="1" pivotButton="0" quotePrefix="0" xfId="0">
      <alignment vertical="center"/>
    </xf>
    <xf numFmtId="173" fontId="11" fillId="0" borderId="75" applyAlignment="1" pivotButton="0" quotePrefix="0" xfId="0">
      <alignment vertical="center"/>
    </xf>
    <xf numFmtId="173" fontId="11" fillId="0" borderId="35" applyAlignment="1" pivotButton="0" quotePrefix="0" xfId="0">
      <alignment vertical="center"/>
    </xf>
    <xf numFmtId="173" fontId="11" fillId="0" borderId="76" applyAlignment="1" pivotButton="0" quotePrefix="0" xfId="0">
      <alignment vertical="center"/>
    </xf>
    <xf numFmtId="174" fontId="11" fillId="0" borderId="55" applyAlignment="1" pivotButton="0" quotePrefix="0" xfId="0">
      <alignment vertical="center"/>
    </xf>
    <xf numFmtId="174" fontId="11" fillId="0" borderId="0" applyAlignment="1" pivotButton="0" quotePrefix="0" xfId="0">
      <alignment vertical="center"/>
    </xf>
    <xf numFmtId="174" fontId="11" fillId="0" borderId="19" applyAlignment="1" pivotButton="0" quotePrefix="0" xfId="0">
      <alignment vertical="center"/>
    </xf>
    <xf numFmtId="174" fontId="11" fillId="0" borderId="56" applyAlignment="1" pivotButton="0" quotePrefix="0" xfId="0">
      <alignment vertical="center"/>
    </xf>
    <xf numFmtId="174" fontId="11" fillId="0" borderId="61" applyAlignment="1" pivotButton="0" quotePrefix="0" xfId="0">
      <alignment vertical="center"/>
    </xf>
    <xf numFmtId="174" fontId="11" fillId="0" borderId="20" applyAlignment="1" pivotButton="0" quotePrefix="0" xfId="0">
      <alignment vertical="center"/>
    </xf>
    <xf numFmtId="174" fontId="11" fillId="0" borderId="17" applyAlignment="1" pivotButton="0" quotePrefix="0" xfId="0">
      <alignment vertical="center"/>
    </xf>
    <xf numFmtId="174" fontId="11" fillId="0" borderId="62" applyAlignment="1" pivotButton="0" quotePrefix="0" xfId="0">
      <alignment vertical="center"/>
    </xf>
    <xf numFmtId="174" fontId="11" fillId="0" borderId="63" applyAlignment="1" pivotButton="0" quotePrefix="0" xfId="0">
      <alignment vertical="center"/>
    </xf>
    <xf numFmtId="174" fontId="11" fillId="0" borderId="21" applyAlignment="1" pivotButton="0" quotePrefix="0" xfId="0">
      <alignment vertical="center"/>
    </xf>
    <xf numFmtId="174" fontId="11" fillId="0" borderId="72" applyAlignment="1" pivotButton="0" quotePrefix="0" xfId="0">
      <alignment vertical="center"/>
    </xf>
    <xf numFmtId="174" fontId="11" fillId="0" borderId="32" applyAlignment="1" pivotButton="0" quotePrefix="0" xfId="0">
      <alignment vertical="center"/>
    </xf>
    <xf numFmtId="174" fontId="11" fillId="0" borderId="33" applyAlignment="1" pivotButton="0" quotePrefix="0" xfId="0">
      <alignment vertical="center"/>
    </xf>
    <xf numFmtId="174" fontId="11" fillId="0" borderId="73" applyAlignment="1" pivotButton="0" quotePrefix="0" xfId="0">
      <alignment vertical="center"/>
    </xf>
    <xf numFmtId="174" fontId="11" fillId="0" borderId="74" applyAlignment="1" pivotButton="0" quotePrefix="0" xfId="0">
      <alignment vertical="center"/>
    </xf>
    <xf numFmtId="174" fontId="11" fillId="0" borderId="34" applyAlignment="1" pivotButton="0" quotePrefix="0" xfId="0">
      <alignment vertical="center"/>
    </xf>
    <xf numFmtId="174" fontId="11" fillId="0" borderId="30" applyAlignment="1" pivotButton="0" quotePrefix="0" xfId="0">
      <alignment vertical="center"/>
    </xf>
    <xf numFmtId="174" fontId="11" fillId="0" borderId="53" applyAlignment="1" pivotButton="0" quotePrefix="0" xfId="0">
      <alignment vertical="center"/>
    </xf>
    <xf numFmtId="174" fontId="11" fillId="0" borderId="75" applyAlignment="1" pivotButton="0" quotePrefix="0" xfId="0">
      <alignment vertical="center"/>
    </xf>
    <xf numFmtId="174" fontId="11" fillId="0" borderId="35" applyAlignment="1" pivotButton="0" quotePrefix="0" xfId="0">
      <alignment vertical="center"/>
    </xf>
    <xf numFmtId="168" fontId="11" fillId="0" borderId="54" applyAlignment="1" pivotButton="0" quotePrefix="0" xfId="14">
      <alignment vertical="center"/>
    </xf>
    <xf numFmtId="168" fontId="11" fillId="0" borderId="76" applyAlignment="1" pivotButton="0" quotePrefix="0" xfId="14">
      <alignment vertical="center"/>
    </xf>
    <xf numFmtId="168" fontId="11" fillId="0" borderId="57" applyAlignment="1" pivotButton="0" quotePrefix="0" xfId="14">
      <alignment vertical="center"/>
    </xf>
    <xf numFmtId="168" fontId="11" fillId="0" borderId="37" applyAlignment="1" pivotButton="0" quotePrefix="0" xfId="14">
      <alignment vertical="center"/>
    </xf>
    <xf numFmtId="168" fontId="11" fillId="0" borderId="58" applyAlignment="1" pivotButton="0" quotePrefix="0" xfId="14">
      <alignment vertical="center"/>
    </xf>
    <xf numFmtId="168" fontId="11" fillId="0" borderId="59" applyAlignment="1" pivotButton="0" quotePrefix="0" xfId="14">
      <alignment vertical="center"/>
    </xf>
    <xf numFmtId="168" fontId="11" fillId="0" borderId="55" applyAlignment="1" pivotButton="0" quotePrefix="0" xfId="14">
      <alignment vertical="center"/>
    </xf>
    <xf numFmtId="168" fontId="11" fillId="0" borderId="56" applyAlignment="1" pivotButton="0" quotePrefix="0" xfId="14">
      <alignment vertical="center"/>
    </xf>
    <xf numFmtId="168" fontId="11" fillId="0" borderId="61" applyAlignment="1" pivotButton="0" quotePrefix="0" xfId="14">
      <alignment vertical="center"/>
    </xf>
    <xf numFmtId="168" fontId="11" fillId="0" borderId="17" applyAlignment="1" pivotButton="0" quotePrefix="0" xfId="14">
      <alignment vertical="center"/>
    </xf>
    <xf numFmtId="168" fontId="11" fillId="0" borderId="62" applyAlignment="1" pivotButton="0" quotePrefix="0" xfId="14">
      <alignment vertical="center"/>
    </xf>
    <xf numFmtId="168" fontId="11" fillId="0" borderId="63" applyAlignment="1" pivotButton="0" quotePrefix="0" xfId="14">
      <alignment vertical="center"/>
    </xf>
    <xf numFmtId="166" fontId="11" fillId="0" borderId="64" applyAlignment="1" pivotButton="0" quotePrefix="0" xfId="0">
      <alignment vertical="center"/>
    </xf>
    <xf numFmtId="175" fontId="11" fillId="0" borderId="13" applyAlignment="1" pivotButton="0" quotePrefix="0" xfId="0">
      <alignment vertical="center"/>
    </xf>
    <xf numFmtId="175" fontId="11" fillId="0" borderId="64" applyAlignment="1" pivotButton="0" quotePrefix="0" xfId="0">
      <alignment vertical="center"/>
    </xf>
    <xf numFmtId="166" fontId="11" fillId="0" borderId="28" applyAlignment="1" pivotButton="0" quotePrefix="0" xfId="0">
      <alignment vertical="center"/>
    </xf>
    <xf numFmtId="166" fontId="11" fillId="0" borderId="65" applyAlignment="1" pivotButton="0" quotePrefix="0" xfId="0">
      <alignment vertical="center"/>
    </xf>
    <xf numFmtId="166" fontId="11" fillId="0" borderId="11" applyAlignment="1" pivotButton="0" quotePrefix="0" xfId="0">
      <alignment vertical="center"/>
    </xf>
    <xf numFmtId="166" fontId="11" fillId="0" borderId="66" applyAlignment="1" pivotButton="0" quotePrefix="0" xfId="0">
      <alignment vertical="center"/>
    </xf>
    <xf numFmtId="166" fontId="11" fillId="0" borderId="67" applyAlignment="1" pivotButton="0" quotePrefix="0" xfId="0">
      <alignment vertical="center"/>
    </xf>
    <xf numFmtId="166" fontId="11" fillId="0" borderId="55" applyAlignment="1" pivotButton="0" quotePrefix="0" xfId="0">
      <alignment vertical="center"/>
    </xf>
    <xf numFmtId="175" fontId="11" fillId="0" borderId="0" applyAlignment="1" pivotButton="0" quotePrefix="0" xfId="0">
      <alignment vertical="center"/>
    </xf>
    <xf numFmtId="175" fontId="11" fillId="0" borderId="55" applyAlignment="1" pivotButton="0" quotePrefix="0" xfId="0">
      <alignment vertical="center"/>
    </xf>
    <xf numFmtId="166" fontId="11" fillId="0" borderId="56" applyAlignment="1" pivotButton="0" quotePrefix="0" xfId="0">
      <alignment vertical="center"/>
    </xf>
    <xf numFmtId="166" fontId="11" fillId="0" borderId="61" applyAlignment="1" pivotButton="0" quotePrefix="0" xfId="0">
      <alignment vertical="center"/>
    </xf>
    <xf numFmtId="166" fontId="11" fillId="0" borderId="17" applyAlignment="1" pivotButton="0" quotePrefix="0" xfId="0">
      <alignment vertical="center"/>
    </xf>
    <xf numFmtId="166" fontId="11" fillId="0" borderId="62" applyAlignment="1" pivotButton="0" quotePrefix="0" xfId="0">
      <alignment vertical="center"/>
    </xf>
    <xf numFmtId="166" fontId="11" fillId="0" borderId="63" applyAlignment="1" pivotButton="0" quotePrefix="0" xfId="0">
      <alignment vertical="center"/>
    </xf>
    <xf numFmtId="166" fontId="11" fillId="0" borderId="60" applyAlignment="1" pivotButton="0" quotePrefix="0" xfId="0">
      <alignment vertical="center"/>
    </xf>
    <xf numFmtId="175" fontId="11" fillId="0" borderId="24" applyAlignment="1" pivotButton="0" quotePrefix="0" xfId="0">
      <alignment vertical="center"/>
    </xf>
    <xf numFmtId="175" fontId="11" fillId="0" borderId="60" applyAlignment="1" pivotButton="0" quotePrefix="0" xfId="0">
      <alignment vertical="center"/>
    </xf>
    <xf numFmtId="166" fontId="11" fillId="0" borderId="68" applyAlignment="1" pivotButton="0" quotePrefix="0" xfId="0">
      <alignment vertical="center"/>
    </xf>
    <xf numFmtId="166" fontId="11" fillId="0" borderId="69" applyAlignment="1" pivotButton="0" quotePrefix="0" xfId="0">
      <alignment vertical="center"/>
    </xf>
    <xf numFmtId="166" fontId="11" fillId="0" borderId="22" applyAlignment="1" pivotButton="0" quotePrefix="0" xfId="0">
      <alignment vertical="center"/>
    </xf>
    <xf numFmtId="166" fontId="11" fillId="0" borderId="70" applyAlignment="1" pivotButton="0" quotePrefix="0" xfId="0">
      <alignment vertical="center"/>
    </xf>
    <xf numFmtId="176" fontId="11" fillId="0" borderId="71" applyAlignment="1" pivotButton="0" quotePrefix="0" xfId="0">
      <alignment vertical="center"/>
    </xf>
    <xf numFmtId="176" fontId="11" fillId="0" borderId="24" applyAlignment="1" pivotButton="0" quotePrefix="0" xfId="0">
      <alignment vertical="center"/>
    </xf>
    <xf numFmtId="176" fontId="11" fillId="0" borderId="25" applyAlignment="1" pivotButton="0" quotePrefix="0" xfId="0">
      <alignment vertical="center"/>
    </xf>
    <xf numFmtId="176" fontId="11" fillId="0" borderId="27" applyAlignment="1" pivotButton="0" quotePrefix="0" xfId="0">
      <alignment vertical="center"/>
    </xf>
    <xf numFmtId="168" fontId="11" fillId="0" borderId="64" applyAlignment="1" pivotButton="0" quotePrefix="0" xfId="14">
      <alignment vertical="center"/>
    </xf>
    <xf numFmtId="168" fontId="11" fillId="0" borderId="28" applyAlignment="1" pivotButton="0" quotePrefix="0" xfId="14">
      <alignment vertical="center"/>
    </xf>
    <xf numFmtId="168" fontId="11" fillId="0" borderId="65" applyAlignment="1" pivotButton="0" quotePrefix="0" xfId="14">
      <alignment vertical="center"/>
    </xf>
    <xf numFmtId="168" fontId="11" fillId="0" borderId="11" applyAlignment="1" pivotButton="0" quotePrefix="0" xfId="14">
      <alignment vertical="center"/>
    </xf>
    <xf numFmtId="168" fontId="11" fillId="0" borderId="66" applyAlignment="1" pivotButton="0" quotePrefix="0" xfId="14">
      <alignment vertical="center"/>
    </xf>
    <xf numFmtId="168" fontId="11" fillId="0" borderId="67" applyAlignment="1" pivotButton="0" quotePrefix="0" xfId="14">
      <alignment vertical="center"/>
    </xf>
    <xf numFmtId="168" fontId="11" fillId="0" borderId="60" applyAlignment="1" pivotButton="0" quotePrefix="0" xfId="14">
      <alignment vertical="center"/>
    </xf>
    <xf numFmtId="168" fontId="11" fillId="0" borderId="68" applyAlignment="1" pivotButton="0" quotePrefix="0" xfId="14">
      <alignment vertical="center"/>
    </xf>
    <xf numFmtId="168" fontId="11" fillId="0" borderId="69" applyAlignment="1" pivotButton="0" quotePrefix="0" xfId="14">
      <alignment vertical="center"/>
    </xf>
    <xf numFmtId="168" fontId="11" fillId="0" borderId="22" applyAlignment="1" pivotButton="0" quotePrefix="0" xfId="14">
      <alignment vertical="center"/>
    </xf>
    <xf numFmtId="168" fontId="11" fillId="0" borderId="70" applyAlignment="1" pivotButton="0" quotePrefix="0" xfId="14">
      <alignment vertical="center"/>
    </xf>
    <xf numFmtId="177" fontId="11" fillId="0" borderId="64" applyAlignment="1" pivotButton="0" quotePrefix="0" xfId="0">
      <alignment vertical="center"/>
    </xf>
    <xf numFmtId="177" fontId="11" fillId="0" borderId="28" applyAlignment="1" pivotButton="0" quotePrefix="0" xfId="0">
      <alignment vertical="center"/>
    </xf>
    <xf numFmtId="177" fontId="11" fillId="0" borderId="13" applyAlignment="1" pivotButton="0" quotePrefix="0" xfId="0">
      <alignment vertical="center"/>
    </xf>
    <xf numFmtId="177" fontId="11" fillId="0" borderId="14" applyAlignment="1" pivotButton="0" quotePrefix="0" xfId="0">
      <alignment vertical="center"/>
    </xf>
    <xf numFmtId="177" fontId="11" fillId="0" borderId="65" applyAlignment="1" pivotButton="0" quotePrefix="0" xfId="0">
      <alignment vertical="center"/>
    </xf>
    <xf numFmtId="177" fontId="11" fillId="0" borderId="15" applyAlignment="1" pivotButton="0" quotePrefix="0" xfId="0">
      <alignment vertical="center"/>
    </xf>
    <xf numFmtId="177" fontId="11" fillId="0" borderId="11" applyAlignment="1" pivotButton="0" quotePrefix="0" xfId="0">
      <alignment vertical="center"/>
    </xf>
    <xf numFmtId="177" fontId="11" fillId="0" borderId="66" applyAlignment="1" pivotButton="0" quotePrefix="0" xfId="0">
      <alignment vertical="center"/>
    </xf>
    <xf numFmtId="177" fontId="11" fillId="0" borderId="67" applyAlignment="1" pivotButton="0" quotePrefix="0" xfId="0">
      <alignment vertical="center"/>
    </xf>
    <xf numFmtId="177" fontId="11" fillId="0" borderId="16" applyAlignment="1" pivotButton="0" quotePrefix="0" xfId="0">
      <alignment vertical="center"/>
    </xf>
    <xf numFmtId="177" fontId="11" fillId="0" borderId="55" applyAlignment="1" pivotButton="0" quotePrefix="0" xfId="0">
      <alignment vertical="center"/>
    </xf>
    <xf numFmtId="177" fontId="11" fillId="0" borderId="56" applyAlignment="1" pivotButton="0" quotePrefix="0" xfId="0">
      <alignment vertical="center"/>
    </xf>
    <xf numFmtId="177" fontId="11" fillId="0" borderId="0" applyAlignment="1" pivotButton="0" quotePrefix="0" xfId="0">
      <alignment vertical="center"/>
    </xf>
    <xf numFmtId="177" fontId="11" fillId="0" borderId="19" applyAlignment="1" pivotButton="0" quotePrefix="0" xfId="0">
      <alignment vertical="center"/>
    </xf>
    <xf numFmtId="177" fontId="11" fillId="0" borderId="61" applyAlignment="1" pivotButton="0" quotePrefix="0" xfId="0">
      <alignment vertical="center"/>
    </xf>
    <xf numFmtId="177" fontId="11" fillId="0" borderId="20" applyAlignment="1" pivotButton="0" quotePrefix="0" xfId="0">
      <alignment vertical="center"/>
    </xf>
    <xf numFmtId="177" fontId="11" fillId="0" borderId="17" applyAlignment="1" pivotButton="0" quotePrefix="0" xfId="0">
      <alignment vertical="center"/>
    </xf>
    <xf numFmtId="177" fontId="11" fillId="0" borderId="62" applyAlignment="1" pivotButton="0" quotePrefix="0" xfId="0">
      <alignment vertical="center"/>
    </xf>
    <xf numFmtId="177" fontId="11" fillId="0" borderId="63" applyAlignment="1" pivotButton="0" quotePrefix="0" xfId="0">
      <alignment vertical="center"/>
    </xf>
    <xf numFmtId="177" fontId="11" fillId="0" borderId="21" applyAlignment="1" pivotButton="0" quotePrefix="0" xfId="0">
      <alignment vertical="center"/>
    </xf>
    <xf numFmtId="177" fontId="11" fillId="0" borderId="60" applyAlignment="1" pivotButton="0" quotePrefix="0" xfId="0">
      <alignment vertical="center"/>
    </xf>
    <xf numFmtId="177" fontId="11" fillId="0" borderId="68" applyAlignment="1" pivotButton="0" quotePrefix="0" xfId="0">
      <alignment vertical="center"/>
    </xf>
    <xf numFmtId="177" fontId="11" fillId="0" borderId="24" applyAlignment="1" pivotButton="0" quotePrefix="0" xfId="0">
      <alignment vertical="center"/>
    </xf>
    <xf numFmtId="166" fontId="11" fillId="0" borderId="71" applyAlignment="1" pivotButton="0" quotePrefix="0" xfId="0">
      <alignment vertical="center"/>
    </xf>
    <xf numFmtId="169" fontId="11" fillId="0" borderId="64" applyAlignment="1" pivotButton="0" quotePrefix="0" xfId="0">
      <alignment vertical="center"/>
    </xf>
    <xf numFmtId="169" fontId="11" fillId="0" borderId="28" applyAlignment="1" pivotButton="0" quotePrefix="0" xfId="0">
      <alignment vertical="center"/>
    </xf>
    <xf numFmtId="169" fontId="11" fillId="0" borderId="65" applyAlignment="1" pivotButton="0" quotePrefix="0" xfId="0">
      <alignment vertical="center"/>
    </xf>
    <xf numFmtId="169" fontId="11" fillId="0" borderId="11" applyAlignment="1" pivotButton="0" quotePrefix="0" xfId="0">
      <alignment vertical="center"/>
    </xf>
    <xf numFmtId="169" fontId="11" fillId="0" borderId="66" applyAlignment="1" pivotButton="0" quotePrefix="0" xfId="0">
      <alignment vertical="center"/>
    </xf>
    <xf numFmtId="169" fontId="11" fillId="0" borderId="67" applyAlignment="1" pivotButton="0" quotePrefix="0" xfId="0">
      <alignment vertical="center"/>
    </xf>
    <xf numFmtId="169" fontId="11" fillId="0" borderId="55" applyAlignment="1" pivotButton="0" quotePrefix="0" xfId="0">
      <alignment vertical="center"/>
    </xf>
    <xf numFmtId="169" fontId="11" fillId="0" borderId="19" applyAlignment="1" pivotButton="0" quotePrefix="0" xfId="0">
      <alignment vertical="center"/>
    </xf>
    <xf numFmtId="169" fontId="11" fillId="0" borderId="56" applyAlignment="1" pivotButton="0" quotePrefix="0" xfId="0">
      <alignment vertical="center"/>
    </xf>
    <xf numFmtId="169" fontId="11" fillId="0" borderId="61" applyAlignment="1" pivotButton="0" quotePrefix="0" xfId="0">
      <alignment vertical="center"/>
    </xf>
    <xf numFmtId="169" fontId="11" fillId="0" borderId="20" applyAlignment="1" pivotButton="0" quotePrefix="0" xfId="0">
      <alignment vertical="center"/>
    </xf>
    <xf numFmtId="169" fontId="11" fillId="0" borderId="17" applyAlignment="1" pivotButton="0" quotePrefix="0" xfId="0">
      <alignment vertical="center"/>
    </xf>
    <xf numFmtId="169" fontId="11" fillId="0" borderId="62" applyAlignment="1" pivotButton="0" quotePrefix="0" xfId="0">
      <alignment vertical="center"/>
    </xf>
    <xf numFmtId="169" fontId="11" fillId="0" borderId="63" applyAlignment="1" pivotButton="0" quotePrefix="0" xfId="0">
      <alignment vertical="center"/>
    </xf>
    <xf numFmtId="169" fontId="11" fillId="0" borderId="21" applyAlignment="1" pivotButton="0" quotePrefix="0" xfId="0">
      <alignment vertical="center"/>
    </xf>
    <xf numFmtId="169" fontId="11" fillId="0" borderId="60" applyAlignment="1" pivotButton="0" quotePrefix="0" xfId="0">
      <alignment vertical="center"/>
    </xf>
    <xf numFmtId="169" fontId="11" fillId="0" borderId="68" applyAlignment="1" pivotButton="0" quotePrefix="0" xfId="0">
      <alignment vertical="center"/>
    </xf>
    <xf numFmtId="169" fontId="11" fillId="0" borderId="69" applyAlignment="1" pivotButton="0" quotePrefix="0" xfId="0">
      <alignment vertical="center"/>
    </xf>
    <xf numFmtId="169" fontId="11" fillId="0" borderId="22" applyAlignment="1" pivotButton="0" quotePrefix="0" xfId="0">
      <alignment vertical="center"/>
    </xf>
    <xf numFmtId="169" fontId="11" fillId="0" borderId="70" applyAlignment="1" pivotButton="0" quotePrefix="0" xfId="0">
      <alignment vertical="center"/>
    </xf>
    <xf numFmtId="169" fontId="11" fillId="0" borderId="71" applyAlignment="1" pivotButton="0" quotePrefix="0" xfId="0">
      <alignment vertical="center"/>
    </xf>
    <xf numFmtId="168" fontId="11" fillId="0" borderId="56" applyAlignment="1" pivotButton="0" quotePrefix="0" xfId="0">
      <alignment vertical="center"/>
    </xf>
    <xf numFmtId="168" fontId="11" fillId="0" borderId="0" applyAlignment="1" pivotButton="0" quotePrefix="0" xfId="0">
      <alignment vertical="center"/>
    </xf>
    <xf numFmtId="168" fontId="11" fillId="0" borderId="55" applyAlignment="1" pivotButton="0" quotePrefix="0" xfId="0">
      <alignment vertical="center"/>
    </xf>
    <xf numFmtId="168" fontId="11" fillId="0" borderId="19" applyAlignment="1" pivotButton="0" quotePrefix="0" xfId="0">
      <alignment vertical="center"/>
    </xf>
    <xf numFmtId="178" fontId="11" fillId="0" borderId="24" applyAlignment="1" pivotButton="0" quotePrefix="0" xfId="0">
      <alignment vertical="center"/>
    </xf>
    <xf numFmtId="170" fontId="11" fillId="0" borderId="55" applyAlignment="1" pivotButton="0" quotePrefix="0" xfId="0">
      <alignment vertical="center"/>
    </xf>
    <xf numFmtId="170" fontId="11" fillId="0" borderId="0" applyAlignment="1" pivotButton="0" quotePrefix="0" xfId="0">
      <alignment vertical="center"/>
    </xf>
    <xf numFmtId="170" fontId="11" fillId="0" borderId="19" applyAlignment="1" pivotButton="0" quotePrefix="0" xfId="0">
      <alignment vertical="center"/>
    </xf>
    <xf numFmtId="170" fontId="11" fillId="0" borderId="56" applyAlignment="1" pivotButton="0" quotePrefix="0" xfId="0">
      <alignment vertical="center"/>
    </xf>
    <xf numFmtId="170" fontId="11" fillId="0" borderId="61" applyAlignment="1" pivotButton="0" quotePrefix="0" xfId="0">
      <alignment vertical="center"/>
    </xf>
    <xf numFmtId="170" fontId="11" fillId="0" borderId="20" applyAlignment="1" pivotButton="0" quotePrefix="0" xfId="0">
      <alignment vertical="center"/>
    </xf>
    <xf numFmtId="170" fontId="11" fillId="0" borderId="17" applyAlignment="1" pivotButton="0" quotePrefix="0" xfId="0">
      <alignment vertical="center"/>
    </xf>
    <xf numFmtId="170" fontId="11" fillId="0" borderId="62" applyAlignment="1" pivotButton="0" quotePrefix="0" xfId="0">
      <alignment vertical="center"/>
    </xf>
    <xf numFmtId="170" fontId="11" fillId="0" borderId="63" applyAlignment="1" pivotButton="0" quotePrefix="0" xfId="0">
      <alignment vertical="center"/>
    </xf>
    <xf numFmtId="170" fontId="11" fillId="0" borderId="21" applyAlignment="1" pivotButton="0" quotePrefix="0" xfId="0">
      <alignment vertical="center"/>
    </xf>
    <xf numFmtId="170" fontId="11" fillId="0" borderId="72" applyAlignment="1" pivotButton="0" quotePrefix="0" xfId="0">
      <alignment vertical="center"/>
    </xf>
    <xf numFmtId="170" fontId="11" fillId="0" borderId="33" applyAlignment="1" pivotButton="0" quotePrefix="0" xfId="0">
      <alignment vertical="center"/>
    </xf>
    <xf numFmtId="170" fontId="11" fillId="0" borderId="73" applyAlignment="1" pivotButton="0" quotePrefix="0" xfId="0">
      <alignment vertical="center"/>
    </xf>
    <xf numFmtId="170" fontId="11" fillId="0" borderId="74" applyAlignment="1" pivotButton="0" quotePrefix="0" xfId="0">
      <alignment vertical="center"/>
    </xf>
    <xf numFmtId="170" fontId="11" fillId="0" borderId="34" applyAlignment="1" pivotButton="0" quotePrefix="0" xfId="0">
      <alignment vertical="center"/>
    </xf>
    <xf numFmtId="170" fontId="11" fillId="0" borderId="30" applyAlignment="1" pivotButton="0" quotePrefix="0" xfId="0">
      <alignment vertical="center"/>
    </xf>
    <xf numFmtId="170" fontId="11" fillId="0" borderId="53" applyAlignment="1" pivotButton="0" quotePrefix="0" xfId="0">
      <alignment vertical="center"/>
    </xf>
    <xf numFmtId="170" fontId="11" fillId="0" borderId="75" applyAlignment="1" pivotButton="0" quotePrefix="0" xfId="0">
      <alignment vertical="center"/>
    </xf>
    <xf numFmtId="170" fontId="11" fillId="0" borderId="35" applyAlignment="1" pivotButton="0" quotePrefix="0" xfId="0">
      <alignment vertical="center"/>
    </xf>
    <xf numFmtId="165" fontId="11" fillId="0" borderId="54" applyAlignment="1" pivotButton="0" quotePrefix="0" xfId="0">
      <alignment vertical="center"/>
    </xf>
    <xf numFmtId="165" fontId="11" fillId="0" borderId="50" applyAlignment="1" pivotButton="0" quotePrefix="0" xfId="0">
      <alignment vertical="center"/>
    </xf>
    <xf numFmtId="165" fontId="11" fillId="0" borderId="51" applyAlignment="1" pivotButton="0" quotePrefix="0" xfId="0">
      <alignment vertical="center"/>
    </xf>
    <xf numFmtId="165" fontId="11" fillId="0" borderId="49" applyAlignment="1" pivotButton="0" quotePrefix="0" xfId="0">
      <alignment vertical="center"/>
    </xf>
    <xf numFmtId="165" fontId="11" fillId="0" borderId="52" applyAlignment="1" pivotButton="0" quotePrefix="0" xfId="0">
      <alignment vertical="center"/>
    </xf>
    <xf numFmtId="165" fontId="11" fillId="0" borderId="55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11" fillId="0" borderId="19" applyAlignment="1" pivotButton="0" quotePrefix="0" xfId="0">
      <alignment vertical="center"/>
    </xf>
    <xf numFmtId="165" fontId="11" fillId="0" borderId="20" applyAlignment="1" pivotButton="0" quotePrefix="0" xfId="0">
      <alignment vertical="center"/>
    </xf>
    <xf numFmtId="165" fontId="11" fillId="0" borderId="21" applyAlignment="1" pivotButton="0" quotePrefix="0" xfId="0">
      <alignment vertical="center"/>
    </xf>
    <xf numFmtId="168" fontId="11" fillId="0" borderId="64" applyAlignment="1" pivotButton="0" quotePrefix="0" xfId="0">
      <alignment vertical="center"/>
    </xf>
    <xf numFmtId="168" fontId="11" fillId="0" borderId="13" applyAlignment="1" pivotButton="0" quotePrefix="0" xfId="0">
      <alignment vertical="center"/>
    </xf>
    <xf numFmtId="168" fontId="11" fillId="0" borderId="14" applyAlignment="1" pivotButton="0" quotePrefix="0" xfId="0">
      <alignment vertical="center"/>
    </xf>
    <xf numFmtId="168" fontId="11" fillId="0" borderId="15" applyAlignment="1" pivotButton="0" quotePrefix="0" xfId="0">
      <alignment vertical="center"/>
    </xf>
    <xf numFmtId="168" fontId="11" fillId="0" borderId="16" applyAlignment="1" pivotButton="0" quotePrefix="0" xfId="0">
      <alignment vertical="center"/>
    </xf>
    <xf numFmtId="165" fontId="11" fillId="0" borderId="72" applyAlignment="1" pivotButton="0" quotePrefix="0" xfId="0">
      <alignment vertical="center"/>
    </xf>
    <xf numFmtId="165" fontId="11" fillId="0" borderId="32" applyAlignment="1" pivotButton="0" quotePrefix="0" xfId="0">
      <alignment vertical="center"/>
    </xf>
    <xf numFmtId="165" fontId="11" fillId="0" borderId="33" applyAlignment="1" pivotButton="0" quotePrefix="0" xfId="0">
      <alignment vertical="center"/>
    </xf>
    <xf numFmtId="165" fontId="11" fillId="0" borderId="34" applyAlignment="1" pivotButton="0" quotePrefix="0" xfId="0">
      <alignment vertical="center"/>
    </xf>
    <xf numFmtId="165" fontId="11" fillId="0" borderId="35" applyAlignment="1" pivotButton="0" quotePrefix="0" xfId="0">
      <alignment vertical="center"/>
    </xf>
    <xf numFmtId="178" fontId="11" fillId="0" borderId="55" applyAlignment="1" pivotButton="0" quotePrefix="0" xfId="0">
      <alignment vertical="center"/>
    </xf>
    <xf numFmtId="178" fontId="11" fillId="0" borderId="0" applyAlignment="1" pivotButton="0" quotePrefix="0" xfId="0">
      <alignment vertical="center"/>
    </xf>
    <xf numFmtId="178" fontId="11" fillId="0" borderId="19" applyAlignment="1" pivotButton="0" quotePrefix="0" xfId="0">
      <alignment vertical="center"/>
    </xf>
    <xf numFmtId="178" fontId="11" fillId="0" borderId="20" applyAlignment="1" pivotButton="0" quotePrefix="0" xfId="0">
      <alignment vertical="center"/>
    </xf>
    <xf numFmtId="178" fontId="11" fillId="0" borderId="21" applyAlignment="1" pivotButton="0" quotePrefix="0" xfId="0">
      <alignment vertical="center"/>
    </xf>
    <xf numFmtId="178" fontId="11" fillId="0" borderId="72" applyAlignment="1" pivotButton="0" quotePrefix="0" xfId="0">
      <alignment vertical="center"/>
    </xf>
    <xf numFmtId="178" fontId="11" fillId="0" borderId="32" applyAlignment="1" pivotButton="0" quotePrefix="0" xfId="0">
      <alignment vertical="center"/>
    </xf>
    <xf numFmtId="178" fontId="11" fillId="0" borderId="33" applyAlignment="1" pivotButton="0" quotePrefix="0" xfId="0">
      <alignment vertical="center"/>
    </xf>
    <xf numFmtId="178" fontId="11" fillId="0" borderId="34" applyAlignment="1" pivotButton="0" quotePrefix="0" xfId="0">
      <alignment vertical="center"/>
    </xf>
    <xf numFmtId="169" fontId="11" fillId="0" borderId="49" applyAlignment="1" pivotButton="0" quotePrefix="0" xfId="0">
      <alignment horizontal="center" vertical="center"/>
    </xf>
    <xf numFmtId="169" fontId="11" fillId="0" borderId="50" applyAlignment="1" pivotButton="0" quotePrefix="0" xfId="0">
      <alignment horizontal="center" vertical="center"/>
    </xf>
    <xf numFmtId="169" fontId="11" fillId="0" borderId="51" applyAlignment="1" pivotButton="0" quotePrefix="0" xfId="0">
      <alignment horizontal="center" vertical="center"/>
    </xf>
    <xf numFmtId="169" fontId="11" fillId="0" borderId="58" applyAlignment="1" pivotButton="0" quotePrefix="0" xfId="0">
      <alignment horizontal="center" vertical="center"/>
    </xf>
    <xf numFmtId="169" fontId="11" fillId="0" borderId="33" applyAlignment="1" pivotButton="0" quotePrefix="0" xfId="0">
      <alignment horizontal="center" vertical="center"/>
    </xf>
    <xf numFmtId="169" fontId="11" fillId="0" borderId="34" applyAlignment="1" pivotButton="0" quotePrefix="0" xfId="0">
      <alignment horizontal="center" vertical="center"/>
    </xf>
    <xf numFmtId="169" fontId="11" fillId="0" borderId="53" applyAlignment="1" pivotButton="0" quotePrefix="0" xfId="0">
      <alignment horizontal="center" vertical="center"/>
    </xf>
    <xf numFmtId="169" fontId="11" fillId="0" borderId="32" applyAlignment="1" pivotButton="0" quotePrefix="0" xfId="0">
      <alignment horizontal="center" vertical="center"/>
    </xf>
    <xf numFmtId="169" fontId="11" fillId="0" borderId="49" applyAlignment="1" pivotButton="0" quotePrefix="0" xfId="0">
      <alignment vertical="center"/>
    </xf>
    <xf numFmtId="169" fontId="11" fillId="0" borderId="50" applyAlignment="1" pivotButton="0" quotePrefix="0" xfId="0">
      <alignment vertical="center"/>
    </xf>
    <xf numFmtId="169" fontId="11" fillId="0" borderId="51" applyAlignment="1" pivotButton="0" quotePrefix="0" xfId="0">
      <alignment vertical="center"/>
    </xf>
    <xf numFmtId="166" fontId="11" fillId="0" borderId="58" applyAlignment="1" pivotButton="0" quotePrefix="0" xfId="0">
      <alignment vertical="center"/>
    </xf>
    <xf numFmtId="166" fontId="11" fillId="0" borderId="52" applyAlignment="1" pivotButton="0" quotePrefix="0" xfId="0">
      <alignment vertical="center"/>
    </xf>
    <xf numFmtId="166" fontId="15" fillId="0" borderId="21" applyAlignment="1" pivotButton="0" quotePrefix="0" xfId="0">
      <alignment vertical="center"/>
    </xf>
    <xf numFmtId="169" fontId="11" fillId="0" borderId="58" applyAlignment="1" pivotButton="0" quotePrefix="0" xfId="0">
      <alignment vertical="center"/>
    </xf>
    <xf numFmtId="172" fontId="11" fillId="0" borderId="20" applyAlignment="1" pivotButton="0" quotePrefix="0" xfId="0">
      <alignment vertical="center"/>
    </xf>
    <xf numFmtId="172" fontId="11" fillId="0" borderId="19" applyAlignment="1" pivotButton="0" quotePrefix="0" xfId="0">
      <alignment vertical="center"/>
    </xf>
    <xf numFmtId="172" fontId="11" fillId="0" borderId="62" applyAlignment="1" pivotButton="0" quotePrefix="0" xfId="0">
      <alignment vertical="center"/>
    </xf>
    <xf numFmtId="168" fontId="11" fillId="0" borderId="27" applyAlignment="1" pivotButton="0" quotePrefix="0" xfId="14">
      <alignment vertical="center"/>
    </xf>
    <xf numFmtId="166" fontId="12" fillId="0" borderId="0" applyAlignment="1" pivotButton="0" quotePrefix="0" xfId="0">
      <alignment vertical="center"/>
    </xf>
    <xf numFmtId="179" fontId="11" fillId="0" borderId="76" applyAlignment="1" pivotButton="0" quotePrefix="0" xfId="0">
      <alignment vertical="center"/>
    </xf>
    <xf numFmtId="179" fontId="11" fillId="0" borderId="50" applyAlignment="1" pivotButton="0" quotePrefix="0" xfId="0">
      <alignment vertical="center"/>
    </xf>
    <xf numFmtId="179" fontId="11" fillId="0" borderId="49" applyAlignment="1" pivotButton="0" quotePrefix="0" xfId="0">
      <alignment vertical="center"/>
    </xf>
    <xf numFmtId="179" fontId="11" fillId="0" borderId="51" applyAlignment="1" pivotButton="0" quotePrefix="0" xfId="0">
      <alignment vertical="center"/>
    </xf>
    <xf numFmtId="179" fontId="11" fillId="0" borderId="52" applyAlignment="1" pivotButton="0" quotePrefix="0" xfId="0">
      <alignment vertical="center"/>
    </xf>
    <xf numFmtId="179" fontId="11" fillId="0" borderId="56" applyAlignment="1" pivotButton="0" quotePrefix="0" xfId="0">
      <alignment vertical="center"/>
    </xf>
    <xf numFmtId="179" fontId="11" fillId="0" borderId="0" applyAlignment="1" pivotButton="0" quotePrefix="0" xfId="0">
      <alignment vertical="center"/>
    </xf>
    <xf numFmtId="179" fontId="11" fillId="0" borderId="20" applyAlignment="1" pivotButton="0" quotePrefix="0" xfId="0">
      <alignment vertical="center"/>
    </xf>
    <xf numFmtId="179" fontId="11" fillId="0" borderId="19" applyAlignment="1" pivotButton="0" quotePrefix="0" xfId="0">
      <alignment vertical="center"/>
    </xf>
    <xf numFmtId="179" fontId="11" fillId="0" borderId="21" applyAlignment="1" pivotButton="0" quotePrefix="0" xfId="0">
      <alignment vertical="center"/>
    </xf>
    <xf numFmtId="180" fontId="11" fillId="0" borderId="28" applyAlignment="1" pivotButton="0" quotePrefix="0" xfId="0">
      <alignment vertical="center"/>
    </xf>
    <xf numFmtId="180" fontId="11" fillId="0" borderId="13" applyAlignment="1" pivotButton="0" quotePrefix="0" xfId="0">
      <alignment vertical="center"/>
    </xf>
    <xf numFmtId="180" fontId="11" fillId="0" borderId="15" applyAlignment="1" pivotButton="0" quotePrefix="0" xfId="0">
      <alignment vertical="center"/>
    </xf>
    <xf numFmtId="180" fontId="11" fillId="0" borderId="14" applyAlignment="1" pivotButton="0" quotePrefix="0" xfId="0">
      <alignment vertical="center"/>
    </xf>
    <xf numFmtId="180" fontId="11" fillId="0" borderId="16" applyAlignment="1" pivotButton="0" quotePrefix="0" xfId="0">
      <alignment vertical="center"/>
    </xf>
    <xf numFmtId="180" fontId="11" fillId="0" borderId="56" applyAlignment="1" pivotButton="0" quotePrefix="0" xfId="0">
      <alignment vertical="center"/>
    </xf>
    <xf numFmtId="180" fontId="11" fillId="0" borderId="0" applyAlignment="1" pivotButton="0" quotePrefix="0" xfId="0">
      <alignment vertical="center"/>
    </xf>
    <xf numFmtId="180" fontId="11" fillId="0" borderId="20" applyAlignment="1" pivotButton="0" quotePrefix="0" xfId="0">
      <alignment vertical="center"/>
    </xf>
    <xf numFmtId="180" fontId="11" fillId="0" borderId="19" applyAlignment="1" pivotButton="0" quotePrefix="0" xfId="0">
      <alignment vertical="center"/>
    </xf>
    <xf numFmtId="180" fontId="11" fillId="0" borderId="21" applyAlignment="1" pivotButton="0" quotePrefix="0" xfId="0">
      <alignment vertical="center"/>
    </xf>
    <xf numFmtId="180" fontId="11" fillId="0" borderId="68" applyAlignment="1" pivotButton="0" quotePrefix="0" xfId="0">
      <alignment vertical="center"/>
    </xf>
    <xf numFmtId="180" fontId="11" fillId="0" borderId="24" applyAlignment="1" pivotButton="0" quotePrefix="0" xfId="0">
      <alignment vertical="center"/>
    </xf>
    <xf numFmtId="180" fontId="11" fillId="0" borderId="26" applyAlignment="1" pivotButton="0" quotePrefix="0" xfId="0">
      <alignment vertical="center"/>
    </xf>
    <xf numFmtId="180" fontId="11" fillId="0" borderId="25" applyAlignment="1" pivotButton="0" quotePrefix="0" xfId="0">
      <alignment vertical="center"/>
    </xf>
    <xf numFmtId="180" fontId="11" fillId="0" borderId="27" applyAlignment="1" pivotButton="0" quotePrefix="0" xfId="0">
      <alignment vertical="center"/>
    </xf>
    <xf numFmtId="179" fontId="11" fillId="0" borderId="28" applyAlignment="1" pivotButton="0" quotePrefix="0" xfId="0">
      <alignment vertical="center"/>
    </xf>
    <xf numFmtId="179" fontId="11" fillId="0" borderId="13" applyAlignment="1" pivotButton="0" quotePrefix="0" xfId="0">
      <alignment vertical="center"/>
    </xf>
    <xf numFmtId="179" fontId="11" fillId="0" borderId="15" applyAlignment="1" pivotButton="0" quotePrefix="0" xfId="0">
      <alignment vertical="center"/>
    </xf>
    <xf numFmtId="179" fontId="11" fillId="0" borderId="14" applyAlignment="1" pivotButton="0" quotePrefix="0" xfId="0">
      <alignment vertical="center"/>
    </xf>
    <xf numFmtId="179" fontId="11" fillId="0" borderId="16" applyAlignment="1" pivotButton="0" quotePrefix="0" xfId="0">
      <alignment vertical="center"/>
    </xf>
    <xf numFmtId="179" fontId="11" fillId="0" borderId="68" applyAlignment="1" pivotButton="0" quotePrefix="0" xfId="0">
      <alignment vertical="center"/>
    </xf>
    <xf numFmtId="179" fontId="11" fillId="0" borderId="24" applyAlignment="1" pivotButton="0" quotePrefix="0" xfId="0">
      <alignment vertical="center"/>
    </xf>
    <xf numFmtId="179" fontId="11" fillId="0" borderId="26" applyAlignment="1" pivotButton="0" quotePrefix="0" xfId="0">
      <alignment vertical="center"/>
    </xf>
    <xf numFmtId="179" fontId="11" fillId="0" borderId="25" applyAlignment="1" pivotButton="0" quotePrefix="0" xfId="0">
      <alignment vertical="center"/>
    </xf>
    <xf numFmtId="179" fontId="11" fillId="0" borderId="27" applyAlignment="1" pivotButton="0" quotePrefix="0" xfId="0">
      <alignment vertical="center"/>
    </xf>
    <xf numFmtId="181" fontId="11" fillId="0" borderId="28" applyAlignment="1" pivotButton="0" quotePrefix="0" xfId="0">
      <alignment vertical="center"/>
    </xf>
    <xf numFmtId="181" fontId="11" fillId="0" borderId="13" applyAlignment="1" pivotButton="0" quotePrefix="0" xfId="0">
      <alignment vertical="center"/>
    </xf>
    <xf numFmtId="181" fontId="11" fillId="0" borderId="15" applyAlignment="1" pivotButton="0" quotePrefix="0" xfId="0">
      <alignment vertical="center"/>
    </xf>
    <xf numFmtId="181" fontId="11" fillId="0" borderId="14" applyAlignment="1" pivotButton="0" quotePrefix="0" xfId="0">
      <alignment vertical="center"/>
    </xf>
    <xf numFmtId="181" fontId="11" fillId="0" borderId="16" applyAlignment="1" pivotButton="0" quotePrefix="0" xfId="0">
      <alignment vertical="center"/>
    </xf>
    <xf numFmtId="181" fontId="11" fillId="0" borderId="56" applyAlignment="1" pivotButton="0" quotePrefix="0" xfId="0">
      <alignment vertical="center"/>
    </xf>
    <xf numFmtId="181" fontId="11" fillId="0" borderId="0" applyAlignment="1" pivotButton="0" quotePrefix="0" xfId="0">
      <alignment vertical="center"/>
    </xf>
    <xf numFmtId="181" fontId="11" fillId="0" borderId="20" applyAlignment="1" pivotButton="0" quotePrefix="0" xfId="0">
      <alignment vertical="center"/>
    </xf>
    <xf numFmtId="181" fontId="11" fillId="0" borderId="19" applyAlignment="1" pivotButton="0" quotePrefix="0" xfId="0">
      <alignment vertical="center"/>
    </xf>
    <xf numFmtId="181" fontId="11" fillId="0" borderId="21" applyAlignment="1" pivotButton="0" quotePrefix="0" xfId="0">
      <alignment vertical="center"/>
    </xf>
    <xf numFmtId="181" fontId="11" fillId="0" borderId="68" applyAlignment="1" pivotButton="0" quotePrefix="0" xfId="0">
      <alignment vertical="center"/>
    </xf>
    <xf numFmtId="181" fontId="11" fillId="0" borderId="24" applyAlignment="1" pivotButton="0" quotePrefix="0" xfId="0">
      <alignment vertical="center"/>
    </xf>
    <xf numFmtId="181" fontId="11" fillId="0" borderId="26" applyAlignment="1" pivotButton="0" quotePrefix="0" xfId="0">
      <alignment vertical="center"/>
    </xf>
    <xf numFmtId="181" fontId="11" fillId="0" borderId="25" applyAlignment="1" pivotButton="0" quotePrefix="0" xfId="0">
      <alignment vertical="center"/>
    </xf>
    <xf numFmtId="179" fontId="11" fillId="0" borderId="73" applyAlignment="1" pivotButton="0" quotePrefix="0" xfId="0">
      <alignment vertical="center"/>
    </xf>
    <xf numFmtId="179" fontId="11" fillId="0" borderId="32" applyAlignment="1" pivotButton="0" quotePrefix="0" xfId="0">
      <alignment vertical="center"/>
    </xf>
    <xf numFmtId="179" fontId="11" fillId="0" borderId="34" applyAlignment="1" pivotButton="0" quotePrefix="0" xfId="0">
      <alignment vertical="center"/>
    </xf>
    <xf numFmtId="179" fontId="11" fillId="0" borderId="33" applyAlignment="1" pivotButton="0" quotePrefix="0" xfId="0">
      <alignment vertical="center"/>
    </xf>
    <xf numFmtId="179" fontId="11" fillId="0" borderId="35" applyAlignment="1" pivotButton="0" quotePrefix="0" xfId="0">
      <alignment vertical="center"/>
    </xf>
    <xf numFmtId="167" fontId="11" fillId="0" borderId="76" applyAlignment="1" pivotButton="0" quotePrefix="0" xfId="0">
      <alignment vertical="center"/>
    </xf>
    <xf numFmtId="167" fontId="11" fillId="0" borderId="50" applyAlignment="1" pivotButton="0" quotePrefix="0" xfId="0">
      <alignment vertical="center"/>
    </xf>
    <xf numFmtId="167" fontId="11" fillId="0" borderId="49" applyAlignment="1" pivotButton="0" quotePrefix="0" xfId="0">
      <alignment vertical="center"/>
    </xf>
    <xf numFmtId="167" fontId="11" fillId="0" borderId="51" applyAlignment="1" pivotButton="0" quotePrefix="0" xfId="0">
      <alignment vertical="center"/>
    </xf>
    <xf numFmtId="167" fontId="11" fillId="0" borderId="52" applyAlignment="1" pivotButton="0" quotePrefix="0" xfId="0">
      <alignment vertical="center"/>
    </xf>
    <xf numFmtId="167" fontId="11" fillId="0" borderId="56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1" fillId="0" borderId="20" applyAlignment="1" pivotButton="0" quotePrefix="0" xfId="0">
      <alignment vertical="center"/>
    </xf>
    <xf numFmtId="167" fontId="11" fillId="0" borderId="19" applyAlignment="1" pivotButton="0" quotePrefix="0" xfId="0">
      <alignment vertical="center"/>
    </xf>
    <xf numFmtId="167" fontId="11" fillId="0" borderId="21" applyAlignment="1" pivotButton="0" quotePrefix="0" xfId="0">
      <alignment vertical="center"/>
    </xf>
    <xf numFmtId="167" fontId="11" fillId="0" borderId="28" applyAlignment="1" pivotButton="0" quotePrefix="0" xfId="0">
      <alignment vertical="center"/>
    </xf>
    <xf numFmtId="167" fontId="11" fillId="0" borderId="13" applyAlignment="1" pivotButton="0" quotePrefix="0" xfId="0">
      <alignment vertical="center"/>
    </xf>
    <xf numFmtId="167" fontId="11" fillId="0" borderId="15" applyAlignment="1" pivotButton="0" quotePrefix="0" xfId="0">
      <alignment vertical="center"/>
    </xf>
    <xf numFmtId="167" fontId="11" fillId="0" borderId="14" applyAlignment="1" pivotButton="0" quotePrefix="0" xfId="0">
      <alignment vertical="center"/>
    </xf>
    <xf numFmtId="167" fontId="11" fillId="0" borderId="16" applyAlignment="1" pivotButton="0" quotePrefix="0" xfId="0">
      <alignment vertical="center"/>
    </xf>
    <xf numFmtId="167" fontId="11" fillId="0" borderId="68" applyAlignment="1" pivotButton="0" quotePrefix="0" xfId="0">
      <alignment vertical="center"/>
    </xf>
    <xf numFmtId="167" fontId="11" fillId="0" borderId="24" applyAlignment="1" pivotButton="0" quotePrefix="0" xfId="0">
      <alignment vertical="center"/>
    </xf>
    <xf numFmtId="167" fontId="11" fillId="0" borderId="26" applyAlignment="1" pivotButton="0" quotePrefix="0" xfId="0">
      <alignment vertical="center"/>
    </xf>
    <xf numFmtId="167" fontId="11" fillId="0" borderId="25" applyAlignment="1" pivotButton="0" quotePrefix="0" xfId="0">
      <alignment vertical="center"/>
    </xf>
    <xf numFmtId="167" fontId="11" fillId="0" borderId="27" applyAlignment="1" pivotButton="0" quotePrefix="0" xfId="0">
      <alignment vertical="center"/>
    </xf>
    <xf numFmtId="167" fontId="11" fillId="0" borderId="73" applyAlignment="1" pivotButton="0" quotePrefix="0" xfId="0">
      <alignment vertical="center"/>
    </xf>
    <xf numFmtId="167" fontId="11" fillId="0" borderId="32" applyAlignment="1" pivotButton="0" quotePrefix="0" xfId="0">
      <alignment vertical="center"/>
    </xf>
    <xf numFmtId="167" fontId="11" fillId="0" borderId="34" applyAlignment="1" pivotButton="0" quotePrefix="0" xfId="0">
      <alignment vertical="center"/>
    </xf>
    <xf numFmtId="167" fontId="11" fillId="0" borderId="33" applyAlignment="1" pivotButton="0" quotePrefix="0" xfId="0">
      <alignment vertical="center"/>
    </xf>
    <xf numFmtId="167" fontId="11" fillId="0" borderId="35" applyAlignment="1" pivotButton="0" quotePrefix="0" xfId="0">
      <alignment vertical="center"/>
    </xf>
    <xf numFmtId="182" fontId="11" fillId="0" borderId="38" applyAlignment="1" pivotButton="0" quotePrefix="0" xfId="0">
      <alignment horizontal="right" vertical="center"/>
    </xf>
    <xf numFmtId="182" fontId="11" fillId="0" borderId="52" applyAlignment="1" pivotButton="0" quotePrefix="0" xfId="0">
      <alignment horizontal="right" vertical="center"/>
    </xf>
    <xf numFmtId="182" fontId="11" fillId="0" borderId="0" applyAlignment="1" pivotButton="0" quotePrefix="0" xfId="0">
      <alignment horizontal="right" vertical="center"/>
    </xf>
    <xf numFmtId="182" fontId="11" fillId="0" borderId="40" applyAlignment="1" pivotButton="0" quotePrefix="0" xfId="0">
      <alignment horizontal="right" vertical="center"/>
    </xf>
    <xf numFmtId="182" fontId="11" fillId="0" borderId="21" applyAlignment="1" pivotButton="0" quotePrefix="0" xfId="0">
      <alignment horizontal="right" vertical="center"/>
    </xf>
    <xf numFmtId="183" fontId="11" fillId="0" borderId="40" applyAlignment="1" pivotButton="0" quotePrefix="0" xfId="0">
      <alignment horizontal="right" vertical="center"/>
    </xf>
    <xf numFmtId="183" fontId="11" fillId="0" borderId="21" applyAlignment="1" pivotButton="0" quotePrefix="0" xfId="0">
      <alignment horizontal="right" vertical="center"/>
    </xf>
    <xf numFmtId="183" fontId="11" fillId="0" borderId="0" applyAlignment="1" pivotButton="0" quotePrefix="0" xfId="0">
      <alignment horizontal="right" vertical="center"/>
    </xf>
    <xf numFmtId="168" fontId="11" fillId="0" borderId="40" applyAlignment="1" pivotButton="0" quotePrefix="0" xfId="14">
      <alignment horizontal="right" vertical="center"/>
    </xf>
    <xf numFmtId="168" fontId="11" fillId="0" borderId="21" applyAlignment="1" pivotButton="0" quotePrefix="0" xfId="14">
      <alignment horizontal="right" vertical="center"/>
    </xf>
    <xf numFmtId="168" fontId="11" fillId="0" borderId="0" applyAlignment="1" pivotButton="0" quotePrefix="0" xfId="14">
      <alignment horizontal="right" vertical="center"/>
    </xf>
    <xf numFmtId="182" fontId="11" fillId="0" borderId="36" applyAlignment="1" pivotButton="0" quotePrefix="0" xfId="0">
      <alignment horizontal="right" vertical="center"/>
    </xf>
    <xf numFmtId="182" fontId="11" fillId="0" borderId="36" applyAlignment="1" pivotButton="0" quotePrefix="0" xfId="0">
      <alignment vertical="center"/>
    </xf>
    <xf numFmtId="182" fontId="11" fillId="0" borderId="16" applyAlignment="1" pivotButton="0" quotePrefix="0" xfId="0">
      <alignment vertical="center"/>
    </xf>
    <xf numFmtId="182" fontId="11" fillId="0" borderId="0" applyAlignment="1" pivotButton="0" quotePrefix="0" xfId="0">
      <alignment vertical="center"/>
    </xf>
    <xf numFmtId="182" fontId="11" fillId="0" borderId="42" applyAlignment="1" pivotButton="0" quotePrefix="0" xfId="0">
      <alignment horizontal="right" vertical="center"/>
    </xf>
    <xf numFmtId="182" fontId="11" fillId="0" borderId="27" applyAlignment="1" pivotButton="0" quotePrefix="0" xfId="0">
      <alignment horizontal="right" vertical="center"/>
    </xf>
    <xf numFmtId="182" fontId="11" fillId="0" borderId="40" applyAlignment="1" pivotButton="0" quotePrefix="0" xfId="0">
      <alignment vertical="center"/>
    </xf>
    <xf numFmtId="182" fontId="11" fillId="0" borderId="45" applyAlignment="1" pivotButton="0" quotePrefix="0" xfId="0">
      <alignment horizontal="right" vertical="center"/>
    </xf>
    <xf numFmtId="184" fontId="11" fillId="0" borderId="0" applyAlignment="1" pivotButton="0" quotePrefix="0" xfId="0">
      <alignment horizontal="right" vertical="center"/>
    </xf>
    <xf numFmtId="185" fontId="11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167" fontId="11" fillId="0" borderId="19" applyAlignment="1" pivotButton="0" quotePrefix="0" xfId="0">
      <alignment horizontal="right" vertical="center"/>
    </xf>
    <xf numFmtId="167" fontId="11" fillId="0" borderId="32" applyAlignment="1" pivotButton="0" quotePrefix="0" xfId="0">
      <alignment horizontal="right" vertical="center"/>
    </xf>
    <xf numFmtId="167" fontId="11" fillId="0" borderId="33" applyAlignment="1" pivotButton="0" quotePrefix="0" xfId="0">
      <alignment horizontal="right" vertical="center"/>
    </xf>
    <xf numFmtId="167" fontId="11" fillId="0" borderId="38" applyAlignment="1" pivotButton="0" quotePrefix="0" xfId="0">
      <alignment vertical="center"/>
    </xf>
    <xf numFmtId="167" fontId="11" fillId="0" borderId="39" applyAlignment="1" pivotButton="0" quotePrefix="0" xfId="0">
      <alignment vertical="center"/>
    </xf>
    <xf numFmtId="167" fontId="11" fillId="0" borderId="40" applyAlignment="1" pivotButton="0" quotePrefix="0" xfId="0">
      <alignment vertical="center"/>
    </xf>
    <xf numFmtId="167" fontId="11" fillId="0" borderId="41" applyAlignment="1" pivotButton="0" quotePrefix="0" xfId="0">
      <alignment vertical="center"/>
    </xf>
    <xf numFmtId="167" fontId="11" fillId="0" borderId="36" applyAlignment="1" pivotButton="0" quotePrefix="0" xfId="0">
      <alignment vertical="center"/>
    </xf>
    <xf numFmtId="167" fontId="11" fillId="0" borderId="44" applyAlignment="1" pivotButton="0" quotePrefix="0" xfId="0">
      <alignment vertical="center"/>
    </xf>
    <xf numFmtId="167" fontId="11" fillId="0" borderId="42" applyAlignment="1" pivotButton="0" quotePrefix="0" xfId="0">
      <alignment vertical="center"/>
    </xf>
    <xf numFmtId="167" fontId="11" fillId="0" borderId="43" applyAlignment="1" pivotButton="0" quotePrefix="0" xfId="0">
      <alignment vertical="center"/>
    </xf>
    <xf numFmtId="167" fontId="11" fillId="0" borderId="45" applyAlignment="1" pivotButton="0" quotePrefix="0" xfId="0">
      <alignment vertical="center"/>
    </xf>
    <xf numFmtId="167" fontId="11" fillId="0" borderId="46" applyAlignment="1" pivotButton="0" quotePrefix="0" xfId="0">
      <alignment vertical="center"/>
    </xf>
    <xf numFmtId="173" fontId="11" fillId="0" borderId="36" applyAlignment="1" pivotButton="0" quotePrefix="0" xfId="0">
      <alignment vertical="center"/>
    </xf>
    <xf numFmtId="173" fontId="11" fillId="0" borderId="44" applyAlignment="1" pivotButton="0" quotePrefix="0" xfId="0">
      <alignment vertical="center"/>
    </xf>
    <xf numFmtId="173" fontId="11" fillId="0" borderId="42" applyAlignment="1" pivotButton="0" quotePrefix="0" xfId="0">
      <alignment vertical="center"/>
    </xf>
    <xf numFmtId="173" fontId="11" fillId="0" borderId="43" applyAlignment="1" pivotButton="0" quotePrefix="0" xfId="0">
      <alignment vertical="center"/>
    </xf>
    <xf numFmtId="173" fontId="11" fillId="0" borderId="38" applyAlignment="1" pivotButton="0" quotePrefix="0" xfId="0">
      <alignment vertical="center"/>
    </xf>
    <xf numFmtId="173" fontId="11" fillId="0" borderId="39" applyAlignment="1" pivotButton="0" quotePrefix="0" xfId="0">
      <alignment vertical="center"/>
    </xf>
    <xf numFmtId="173" fontId="11" fillId="0" borderId="40" applyAlignment="1" pivotButton="0" quotePrefix="0" xfId="0">
      <alignment vertical="center"/>
    </xf>
    <xf numFmtId="173" fontId="11" fillId="0" borderId="41" applyAlignment="1" pivotButton="0" quotePrefix="0" xfId="0">
      <alignment vertical="center"/>
    </xf>
    <xf numFmtId="173" fontId="12" fillId="0" borderId="42" applyAlignment="1" pivotButton="0" quotePrefix="0" xfId="0">
      <alignment vertical="center"/>
    </xf>
    <xf numFmtId="173" fontId="12" fillId="0" borderId="24" applyAlignment="1" pivotButton="0" quotePrefix="0" xfId="0">
      <alignment vertical="center"/>
    </xf>
    <xf numFmtId="173" fontId="11" fillId="0" borderId="40" applyAlignment="1" pivotButton="0" quotePrefix="0" xfId="0">
      <alignment horizontal="right" vertical="center"/>
    </xf>
    <xf numFmtId="173" fontId="11" fillId="0" borderId="0" applyAlignment="1" pivotButton="0" quotePrefix="0" xfId="0">
      <alignment horizontal="right" vertical="center"/>
    </xf>
    <xf numFmtId="173" fontId="11" fillId="0" borderId="41" applyAlignment="1" pivotButton="0" quotePrefix="0" xfId="0">
      <alignment horizontal="right" vertical="center"/>
    </xf>
    <xf numFmtId="173" fontId="11" fillId="0" borderId="36" applyAlignment="1" pivotButton="0" quotePrefix="0" xfId="0">
      <alignment horizontal="right" vertical="center"/>
    </xf>
    <xf numFmtId="173" fontId="11" fillId="0" borderId="13" applyAlignment="1" pivotButton="0" quotePrefix="0" xfId="0">
      <alignment horizontal="right" vertical="center"/>
    </xf>
    <xf numFmtId="173" fontId="11" fillId="0" borderId="44" applyAlignment="1" pivotButton="0" quotePrefix="0" xfId="0">
      <alignment horizontal="right" vertical="center"/>
    </xf>
    <xf numFmtId="173" fontId="12" fillId="0" borderId="45" applyAlignment="1" pivotButton="0" quotePrefix="0" xfId="0">
      <alignment vertical="center"/>
    </xf>
    <xf numFmtId="173" fontId="12" fillId="0" borderId="32" applyAlignment="1" pivotButton="0" quotePrefix="0" xfId="0">
      <alignment vertical="center"/>
    </xf>
    <xf numFmtId="173" fontId="11" fillId="0" borderId="45" applyAlignment="1" pivotButton="0" quotePrefix="0" xfId="0">
      <alignment vertical="center"/>
    </xf>
    <xf numFmtId="173" fontId="11" fillId="0" borderId="46" applyAlignment="1" pivotButton="0" quotePrefix="0" xfId="0">
      <alignment vertical="center"/>
    </xf>
    <xf numFmtId="165" fontId="11" fillId="0" borderId="38" applyAlignment="1" pivotButton="0" quotePrefix="0" xfId="0">
      <alignment vertical="center"/>
    </xf>
    <xf numFmtId="165" fontId="11" fillId="0" borderId="39" applyAlignment="1" pivotButton="0" quotePrefix="0" xfId="0">
      <alignment vertical="center"/>
    </xf>
    <xf numFmtId="165" fontId="11" fillId="0" borderId="40" applyAlignment="1" pivotButton="0" quotePrefix="0" xfId="0">
      <alignment vertical="center"/>
    </xf>
    <xf numFmtId="165" fontId="11" fillId="0" borderId="41" applyAlignment="1" pivotButton="0" quotePrefix="0" xfId="0">
      <alignment vertical="center"/>
    </xf>
    <xf numFmtId="165" fontId="11" fillId="0" borderId="42" applyAlignment="1" pivotButton="0" quotePrefix="0" xfId="0">
      <alignment vertical="center"/>
    </xf>
    <xf numFmtId="165" fontId="11" fillId="0" borderId="43" applyAlignment="1" pivotButton="0" quotePrefix="0" xfId="0">
      <alignment vertical="center"/>
    </xf>
    <xf numFmtId="178" fontId="11" fillId="0" borderId="36" applyAlignment="1" pivotButton="0" quotePrefix="0" xfId="0">
      <alignment vertical="center"/>
    </xf>
    <xf numFmtId="178" fontId="11" fillId="0" borderId="44" applyAlignment="1" pivotButton="0" quotePrefix="0" xfId="0">
      <alignment vertical="center"/>
    </xf>
    <xf numFmtId="178" fontId="11" fillId="0" borderId="42" applyAlignment="1" pivotButton="0" quotePrefix="0" xfId="0">
      <alignment vertical="center"/>
    </xf>
    <xf numFmtId="165" fontId="11" fillId="0" borderId="36" applyAlignment="1" pivotButton="0" quotePrefix="0" xfId="0">
      <alignment vertical="center"/>
    </xf>
    <xf numFmtId="165" fontId="11" fillId="0" borderId="44" applyAlignment="1" pivotButton="0" quotePrefix="0" xfId="0">
      <alignment vertical="center"/>
    </xf>
    <xf numFmtId="178" fontId="11" fillId="0" borderId="43" applyAlignment="1" pivotButton="0" quotePrefix="0" xfId="0">
      <alignment vertical="center"/>
    </xf>
    <xf numFmtId="178" fontId="11" fillId="0" borderId="45" applyAlignment="1" pivotButton="0" quotePrefix="0" xfId="0">
      <alignment vertical="center"/>
    </xf>
    <xf numFmtId="165" fontId="11" fillId="0" borderId="45" applyAlignment="1" pivotButton="0" quotePrefix="0" xfId="0">
      <alignment vertical="center"/>
    </xf>
    <xf numFmtId="165" fontId="11" fillId="0" borderId="46" applyAlignment="1" pivotButton="0" quotePrefix="0" xfId="0">
      <alignment vertical="center"/>
    </xf>
    <xf numFmtId="167" fontId="11" fillId="2" borderId="1" applyAlignment="1" pivotButton="0" quotePrefix="0" xfId="0">
      <alignment horizontal="right" vertical="center"/>
    </xf>
    <xf numFmtId="167" fontId="11" fillId="2" borderId="2" applyAlignment="1" pivotButton="0" quotePrefix="0" xfId="0">
      <alignment horizontal="right" vertical="center"/>
    </xf>
    <xf numFmtId="167" fontId="15" fillId="2" borderId="3" applyAlignment="1" pivotButton="0" quotePrefix="0" xfId="0">
      <alignment horizontal="right" vertical="center"/>
    </xf>
    <xf numFmtId="167" fontId="11" fillId="0" borderId="87" applyAlignment="1" pivotButton="0" quotePrefix="0" xfId="0">
      <alignment vertical="center"/>
    </xf>
    <xf numFmtId="167" fontId="11" fillId="0" borderId="79" applyAlignment="1" pivotButton="0" quotePrefix="0" xfId="0">
      <alignment vertical="center"/>
    </xf>
    <xf numFmtId="167" fontId="11" fillId="0" borderId="88" applyAlignment="1" pivotButton="0" quotePrefix="0" xfId="0">
      <alignment vertical="center"/>
    </xf>
    <xf numFmtId="167" fontId="11" fillId="0" borderId="89" applyAlignment="1" pivotButton="0" quotePrefix="0" xfId="0">
      <alignment vertical="center"/>
    </xf>
    <xf numFmtId="167" fontId="11" fillId="0" borderId="2" applyAlignment="1" pivotButton="0" quotePrefix="0" xfId="0">
      <alignment vertical="center"/>
    </xf>
    <xf numFmtId="167" fontId="11" fillId="2" borderId="89" applyAlignment="1" pivotButton="0" quotePrefix="0" xfId="0">
      <alignment vertical="center"/>
    </xf>
    <xf numFmtId="167" fontId="11" fillId="2" borderId="79" applyAlignment="1" pivotButton="0" quotePrefix="0" xfId="0">
      <alignment vertical="center"/>
    </xf>
    <xf numFmtId="167" fontId="11" fillId="2" borderId="88" applyAlignment="1" pivotButton="0" quotePrefix="0" xfId="0">
      <alignment vertical="center"/>
    </xf>
    <xf numFmtId="167" fontId="11" fillId="2" borderId="79" applyAlignment="1" pivotButton="0" quotePrefix="0" xfId="0">
      <alignment horizontal="center" vertical="center"/>
    </xf>
    <xf numFmtId="167" fontId="11" fillId="2" borderId="90" applyAlignment="1" pivotButton="0" quotePrefix="0" xfId="0">
      <alignment horizontal="center" vertical="center"/>
    </xf>
    <xf numFmtId="167" fontId="11" fillId="2" borderId="10" applyAlignment="1" pivotButton="0" quotePrefix="0" xfId="0">
      <alignment horizontal="right" vertical="center"/>
    </xf>
    <xf numFmtId="167" fontId="11" fillId="2" borderId="8" applyAlignment="1" pivotButton="0" quotePrefix="0" xfId="0">
      <alignment horizontal="right" vertical="center"/>
    </xf>
    <xf numFmtId="167" fontId="11" fillId="2" borderId="9" applyAlignment="1" pivotButton="0" quotePrefix="0" xfId="0">
      <alignment horizontal="right" vertical="center"/>
    </xf>
    <xf numFmtId="167" fontId="11" fillId="0" borderId="4" applyAlignment="1" pivotButton="0" quotePrefix="0" xfId="0">
      <alignment vertical="center"/>
    </xf>
    <xf numFmtId="167" fontId="11" fillId="0" borderId="5" applyAlignment="1" pivotButton="0" quotePrefix="0" xfId="0">
      <alignment vertical="center"/>
    </xf>
    <xf numFmtId="167" fontId="11" fillId="0" borderId="6" applyAlignment="1" pivotButton="0" quotePrefix="0" xfId="0">
      <alignment vertical="center"/>
    </xf>
    <xf numFmtId="167" fontId="11" fillId="0" borderId="7" applyAlignment="1" pivotButton="0" quotePrefix="0" xfId="0">
      <alignment horizontal="right" vertical="center"/>
    </xf>
    <xf numFmtId="167" fontId="11" fillId="0" borderId="5" applyAlignment="1" pivotButton="0" quotePrefix="0" xfId="0">
      <alignment horizontal="right" vertical="center"/>
    </xf>
    <xf numFmtId="167" fontId="11" fillId="0" borderId="6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  <xf numFmtId="167" fontId="11" fillId="2" borderId="7" applyAlignment="1" pivotButton="0" quotePrefix="0" xfId="0">
      <alignment horizontal="right" vertical="center"/>
    </xf>
    <xf numFmtId="167" fontId="11" fillId="2" borderId="5" applyAlignment="1" pivotButton="0" quotePrefix="0" xfId="0">
      <alignment horizontal="right" vertical="center"/>
    </xf>
    <xf numFmtId="167" fontId="11" fillId="2" borderId="6" applyAlignment="1" pivotButton="0" quotePrefix="0" xfId="0">
      <alignment horizontal="right" vertical="center"/>
    </xf>
    <xf numFmtId="167" fontId="11" fillId="2" borderId="5" applyAlignment="1" pivotButton="0" quotePrefix="0" xfId="0">
      <alignment horizontal="center" vertical="center"/>
    </xf>
    <xf numFmtId="167" fontId="11" fillId="2" borderId="91" applyAlignment="1" pivotButton="0" quotePrefix="0" xfId="0">
      <alignment horizontal="center" vertical="center"/>
    </xf>
    <xf numFmtId="167" fontId="11" fillId="2" borderId="29" applyAlignment="1" pivotButton="0" quotePrefix="0" xfId="0">
      <alignment horizontal="right" vertical="center"/>
    </xf>
    <xf numFmtId="167" fontId="11" fillId="2" borderId="47" applyAlignment="1" pivotButton="0" quotePrefix="0" xfId="0">
      <alignment horizontal="right" vertical="center"/>
    </xf>
    <xf numFmtId="167" fontId="11" fillId="2" borderId="92" applyAlignment="1" pivotButton="0" quotePrefix="0" xfId="0">
      <alignment horizontal="right" vertical="center"/>
    </xf>
    <xf numFmtId="167" fontId="11" fillId="0" borderId="93" applyAlignment="1" pivotButton="0" quotePrefix="0" xfId="0">
      <alignment vertical="center"/>
    </xf>
    <xf numFmtId="167" fontId="11" fillId="0" borderId="94" applyAlignment="1" pivotButton="0" quotePrefix="0" xfId="0">
      <alignment vertical="center"/>
    </xf>
    <xf numFmtId="167" fontId="11" fillId="0" borderId="80" applyAlignment="1" pivotButton="0" quotePrefix="0" xfId="0">
      <alignment vertical="center"/>
    </xf>
    <xf numFmtId="167" fontId="11" fillId="0" borderId="95" applyAlignment="1" pivotButton="0" quotePrefix="0" xfId="0">
      <alignment horizontal="right" vertical="center"/>
    </xf>
    <xf numFmtId="167" fontId="11" fillId="0" borderId="94" applyAlignment="1" pivotButton="0" quotePrefix="0" xfId="0">
      <alignment horizontal="right" vertical="center"/>
    </xf>
    <xf numFmtId="167" fontId="11" fillId="0" borderId="80" applyAlignment="1" pivotButton="0" quotePrefix="0" xfId="0">
      <alignment horizontal="right" vertical="center"/>
    </xf>
    <xf numFmtId="167" fontId="11" fillId="0" borderId="47" applyAlignment="1" pivotButton="0" quotePrefix="0" xfId="0">
      <alignment horizontal="right" vertical="center"/>
    </xf>
    <xf numFmtId="167" fontId="11" fillId="2" borderId="95" applyAlignment="1" pivotButton="0" quotePrefix="0" xfId="0">
      <alignment horizontal="right" vertical="center"/>
    </xf>
    <xf numFmtId="167" fontId="11" fillId="2" borderId="94" applyAlignment="1" pivotButton="0" quotePrefix="0" xfId="0">
      <alignment horizontal="right" vertical="center"/>
    </xf>
    <xf numFmtId="167" fontId="11" fillId="2" borderId="80" applyAlignment="1" pivotButton="0" quotePrefix="0" xfId="0">
      <alignment horizontal="right" vertical="center"/>
    </xf>
    <xf numFmtId="167" fontId="11" fillId="2" borderId="94" applyAlignment="1" pivotButton="0" quotePrefix="0" xfId="0">
      <alignment horizontal="center" vertical="center"/>
    </xf>
    <xf numFmtId="167" fontId="11" fillId="2" borderId="96" applyAlignment="1" pivotButton="0" quotePrefix="0" xfId="0">
      <alignment horizontal="center" vertical="center"/>
    </xf>
    <xf numFmtId="167" fontId="11" fillId="2" borderId="90" applyAlignment="1" pivotButton="0" quotePrefix="0" xfId="0">
      <alignment vertical="center"/>
    </xf>
    <xf numFmtId="167" fontId="11" fillId="0" borderId="7" applyAlignment="1" pivotButton="0" quotePrefix="0" xfId="0">
      <alignment vertical="center"/>
    </xf>
    <xf numFmtId="167" fontId="11" fillId="0" borderId="8" applyAlignment="1" pivotButton="0" quotePrefix="0" xfId="0">
      <alignment vertical="center"/>
    </xf>
    <xf numFmtId="167" fontId="11" fillId="2" borderId="7" applyAlignment="1" pivotButton="0" quotePrefix="0" xfId="0">
      <alignment vertical="center"/>
    </xf>
    <xf numFmtId="167" fontId="11" fillId="2" borderId="5" applyAlignment="1" pivotButton="0" quotePrefix="0" xfId="0">
      <alignment vertical="center"/>
    </xf>
    <xf numFmtId="167" fontId="11" fillId="2" borderId="6" applyAlignment="1" pivotButton="0" quotePrefix="0" xfId="0">
      <alignment vertical="center"/>
    </xf>
    <xf numFmtId="167" fontId="11" fillId="2" borderId="91" applyAlignment="1" pivotButton="0" quotePrefix="0" xfId="0">
      <alignment vertical="center"/>
    </xf>
    <xf numFmtId="167" fontId="11" fillId="2" borderId="97" applyAlignment="1" pivotButton="0" quotePrefix="0" xfId="0">
      <alignment horizontal="right" vertical="center"/>
    </xf>
    <xf numFmtId="167" fontId="11" fillId="2" borderId="36" applyAlignment="1" pivotButton="0" quotePrefix="0" xfId="0">
      <alignment horizontal="right" vertical="center"/>
    </xf>
    <xf numFmtId="167" fontId="11" fillId="0" borderId="12" applyAlignment="1" pivotButton="0" quotePrefix="0" xfId="0">
      <alignment vertical="center"/>
    </xf>
    <xf numFmtId="167" fontId="11" fillId="2" borderId="15" applyAlignment="1" pivotButton="0" quotePrefix="0" xfId="0">
      <alignment vertical="center"/>
    </xf>
    <xf numFmtId="167" fontId="11" fillId="2" borderId="13" applyAlignment="1" pivotButton="0" quotePrefix="0" xfId="0">
      <alignment vertical="center"/>
    </xf>
    <xf numFmtId="167" fontId="11" fillId="2" borderId="14" applyAlignment="1" pivotButton="0" quotePrefix="0" xfId="0">
      <alignment vertical="center"/>
    </xf>
    <xf numFmtId="167" fontId="11" fillId="2" borderId="16" applyAlignment="1" pivotButton="0" quotePrefix="0" xfId="0">
      <alignment vertical="center"/>
    </xf>
    <xf numFmtId="167" fontId="11" fillId="2" borderId="95" applyAlignment="1" pivotButton="0" quotePrefix="0" xfId="0">
      <alignment vertical="center"/>
    </xf>
    <xf numFmtId="167" fontId="11" fillId="2" borderId="94" applyAlignment="1" pivotButton="0" quotePrefix="0" xfId="0">
      <alignment vertical="center"/>
    </xf>
    <xf numFmtId="167" fontId="11" fillId="2" borderId="80" applyAlignment="1" pivotButton="0" quotePrefix="0" xfId="0">
      <alignment vertical="center"/>
    </xf>
    <xf numFmtId="167" fontId="11" fillId="2" borderId="96" applyAlignment="1" pivotButton="0" quotePrefix="0" xfId="0">
      <alignment vertical="center"/>
    </xf>
    <xf numFmtId="167" fontId="11" fillId="2" borderId="98" applyAlignment="1" pivotButton="0" quotePrefix="0" xfId="0">
      <alignment vertical="center"/>
    </xf>
    <xf numFmtId="167" fontId="11" fillId="2" borderId="99" applyAlignment="1" pivotButton="0" quotePrefix="0" xfId="0">
      <alignment vertical="center"/>
    </xf>
    <xf numFmtId="167" fontId="11" fillId="2" borderId="10" applyAlignment="1" pivotButton="0" quotePrefix="0" xfId="0">
      <alignment vertical="center"/>
    </xf>
    <xf numFmtId="167" fontId="11" fillId="2" borderId="8" applyAlignment="1" pivotButton="0" quotePrefix="0" xfId="0">
      <alignment vertical="center"/>
    </xf>
    <xf numFmtId="167" fontId="11" fillId="2" borderId="29" applyAlignment="1" pivotButton="0" quotePrefix="0" xfId="0">
      <alignment vertical="center"/>
    </xf>
    <xf numFmtId="167" fontId="11" fillId="2" borderId="47" applyAlignment="1" pivotButton="0" quotePrefix="0" xfId="0">
      <alignment vertical="center"/>
    </xf>
    <xf numFmtId="167" fontId="11" fillId="0" borderId="95" applyAlignment="1" pivotButton="0" quotePrefix="0" xfId="0">
      <alignment vertical="center"/>
    </xf>
    <xf numFmtId="167" fontId="11" fillId="0" borderId="47" applyAlignment="1" pivotButton="0" quotePrefix="0" xfId="0">
      <alignment vertical="center"/>
    </xf>
    <xf numFmtId="167" fontId="11" fillId="2" borderId="100" applyAlignment="1" pivotButton="0" quotePrefix="0" xfId="0">
      <alignment vertical="center"/>
    </xf>
    <xf numFmtId="165" fontId="11" fillId="2" borderId="0" applyAlignment="1" pivotButton="0" quotePrefix="0" xfId="0">
      <alignment vertical="center"/>
    </xf>
    <xf numFmtId="165" fontId="14" fillId="2" borderId="0" applyAlignment="1" pivotButton="0" quotePrefix="0" xfId="0">
      <alignment vertical="center"/>
    </xf>
  </cellXfs>
  <cellStyles count="20">
    <cellStyle name="표준" xfId="0" builtinId="0"/>
    <cellStyle name="Normal_Sheet1" xfId="1"/>
    <cellStyle name="백분율 2" xfId="2"/>
    <cellStyle name="백분율 2 2" xfId="3"/>
    <cellStyle name="백분율 3" xfId="4"/>
    <cellStyle name="백분율 3 5" xfId="5"/>
    <cellStyle name="쉼표 [0] 2" xfId="6"/>
    <cellStyle name="쉼표 [0] 2 2" xfId="7"/>
    <cellStyle name="쉼표 [0] 2 2 2" xfId="8"/>
    <cellStyle name="쉼표 [0] 2 3" xfId="9"/>
    <cellStyle name="쉼표 [0] 3" xfId="10"/>
    <cellStyle name="표준 1824" xfId="11"/>
    <cellStyle name="표준 2" xfId="12"/>
    <cellStyle name="표준 2 2" xfId="13"/>
    <cellStyle name="표준 3" xfId="14"/>
    <cellStyle name="표준 4" xfId="15"/>
    <cellStyle name="표준 4 2" xfId="16"/>
    <cellStyle name="표준 5 4" xfId="17"/>
    <cellStyle name="Excel Built-in Comma [0]" xfId="18"/>
    <cellStyle name="Excel Built-in Comma [0] 1" xfId="19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156082"/>
      <rgbColor rgb="FFB3B3B3"/>
      <rgbColor rgb="FF808080"/>
      <rgbColor rgb="FF9999FF"/>
      <rgbColor rgb="FFA02B93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97132"/>
      <rgbColor rgb="FF595959"/>
      <rgbColor rgb="FF969696"/>
      <rgbColor rgb="FF003366"/>
      <rgbColor rgb="FF4EA72E"/>
      <rgbColor rgb="FF003300"/>
      <rgbColor rgb="FF275417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00777380048451"/>
          <y val="0.0380045351473923"/>
          <w val="0.898072820624074"/>
          <h val="0.883446712018141"/>
        </manualLayout>
      </layout>
      <barChart>
        <barDir val="col"/>
        <grouping val="clustered"/>
        <varyColors val="0"/>
        <ser>
          <idx val="0"/>
          <order val="0"/>
          <tx>
            <strRef>
              <f>Master!$B$57:$D$57</f>
              <strCache>
                <ptCount val="3"/>
                <pt idx="0">
                  <v>합계</v>
                </pt>
                <pt idx="2">
                  <v>목표</v>
                </pt>
              </strCache>
            </strRef>
          </tx>
          <spPr>
            <a:solidFill xmlns:a="http://schemas.openxmlformats.org/drawingml/2006/main">
              <a:srgbClr val="15608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40404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Master!$E$57:$P$57</f>
              <numCache>
                <formatCode xml:space="preserve">#,##0_ ;[Red]\-#,##0\ </formatCode>
                <ptCount val="12"/>
                <pt idx="0">
                  <v>615.0427194119851</v>
                </pt>
                <pt idx="1">
                  <v>2074.184683778973</v>
                </pt>
                <pt idx="2">
                  <v>3678.353809698458</v>
                </pt>
                <pt idx="3">
                  <v>7460.135470518881</v>
                </pt>
              </numCache>
            </numRef>
          </val>
        </ser>
        <ser>
          <idx val="1"/>
          <order val="1"/>
          <tx>
            <strRef>
              <f>Master!$B$58:$D$58</f>
              <strCache>
                <ptCount val="3"/>
                <pt idx="0">
                  <v>합계</v>
                </pt>
                <pt idx="2">
                  <v>실적</v>
                </pt>
              </strCache>
            </strRef>
          </tx>
          <spPr>
            <a:solidFill xmlns:a="http://schemas.openxmlformats.org/drawingml/2006/main">
              <a:srgbClr val="E9713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C000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Master!$E$58:$P$58</f>
              <numCache>
                <formatCode>_-* #,##0_-;\-* #,##0_-;_-* \-_-;_-@_-</formatCode>
                <ptCount val="12"/>
                <pt idx="0">
                  <v>620.9367522877216</v>
                </pt>
                <pt idx="1">
                  <v>2278.911746941265</v>
                </pt>
                <pt idx="2">
                  <v>3409.60085419124</v>
                </pt>
                <pt idx="3">
                  <v>4831.830349101413</v>
                </pt>
              </numCache>
            </numRef>
          </val>
        </ser>
        <ser>
          <idx val="2"/>
          <order val="2"/>
          <tx>
            <strRef>
              <f>Master!$B$61:$D$61</f>
              <strCache>
                <ptCount val="3"/>
                <pt idx="0">
                  <v>합계 (고정비 제외)</v>
                </pt>
                <pt idx="2">
                  <v>실적</v>
                </pt>
              </strCache>
            </strRef>
          </tx>
          <spPr>
            <a:solidFill xmlns:a="http://schemas.openxmlformats.org/drawingml/2006/main">
              <a:srgbClr val="A02B93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0066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Master!$E$61:$P$61</f>
              <numCache>
                <formatCode>_-* #,##0_-;\-* #,##0_-;_-* \-_-;_-@_-</formatCode>
                <ptCount val="12"/>
                <pt idx="0">
                  <v>303.9827612877214</v>
                </pt>
                <pt idx="1">
                  <v>1905.849924941265</v>
                </pt>
                <pt idx="2">
                  <v>2904.30107119124</v>
                </pt>
                <pt idx="3">
                  <v>4315.894565101413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78984989"/>
        <axId val="63025184"/>
      </barChart>
      <lineChart>
        <grouping val="standard"/>
        <varyColors val="0"/>
        <ser>
          <idx val="3"/>
          <order val="3"/>
          <tx>
            <strRef>
              <f>Master!$B$59:$D$59</f>
              <strCache>
                <ptCount val="3"/>
                <pt idx="0">
                  <v>합계</v>
                </pt>
                <pt idx="2">
                  <v>달성율</v>
                </pt>
              </strCache>
            </strRef>
          </tx>
          <spPr>
            <a:ln xmlns:a="http://schemas.openxmlformats.org/drawingml/2006/main" w="28440" cap="rnd">
              <a:solidFill>
                <a:srgbClr val="196B2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196B24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C000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Master!$E$59:$P$59</f>
              <numCache>
                <formatCode>0%</formatCode>
                <ptCount val="12"/>
                <pt idx="0">
                  <v>1.009583127626275</v>
                </pt>
                <pt idx="1">
                  <v>1.09870242739875</v>
                </pt>
                <pt idx="2">
                  <v>0.9269366218120138</v>
                </pt>
                <pt idx="3">
                  <v>0.647686676494809</v>
                </pt>
              </numCache>
            </numRef>
          </val>
          <smooth val="0"/>
        </ser>
        <ser>
          <idx val="4"/>
          <order val="4"/>
          <tx>
            <strRef>
              <f>Master!$B$62:$D$62</f>
              <strCache>
                <ptCount val="3"/>
                <pt idx="0">
                  <v>합계 (고정비 제외)</v>
                </pt>
                <pt idx="2">
                  <v>달성율</v>
                </pt>
              </strCache>
            </strRef>
          </tx>
          <spPr>
            <a:ln xmlns:a="http://schemas.openxmlformats.org/drawingml/2006/main" w="28440" cap="rnd">
              <a:solidFill>
                <a:srgbClr val="4EA72E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4EA72E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0066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Master!$E$62:$P$62</f>
              <numCache>
                <formatCode>0%</formatCode>
                <ptCount val="12"/>
                <pt idx="0">
                  <v>0.5613785559532317</v>
                </pt>
                <pt idx="1">
                  <v>1.019049096805446</v>
                </pt>
                <pt idx="2">
                  <v>0.8304633737094851</v>
                </pt>
                <pt idx="3">
                  <v>0.6004243358630938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28914210"/>
        <axId val="87926898"/>
      </lineChart>
      <catAx>
        <axId val="7898498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/>
            </a:r>
            <a:endParaRPr lang="ko-KR"/>
          </a:p>
        </txPr>
        <crossAx val="63025184"/>
        <crosses val="autoZero"/>
        <auto val="1"/>
        <lblAlgn val="ctr"/>
        <lblOffset val="100"/>
        <noMultiLvlLbl val="0"/>
      </catAx>
      <valAx>
        <axId val="63025184"/>
        <scaling>
          <orientation val="minMax"/>
          <max val="12000"/>
        </scaling>
        <delete val="0"/>
        <axPos val="l"/>
        <numFmt formatCode="#,##0_ ;[Red]\-#,##0\ " sourceLinked="0"/>
        <majorTickMark val="none"/>
        <minorTickMark val="none"/>
        <tickLblPos val="nextTo"/>
        <spPr>
          <a:ln xmlns:a="http://schemas.openxmlformats.org/drawingml/2006/main" w="1260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/>
            </a:r>
            <a:endParaRPr lang="ko-KR"/>
          </a:p>
        </txPr>
        <crossAx val="78984989"/>
        <crosses val="autoZero"/>
        <crossBetween val="between"/>
      </valAx>
      <catAx>
        <axId val="28914210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87926898"/>
        <crosses val="autoZero"/>
        <auto val="1"/>
        <lblAlgn val="ctr"/>
        <lblOffset val="100"/>
        <noMultiLvlLbl val="0"/>
      </catAx>
      <valAx>
        <axId val="87926898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ln xmlns:a="http://schemas.openxmlformats.org/drawingml/2006/main" w="1260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/>
            </a:r>
            <a:endParaRPr lang="ko-KR"/>
          </a:p>
        </txPr>
        <crossAx val="28914210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18364129657407"/>
          <y val="0.032656952451401"/>
          <w val="0.731269591348776"/>
          <h val="0.0584584317087044"/>
        </manualLayout>
      </layout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>
              <a:solidFill>
                <a:srgbClr val="595959"/>
              </a:solidFill>
              <a:uFillTx/>
              <a:latin typeface="Arial Narrow"/>
              <a:ea typeface="LG스마트체 Regular"/>
            </a:defRPr>
          </a:pPr>
          <a:r>
            <a:t/>
          </a:r>
          <a:endParaRPr lang="ko-K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4</col>
      <colOff>609480</colOff>
      <row>1</row>
      <rowOff>114480</rowOff>
    </from>
    <to>
      <col>20</col>
      <colOff>151920</colOff>
      <row>20</row>
      <rowOff>101520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0000"/>
    <outlinePr summaryBelow="1" summaryRight="1"/>
    <pageSetUpPr/>
  </sheetPr>
  <dimension ref="B1:CB82"/>
  <sheetViews>
    <sheetView tabSelected="1" topLeftCell="A46" zoomScale="75" zoomScaleNormal="75" workbookViewId="0">
      <selection activeCell="C75" sqref="C75:C78"/>
    </sheetView>
  </sheetViews>
  <sheetFormatPr baseColWidth="8" defaultColWidth="9" defaultRowHeight="16.5" customHeight="1"/>
  <cols>
    <col width="9.875" customWidth="1" style="1" min="1" max="1"/>
    <col width="13.125" customWidth="1" style="1" min="2" max="2"/>
    <col width="19.5" customWidth="1" style="1" min="3" max="3"/>
    <col width="12.375" customWidth="1" style="1" min="4" max="4"/>
    <col width="8.125" customWidth="1" style="1" min="5" max="5"/>
    <col outlineLevel="1" width="8.125" customWidth="1" style="1" min="6" max="7"/>
    <col outlineLevel="1" width="8.25" customWidth="1" style="1" min="8" max="8"/>
    <col outlineLevel="1" width="8.125" customWidth="1" style="1" min="9" max="10"/>
    <col width="8.125" customWidth="1" style="1" min="11" max="11"/>
    <col outlineLevel="1" width="8.125" customWidth="1" style="1" min="12" max="15"/>
    <col width="8.125" customWidth="1" style="1" min="16" max="16"/>
    <col outlineLevel="1" width="8.125" customWidth="1" style="1" min="17" max="21"/>
    <col width="8.125" customWidth="1" style="1" min="22" max="22"/>
    <col outlineLevel="1" width="8.125" customWidth="1" style="1" min="23" max="27"/>
    <col width="8.125" customWidth="1" style="1" min="28" max="28"/>
    <col outlineLevel="1" width="8.125" customWidth="1" style="1" min="29" max="34"/>
    <col width="8.125" customWidth="1" style="1" min="35" max="35"/>
    <col outlineLevel="1" width="8.125" customWidth="1" style="1" min="36" max="40"/>
    <col width="8.125" customWidth="1" style="1" min="41" max="41"/>
    <col outlineLevel="1" width="8.125" customWidth="1" style="1" min="42" max="46"/>
    <col width="8.125" customWidth="1" style="1" min="47" max="47"/>
    <col outlineLevel="1" width="8.125" customWidth="1" style="1" min="48" max="53"/>
    <col width="8.125" customWidth="1" style="1" min="54" max="54"/>
    <col outlineLevel="1" width="8.125" customWidth="1" style="1" min="55" max="59"/>
    <col width="8.125" customWidth="1" style="1" min="60" max="60"/>
    <col outlineLevel="1" width="8.125" customWidth="1" style="1" min="61" max="65"/>
    <col width="8.125" customWidth="1" style="1" min="66" max="66"/>
    <col outlineLevel="1" width="8.125" customWidth="1" style="1" min="67" max="71"/>
    <col width="8.125" customWidth="1" style="1" min="72" max="72"/>
    <col outlineLevel="1" width="8.125" customWidth="1" style="1" min="73" max="77"/>
    <col width="8.125" customWidth="1" style="1" min="78" max="79"/>
    <col width="4.25" customWidth="1" style="1" min="80" max="80"/>
    <col width="27.125" customWidth="1" style="1" min="81" max="81"/>
    <col width="9.625" customWidth="1" style="1" min="82" max="85"/>
    <col width="10.5" customWidth="1" style="1" min="86" max="86"/>
    <col width="9.625" customWidth="1" style="1" min="87" max="89"/>
    <col width="10.5" customWidth="1" style="1" min="90" max="91"/>
    <col width="11.625" customWidth="1" style="1" min="92" max="93"/>
    <col width="11.75" customWidth="1" style="1" min="94" max="94"/>
    <col width="11.625" customWidth="1" style="1" min="95" max="96"/>
    <col width="10.5" customWidth="1" style="1" min="97" max="98"/>
    <col width="9.625" customWidth="1" style="1" min="99" max="103"/>
    <col width="9" customWidth="1" style="1" min="104" max="104"/>
    <col width="9" customWidth="1" style="1" min="105" max="16384"/>
  </cols>
  <sheetData>
    <row r="1" ht="16.5" customHeight="1" s="838">
      <c r="F1" s="2" t="inlineStr">
        <is>
          <t>전체 현황</t>
        </is>
      </c>
    </row>
    <row r="22" ht="17.25" customHeight="1" s="838"/>
    <row r="23" ht="16.5" customHeight="1" s="838">
      <c r="B23" s="769" t="n"/>
      <c r="C23" s="751" t="n"/>
      <c r="D23" s="743" t="n"/>
      <c r="E23" s="769" t="inlineStr">
        <is>
          <t>1월</t>
        </is>
      </c>
      <c r="F23" s="762" t="n"/>
      <c r="G23" s="762" t="n"/>
      <c r="H23" s="762" t="n"/>
      <c r="I23" s="762" t="n"/>
      <c r="J23" s="763" t="n"/>
      <c r="K23" s="761" t="inlineStr">
        <is>
          <t>2월</t>
        </is>
      </c>
      <c r="L23" s="762" t="n"/>
      <c r="M23" s="762" t="n"/>
      <c r="N23" s="762" t="n"/>
      <c r="O23" s="763" t="n"/>
      <c r="P23" s="761" t="inlineStr">
        <is>
          <t>3월</t>
        </is>
      </c>
      <c r="Q23" s="762" t="n"/>
      <c r="R23" s="762" t="n"/>
      <c r="S23" s="762" t="n"/>
      <c r="T23" s="762" t="n"/>
      <c r="U23" s="763" t="n"/>
      <c r="V23" s="761" t="inlineStr">
        <is>
          <t>4월</t>
        </is>
      </c>
      <c r="W23" s="762" t="n"/>
      <c r="X23" s="762" t="n"/>
      <c r="Y23" s="762" t="n"/>
      <c r="Z23" s="762" t="n"/>
      <c r="AA23" s="763" t="n"/>
      <c r="AB23" s="761" t="inlineStr">
        <is>
          <t>5월</t>
        </is>
      </c>
      <c r="AC23" s="762" t="n"/>
      <c r="AD23" s="762" t="n"/>
      <c r="AE23" s="762" t="n"/>
      <c r="AF23" s="762" t="n"/>
      <c r="AG23" s="762" t="n"/>
      <c r="AH23" s="763" t="n"/>
      <c r="AI23" s="761" t="inlineStr">
        <is>
          <t>6월</t>
        </is>
      </c>
      <c r="AJ23" s="762" t="n"/>
      <c r="AK23" s="762" t="n"/>
      <c r="AL23" s="762" t="n"/>
      <c r="AM23" s="762" t="n"/>
      <c r="AN23" s="763" t="n"/>
      <c r="AO23" s="761" t="inlineStr">
        <is>
          <t>7월</t>
        </is>
      </c>
      <c r="AP23" s="762" t="n"/>
      <c r="AQ23" s="762" t="n"/>
      <c r="AR23" s="762" t="n"/>
      <c r="AS23" s="762" t="n"/>
      <c r="AT23" s="763" t="n"/>
      <c r="AU23" s="761" t="inlineStr">
        <is>
          <t>8월</t>
        </is>
      </c>
      <c r="AV23" s="762" t="n"/>
      <c r="AW23" s="762" t="n"/>
      <c r="AX23" s="762" t="n"/>
      <c r="AY23" s="762" t="n"/>
      <c r="AZ23" s="762" t="n"/>
      <c r="BA23" s="763" t="n"/>
      <c r="BB23" s="761" t="inlineStr">
        <is>
          <t>9월</t>
        </is>
      </c>
      <c r="BC23" s="762" t="n"/>
      <c r="BD23" s="762" t="n"/>
      <c r="BE23" s="762" t="n"/>
      <c r="BF23" s="762" t="n"/>
      <c r="BG23" s="763" t="n"/>
      <c r="BH23" s="761" t="inlineStr">
        <is>
          <t>10월</t>
        </is>
      </c>
      <c r="BI23" s="762" t="n"/>
      <c r="BJ23" s="762" t="n"/>
      <c r="BK23" s="762" t="n"/>
      <c r="BL23" s="762" t="n"/>
      <c r="BM23" s="763" t="n"/>
      <c r="BN23" s="761" t="inlineStr">
        <is>
          <t>11월</t>
        </is>
      </c>
      <c r="BO23" s="762" t="n"/>
      <c r="BP23" s="762" t="n"/>
      <c r="BQ23" s="762" t="n"/>
      <c r="BR23" s="762" t="n"/>
      <c r="BS23" s="763" t="n"/>
      <c r="BT23" s="771" t="inlineStr">
        <is>
          <t>12월</t>
        </is>
      </c>
      <c r="BU23" s="762" t="n"/>
      <c r="BV23" s="762" t="n"/>
      <c r="BW23" s="762" t="n"/>
      <c r="BX23" s="762" t="n"/>
      <c r="BY23" s="772" t="n"/>
      <c r="BZ23" s="3" t="n"/>
      <c r="CA23" s="3" t="n"/>
      <c r="CB23" s="3" t="n"/>
    </row>
    <row r="24" ht="16.5" customHeight="1" s="838">
      <c r="B24" s="767" t="n"/>
      <c r="C24" s="752" t="n"/>
      <c r="D24" s="736" t="n"/>
      <c r="E24" s="4" t="inlineStr">
        <is>
          <t>실적</t>
        </is>
      </c>
      <c r="F24" s="5" t="inlineStr">
        <is>
          <t>W1</t>
        </is>
      </c>
      <c r="G24" s="5" t="inlineStr">
        <is>
          <t>W2</t>
        </is>
      </c>
      <c r="H24" s="5" t="inlineStr">
        <is>
          <t>W3</t>
        </is>
      </c>
      <c r="I24" s="5" t="inlineStr">
        <is>
          <t>W4</t>
        </is>
      </c>
      <c r="J24" s="6" t="inlineStr">
        <is>
          <t>W5</t>
        </is>
      </c>
      <c r="K24" s="7" t="inlineStr">
        <is>
          <t>실적</t>
        </is>
      </c>
      <c r="L24" s="5" t="inlineStr">
        <is>
          <t>W6</t>
        </is>
      </c>
      <c r="M24" s="5" t="inlineStr">
        <is>
          <t>W7</t>
        </is>
      </c>
      <c r="N24" s="5" t="inlineStr">
        <is>
          <t>W8</t>
        </is>
      </c>
      <c r="O24" s="6" t="inlineStr">
        <is>
          <t>W9</t>
        </is>
      </c>
      <c r="P24" s="7" t="inlineStr">
        <is>
          <t>실적</t>
        </is>
      </c>
      <c r="Q24" s="5" t="inlineStr">
        <is>
          <t>W10</t>
        </is>
      </c>
      <c r="R24" s="5" t="inlineStr">
        <is>
          <t>W11</t>
        </is>
      </c>
      <c r="S24" s="5" t="inlineStr">
        <is>
          <t>W12</t>
        </is>
      </c>
      <c r="T24" s="5" t="inlineStr">
        <is>
          <t>W13</t>
        </is>
      </c>
      <c r="U24" s="6" t="inlineStr">
        <is>
          <t>W14</t>
        </is>
      </c>
      <c r="V24" s="7" t="inlineStr">
        <is>
          <t>실적</t>
        </is>
      </c>
      <c r="W24" s="5" t="inlineStr">
        <is>
          <t>W14</t>
        </is>
      </c>
      <c r="X24" s="5" t="inlineStr">
        <is>
          <t>W15</t>
        </is>
      </c>
      <c r="Y24" s="5" t="inlineStr">
        <is>
          <t>W16</t>
        </is>
      </c>
      <c r="Z24" s="5" t="inlineStr">
        <is>
          <t>W17</t>
        </is>
      </c>
      <c r="AA24" s="6" t="inlineStr">
        <is>
          <t>W18</t>
        </is>
      </c>
      <c r="AB24" s="7" t="inlineStr">
        <is>
          <t>실적</t>
        </is>
      </c>
      <c r="AC24" s="5" t="inlineStr">
        <is>
          <t>W18</t>
        </is>
      </c>
      <c r="AD24" s="5" t="inlineStr">
        <is>
          <t>W19</t>
        </is>
      </c>
      <c r="AE24" s="5" t="inlineStr">
        <is>
          <t>W20</t>
        </is>
      </c>
      <c r="AF24" s="5" t="inlineStr">
        <is>
          <t>W21</t>
        </is>
      </c>
      <c r="AG24" s="5" t="inlineStr">
        <is>
          <t>W22</t>
        </is>
      </c>
      <c r="AH24" s="6" t="inlineStr">
        <is>
          <t>W23</t>
        </is>
      </c>
      <c r="AI24" s="7" t="inlineStr">
        <is>
          <t>실적</t>
        </is>
      </c>
      <c r="AJ24" s="5" t="inlineStr">
        <is>
          <t>W23</t>
        </is>
      </c>
      <c r="AK24" s="5" t="inlineStr">
        <is>
          <t>W24</t>
        </is>
      </c>
      <c r="AL24" s="5" t="inlineStr">
        <is>
          <t>W25</t>
        </is>
      </c>
      <c r="AM24" s="5" t="inlineStr">
        <is>
          <t>W26</t>
        </is>
      </c>
      <c r="AN24" s="6" t="inlineStr">
        <is>
          <t>W27</t>
        </is>
      </c>
      <c r="AO24" s="7" t="inlineStr">
        <is>
          <t>실적</t>
        </is>
      </c>
      <c r="AP24" s="5" t="inlineStr">
        <is>
          <t>W27</t>
        </is>
      </c>
      <c r="AQ24" s="5" t="inlineStr">
        <is>
          <t>W28</t>
        </is>
      </c>
      <c r="AR24" s="5" t="inlineStr">
        <is>
          <t>W29</t>
        </is>
      </c>
      <c r="AS24" s="5" t="inlineStr">
        <is>
          <t>W30</t>
        </is>
      </c>
      <c r="AT24" s="6" t="inlineStr">
        <is>
          <t>W31</t>
        </is>
      </c>
      <c r="AU24" s="7" t="inlineStr">
        <is>
          <t>실적</t>
        </is>
      </c>
      <c r="AV24" s="5" t="inlineStr">
        <is>
          <t>W31</t>
        </is>
      </c>
      <c r="AW24" s="5" t="inlineStr">
        <is>
          <t>W32</t>
        </is>
      </c>
      <c r="AX24" s="5" t="inlineStr">
        <is>
          <t>W33</t>
        </is>
      </c>
      <c r="AY24" s="5" t="inlineStr">
        <is>
          <t>W34</t>
        </is>
      </c>
      <c r="AZ24" s="5" t="inlineStr">
        <is>
          <t>W35</t>
        </is>
      </c>
      <c r="BA24" s="6" t="inlineStr">
        <is>
          <t>W36</t>
        </is>
      </c>
      <c r="BB24" s="7" t="inlineStr">
        <is>
          <t>실적</t>
        </is>
      </c>
      <c r="BC24" s="5" t="inlineStr">
        <is>
          <t>W36</t>
        </is>
      </c>
      <c r="BD24" s="5" t="inlineStr">
        <is>
          <t>W37</t>
        </is>
      </c>
      <c r="BE24" s="5" t="inlineStr">
        <is>
          <t>W38</t>
        </is>
      </c>
      <c r="BF24" s="5" t="inlineStr">
        <is>
          <t>W39</t>
        </is>
      </c>
      <c r="BG24" s="6" t="inlineStr">
        <is>
          <t>W40</t>
        </is>
      </c>
      <c r="BH24" s="7" t="inlineStr">
        <is>
          <t>실적</t>
        </is>
      </c>
      <c r="BI24" s="5" t="inlineStr">
        <is>
          <t>W40</t>
        </is>
      </c>
      <c r="BJ24" s="5" t="inlineStr">
        <is>
          <t>W41</t>
        </is>
      </c>
      <c r="BK24" s="5" t="inlineStr">
        <is>
          <t>W42</t>
        </is>
      </c>
      <c r="BL24" s="5" t="inlineStr">
        <is>
          <t>W43</t>
        </is>
      </c>
      <c r="BM24" s="6" t="inlineStr">
        <is>
          <t>W44</t>
        </is>
      </c>
      <c r="BN24" s="7" t="inlineStr">
        <is>
          <t>실적</t>
        </is>
      </c>
      <c r="BO24" s="5" t="inlineStr">
        <is>
          <t>W45</t>
        </is>
      </c>
      <c r="BP24" s="5" t="inlineStr">
        <is>
          <t>W46</t>
        </is>
      </c>
      <c r="BQ24" s="5" t="inlineStr">
        <is>
          <t>W47</t>
        </is>
      </c>
      <c r="BR24" s="5" t="inlineStr">
        <is>
          <t>W48</t>
        </is>
      </c>
      <c r="BS24" s="6" t="inlineStr">
        <is>
          <t>W49</t>
        </is>
      </c>
      <c r="BT24" s="7" t="inlineStr">
        <is>
          <t>실적</t>
        </is>
      </c>
      <c r="BU24" s="6" t="inlineStr">
        <is>
          <t>W49</t>
        </is>
      </c>
      <c r="BV24" s="822" t="inlineStr">
        <is>
          <t>W50</t>
        </is>
      </c>
      <c r="BW24" s="822" t="inlineStr">
        <is>
          <t>W51</t>
        </is>
      </c>
      <c r="BX24" s="822" t="inlineStr">
        <is>
          <t>W52</t>
        </is>
      </c>
      <c r="BY24" s="9" t="inlineStr">
        <is>
          <t>W53</t>
        </is>
      </c>
      <c r="BZ24" s="3" t="n"/>
      <c r="CA24" s="3" t="n"/>
      <c r="CB24" s="3" t="n"/>
    </row>
    <row r="25" ht="16.5" customHeight="1" s="838">
      <c r="B25" s="764" t="inlineStr">
        <is>
          <t>합계</t>
        </is>
      </c>
      <c r="C25" s="734" t="n"/>
      <c r="D25" s="10" t="inlineStr">
        <is>
          <t>목표</t>
        </is>
      </c>
      <c r="E25" s="839">
        <f>SUM(E31,E33,E35,E37,E39,E41,E43,E45,E47,E49)</f>
        <v/>
      </c>
      <c r="F25" s="840">
        <f>SUM(F31,F33,F35,F37,F39,F41,F43,F45,F47,F49)</f>
        <v/>
      </c>
      <c r="G25" s="840">
        <f>SUM(G31,G33,G35,G37,G39,G41,G43,G45,G47,G49)</f>
        <v/>
      </c>
      <c r="H25" s="840">
        <f>SUM(H31,H33,H35,H37,H39,H41,H43,H45,H47,H49)</f>
        <v/>
      </c>
      <c r="I25" s="840">
        <f>SUM(I31,I33,I35,I37,I39,I41,I43,I45,I47,I49)</f>
        <v/>
      </c>
      <c r="J25" s="841">
        <f>SUM(J31,J33,J35,J37,J39,J41,J43,J45,J47,J49)</f>
        <v/>
      </c>
      <c r="K25" s="842">
        <f>SUM(K31,K33,K35,K37,K39,K41,K43,K45,K47,K49)</f>
        <v/>
      </c>
      <c r="L25" s="840">
        <f>SUM(L31,L33,L35,L37,L39,L41,L43,L45,L47,L49)</f>
        <v/>
      </c>
      <c r="M25" s="840">
        <f>SUM(M31,M33,M35,M37,M39,M41,M43,M45,M47,M49)</f>
        <v/>
      </c>
      <c r="N25" s="840">
        <f>SUM(N31,N33,N35,N37,N39,N41,N43,N45,N47,N49)</f>
        <v/>
      </c>
      <c r="O25" s="841">
        <f>SUM(O31,O33,O35,O37,O39,O41,O43,O45,O47,O49)</f>
        <v/>
      </c>
      <c r="P25" s="842">
        <f>SUM(P31,P33,P35,P37,P39,P41,P43,P45,P47,P49)</f>
        <v/>
      </c>
      <c r="Q25" s="840">
        <f>SUM(Q31,Q33,Q35,Q37,Q39,Q41,Q43,Q45,Q47,Q49)</f>
        <v/>
      </c>
      <c r="R25" s="840">
        <f>SUM(R31,R33,R35,R37,R39,R41,R43,R45,R47,R49)</f>
        <v/>
      </c>
      <c r="S25" s="840">
        <f>SUM(S31,S33,S35,S37,S39,S41,S43,S45,S47,S49)</f>
        <v/>
      </c>
      <c r="T25" s="840">
        <f>SUM(T31,T33,T35,T37,T39,T41,T43,T45,T47,T49)</f>
        <v/>
      </c>
      <c r="U25" s="841">
        <f>SUM(U31,U33,U35,U37,U39,U41,U43,U45,U47,U49)</f>
        <v/>
      </c>
      <c r="V25" s="842">
        <f>SUM(V31,V33,V35,V37,V39,V41,V43,V45,V47,V49)</f>
        <v/>
      </c>
      <c r="W25" s="840">
        <f>SUM(W31,W33,W35,W37,W39,W41,W43,W45,W47,W49)</f>
        <v/>
      </c>
      <c r="X25" s="840">
        <f>SUM(X31,X33,X35,X37,X39,X41,X43,X45,X47,X49)</f>
        <v/>
      </c>
      <c r="Y25" s="840">
        <f>SUM(Y31,Y33,Y35,Y37,Y39,Y41,Y43,Y45,Y47,Y49)</f>
        <v/>
      </c>
      <c r="Z25" s="840">
        <f>SUM(Z31,Z33,Z35,Z37,Z39,Z41,Z43,Z45,Z47,Z49)</f>
        <v/>
      </c>
      <c r="AA25" s="841">
        <f>SUM(AA31,AA33,AA35,AA37,AA39,AA41,AA43,AA45,AA47,AA49)</f>
        <v/>
      </c>
      <c r="AB25" s="843" t="n"/>
      <c r="AC25" s="844" t="n"/>
      <c r="AD25" s="844" t="n"/>
      <c r="AE25" s="844" t="n"/>
      <c r="AF25" s="844" t="n"/>
      <c r="AG25" s="844" t="n"/>
      <c r="AH25" s="845" t="n"/>
      <c r="AI25" s="843" t="n"/>
      <c r="AJ25" s="844" t="n"/>
      <c r="AK25" s="844" t="n"/>
      <c r="AL25" s="844" t="n"/>
      <c r="AM25" s="844" t="n"/>
      <c r="AN25" s="845" t="n"/>
      <c r="AO25" s="843" t="n"/>
      <c r="AP25" s="844" t="n"/>
      <c r="AQ25" s="844" t="n"/>
      <c r="AR25" s="844" t="n"/>
      <c r="AS25" s="844" t="n"/>
      <c r="AT25" s="845" t="n"/>
      <c r="AU25" s="843" t="n"/>
      <c r="AV25" s="844" t="n"/>
      <c r="AW25" s="844" t="n"/>
      <c r="AX25" s="844" t="n"/>
      <c r="AY25" s="844" t="n"/>
      <c r="AZ25" s="844" t="n"/>
      <c r="BA25" s="845" t="n"/>
      <c r="BB25" s="843" t="n"/>
      <c r="BC25" s="844" t="n"/>
      <c r="BD25" s="844" t="n"/>
      <c r="BE25" s="844" t="n"/>
      <c r="BF25" s="844" t="n"/>
      <c r="BG25" s="845" t="n"/>
      <c r="BH25" s="843" t="n"/>
      <c r="BI25" s="844" t="n"/>
      <c r="BJ25" s="844" t="n"/>
      <c r="BK25" s="844" t="n"/>
      <c r="BL25" s="844" t="n"/>
      <c r="BM25" s="845" t="n"/>
      <c r="BN25" s="843" t="n"/>
      <c r="BO25" s="844" t="n"/>
      <c r="BP25" s="844" t="n"/>
      <c r="BQ25" s="844" t="n"/>
      <c r="BR25" s="844" t="n"/>
      <c r="BS25" s="845" t="n"/>
      <c r="BT25" s="843" t="n"/>
      <c r="BU25" s="844" t="n"/>
      <c r="BV25" s="844" t="n"/>
      <c r="BW25" s="844" t="n"/>
      <c r="BX25" s="844" t="n"/>
      <c r="BY25" s="846" t="n"/>
      <c r="BZ25" s="847" t="n"/>
      <c r="CA25" s="847" t="n"/>
      <c r="CB25" s="847" t="n"/>
    </row>
    <row r="26" ht="16.5" customHeight="1" s="838">
      <c r="B26" s="765" t="n"/>
      <c r="C26" s="766" t="n"/>
      <c r="D26" s="20" t="inlineStr">
        <is>
          <t>실적</t>
        </is>
      </c>
      <c r="E26" s="848">
        <f>SUM(E32,E34,E36,E38,E40,E42,E44,E46,E48,E50)</f>
        <v/>
      </c>
      <c r="F26" s="849">
        <f>SUM(F32,F34,F36,F38,F40,F42,F44,F46,F48,F50)</f>
        <v/>
      </c>
      <c r="G26" s="849">
        <f>SUM(G32,G34,G36,G38,G40,G42,G44,G46,G48,G50)</f>
        <v/>
      </c>
      <c r="H26" s="849">
        <f>SUM(H32,H34,H36,H38,H40,H42,H44,H46,H48,H50)</f>
        <v/>
      </c>
      <c r="I26" s="849">
        <f>SUM(I32,I34,I36,I38,I40,I42,I44,I46,I48,I50)</f>
        <v/>
      </c>
      <c r="J26" s="850">
        <f>SUM(J32,J34,J36,J38,J40,J42,J44,J46,J48,J50)</f>
        <v/>
      </c>
      <c r="K26" s="851">
        <f>SUM(K32,K34,K36,K38,K40,K42,K44,K46,K48,K50)</f>
        <v/>
      </c>
      <c r="L26" s="849">
        <f>SUM(L32,L34,L36,L38,L40,L42,L44,L46,L48,L50)</f>
        <v/>
      </c>
      <c r="M26" s="849">
        <f>SUM(M32,M34,M36,M38,M40,M42,M44,M46,M48,M50)</f>
        <v/>
      </c>
      <c r="N26" s="849">
        <f>SUM(N32,N34,N36,N38,N40,N42,N44,N46,N48,N50)</f>
        <v/>
      </c>
      <c r="O26" s="850">
        <f>SUM(O32,O34,O36,O38,O40,O42,O44,O46,O48,O50)</f>
        <v/>
      </c>
      <c r="P26" s="851">
        <f>SUM(P32,P34,P36,P38,P40,P42,P44,P46,P48,P50)</f>
        <v/>
      </c>
      <c r="Q26" s="849">
        <f>SUM(Q32,Q34,Q36,Q38,Q40,Q42,Q44,Q46,Q48,Q50)</f>
        <v/>
      </c>
      <c r="R26" s="849">
        <f>SUM(R32,R34,R36,R38,R40,R42,R44,R46,R48,R50)</f>
        <v/>
      </c>
      <c r="S26" s="849">
        <f>SUM(S32,S34,S36,S38,S40,S42,S44,S46,S48,S50)</f>
        <v/>
      </c>
      <c r="T26" s="849">
        <f>SUM(T32,T34,T36,T38,T40,T42,T44,T46,T48,T50)</f>
        <v/>
      </c>
      <c r="U26" s="850">
        <f>SUM(U32,U34,U36,U38,U40,U42,U44,U46,U48,U50)</f>
        <v/>
      </c>
      <c r="V26" s="851">
        <f>SUM(V32,V34,V36,V38,V40,V42,V44,V46,V48,V50)</f>
        <v/>
      </c>
      <c r="W26" s="849">
        <f>SUM(W32,W34,W36,W38,W40,W42,W44,W46,W48,W50)</f>
        <v/>
      </c>
      <c r="X26" s="849">
        <f>SUM(X32,X34,X36,X38,X40,X42,X44,X46,X48,X50)</f>
        <v/>
      </c>
      <c r="Y26" s="849">
        <f>SUM(Y32,Y34,Y36,Y38,Y40,Y42,Y44,Y46,Y48,Y50)</f>
        <v/>
      </c>
      <c r="Z26" s="849">
        <f>SUM(Z32,Z34,Z36,Z38,Z40,Z42,Z44,Z46,Z48,Z50)</f>
        <v/>
      </c>
      <c r="AA26" s="850">
        <f>SUM(AA32,AA34,AA36,AA38,AA40,AA42,AA44,AA46,AA48,AA50)</f>
        <v/>
      </c>
      <c r="AB26" s="852" t="n"/>
      <c r="AC26" s="853" t="n"/>
      <c r="AD26" s="853" t="n"/>
      <c r="AE26" s="853" t="n"/>
      <c r="AF26" s="853" t="n"/>
      <c r="AG26" s="853" t="n"/>
      <c r="AH26" s="854" t="n"/>
      <c r="AI26" s="852" t="n"/>
      <c r="AJ26" s="853" t="n"/>
      <c r="AK26" s="853" t="n"/>
      <c r="AL26" s="853" t="n"/>
      <c r="AM26" s="853" t="n"/>
      <c r="AN26" s="854" t="n"/>
      <c r="AO26" s="852" t="n"/>
      <c r="AP26" s="853" t="n"/>
      <c r="AQ26" s="853" t="n"/>
      <c r="AR26" s="853" t="n"/>
      <c r="AS26" s="853" t="n"/>
      <c r="AT26" s="854" t="n"/>
      <c r="AU26" s="855" t="n"/>
      <c r="AV26" s="853" t="n"/>
      <c r="AW26" s="853" t="n"/>
      <c r="AX26" s="853" t="n"/>
      <c r="AY26" s="853" t="n"/>
      <c r="AZ26" s="853" t="n"/>
      <c r="BA26" s="854" t="n"/>
      <c r="BB26" s="855" t="n"/>
      <c r="BC26" s="853" t="n"/>
      <c r="BD26" s="853" t="n"/>
      <c r="BE26" s="853" t="n"/>
      <c r="BF26" s="853" t="n"/>
      <c r="BG26" s="856" t="n"/>
      <c r="BH26" s="855" t="n"/>
      <c r="BI26" s="847" t="n"/>
      <c r="BJ26" s="847" t="n"/>
      <c r="BK26" s="847" t="n"/>
      <c r="BL26" s="847" t="n"/>
      <c r="BM26" s="856" t="n"/>
      <c r="BN26" s="855" t="n"/>
      <c r="BO26" s="847" t="n"/>
      <c r="BP26" s="847" t="n"/>
      <c r="BQ26" s="847" t="n"/>
      <c r="BR26" s="847" t="n"/>
      <c r="BS26" s="856" t="n"/>
      <c r="BT26" s="855" t="n"/>
      <c r="BU26" s="847" t="n"/>
      <c r="BV26" s="847" t="n"/>
      <c r="BW26" s="847" t="n"/>
      <c r="BX26" s="847" t="n"/>
      <c r="BY26" s="857" t="n"/>
      <c r="BZ26" s="847" t="n"/>
      <c r="CA26" s="847" t="n"/>
      <c r="CB26" s="847" t="n"/>
    </row>
    <row r="27" ht="16.5" customHeight="1" s="838">
      <c r="B27" s="767" t="n"/>
      <c r="C27" s="736" t="n"/>
      <c r="D27" s="31" t="inlineStr">
        <is>
          <t>달성율</t>
        </is>
      </c>
      <c r="E27" s="32">
        <f>E26/E25</f>
        <v/>
      </c>
      <c r="F27" s="33">
        <f>F26/F25</f>
        <v/>
      </c>
      <c r="G27" s="33">
        <f>G26/G25</f>
        <v/>
      </c>
      <c r="H27" s="33">
        <f>H26/H25</f>
        <v/>
      </c>
      <c r="I27" s="33">
        <f>I26/I25</f>
        <v/>
      </c>
      <c r="J27" s="34">
        <f>J26/J25</f>
        <v/>
      </c>
      <c r="K27" s="35">
        <f>K26/K25</f>
        <v/>
      </c>
      <c r="L27" s="33">
        <f>L26/L25</f>
        <v/>
      </c>
      <c r="M27" s="33">
        <f>M26/M25</f>
        <v/>
      </c>
      <c r="N27" s="33">
        <f>N26/N25</f>
        <v/>
      </c>
      <c r="O27" s="34">
        <f>O26/O25</f>
        <v/>
      </c>
      <c r="P27" s="35">
        <f>P26/P25</f>
        <v/>
      </c>
      <c r="Q27" s="33">
        <f>Q26/Q25</f>
        <v/>
      </c>
      <c r="R27" s="33">
        <f>R26/R25</f>
        <v/>
      </c>
      <c r="S27" s="33">
        <f>S26/S25</f>
        <v/>
      </c>
      <c r="T27" s="33">
        <f>T26/T25</f>
        <v/>
      </c>
      <c r="U27" s="34">
        <f>U26/U25</f>
        <v/>
      </c>
      <c r="V27" s="35">
        <f>V26/V25</f>
        <v/>
      </c>
      <c r="W27" s="33">
        <f>W26/W25</f>
        <v/>
      </c>
      <c r="X27" s="33">
        <f>X26/X25</f>
        <v/>
      </c>
      <c r="Y27" s="33">
        <f>Y26/Y25</f>
        <v/>
      </c>
      <c r="Z27" s="33">
        <f>Z26/Z25</f>
        <v/>
      </c>
      <c r="AA27" s="34">
        <f>AA26/AA25</f>
        <v/>
      </c>
      <c r="AB27" s="35" t="n"/>
      <c r="AC27" s="33" t="n"/>
      <c r="AD27" s="33" t="n"/>
      <c r="AE27" s="33" t="n"/>
      <c r="AF27" s="33" t="n"/>
      <c r="AG27" s="33" t="n"/>
      <c r="AH27" s="34" t="n"/>
      <c r="AI27" s="35" t="n"/>
      <c r="AJ27" s="33" t="n"/>
      <c r="AK27" s="33" t="n"/>
      <c r="AL27" s="33" t="n"/>
      <c r="AM27" s="33" t="n"/>
      <c r="AN27" s="34" t="n"/>
      <c r="AO27" s="35" t="n"/>
      <c r="AP27" s="33" t="n"/>
      <c r="AQ27" s="33" t="n"/>
      <c r="AR27" s="33" t="n"/>
      <c r="AS27" s="33" t="n"/>
      <c r="AT27" s="34" t="n"/>
      <c r="AU27" s="858" t="n"/>
      <c r="AV27" s="33" t="n"/>
      <c r="AW27" s="33" t="n"/>
      <c r="AX27" s="33" t="n"/>
      <c r="AY27" s="33" t="n"/>
      <c r="AZ27" s="33" t="n"/>
      <c r="BA27" s="34" t="n"/>
      <c r="BB27" s="858" t="n"/>
      <c r="BC27" s="33" t="n"/>
      <c r="BD27" s="33" t="n"/>
      <c r="BE27" s="33" t="n"/>
      <c r="BF27" s="33" t="n"/>
      <c r="BG27" s="859" t="n"/>
      <c r="BH27" s="858" t="n"/>
      <c r="BI27" s="860" t="n"/>
      <c r="BJ27" s="860" t="n"/>
      <c r="BK27" s="860" t="n"/>
      <c r="BL27" s="860" t="n"/>
      <c r="BM27" s="859" t="n"/>
      <c r="BN27" s="858" t="n"/>
      <c r="BO27" s="860" t="n"/>
      <c r="BP27" s="860" t="n"/>
      <c r="BQ27" s="860" t="n"/>
      <c r="BR27" s="860" t="n"/>
      <c r="BS27" s="859" t="n"/>
      <c r="BT27" s="858" t="n"/>
      <c r="BU27" s="860" t="n"/>
      <c r="BV27" s="860" t="n"/>
      <c r="BW27" s="860" t="n"/>
      <c r="BX27" s="860" t="n"/>
      <c r="BY27" s="861" t="n"/>
      <c r="BZ27" s="847" t="n"/>
      <c r="CA27" s="847" t="n"/>
      <c r="CB27" s="847" t="n"/>
    </row>
    <row r="28" ht="16.5" customHeight="1" s="838">
      <c r="B28" s="764" t="inlineStr">
        <is>
          <t>합계 (고정비 제외)</t>
        </is>
      </c>
      <c r="C28" s="734" t="n"/>
      <c r="D28" s="10" t="inlineStr">
        <is>
          <t>목표</t>
        </is>
      </c>
      <c r="E28" s="839">
        <f>SUM(E31,E33,E35,E37,E39,E41,E43,E45,E47)</f>
        <v/>
      </c>
      <c r="F28" s="840">
        <f>SUM(F31,F33,F35,F37,F39,F41,F43,F45,F47)</f>
        <v/>
      </c>
      <c r="G28" s="840">
        <f>SUM(G31,G33,G35,G37,G39,G41,G43,G45,G47)</f>
        <v/>
      </c>
      <c r="H28" s="840">
        <f>SUM(H31,H33,H35,H37,H39,H41,H43,H45,H47)</f>
        <v/>
      </c>
      <c r="I28" s="840">
        <f>SUM(I31,I33,I35,I37,I39,I41,I43,I45,I47)</f>
        <v/>
      </c>
      <c r="J28" s="841">
        <f>SUM(J31,J33,J35,J37,J39,J41,J43,J45,J47)</f>
        <v/>
      </c>
      <c r="K28" s="842">
        <f>SUM(K31,K33,K35,K37,K39,K41,K43,K45,K47)</f>
        <v/>
      </c>
      <c r="L28" s="840">
        <f>SUM(L31,L33,L35,L37,L39,L41,L43,L45,L47)</f>
        <v/>
      </c>
      <c r="M28" s="840">
        <f>SUM(M31,M33,M35,M37,M39,M41,M43,M45,M47)</f>
        <v/>
      </c>
      <c r="N28" s="840">
        <f>SUM(N31,N33,N35,N37,N39,N41,N43,N45,N47)</f>
        <v/>
      </c>
      <c r="O28" s="841">
        <f>SUM(O31,O33,O35,O37,O39,O41,O43,O45,O47)</f>
        <v/>
      </c>
      <c r="P28" s="842">
        <f>SUM(P31,P33,P35,P37,P39,P41,P43,P45,P47)</f>
        <v/>
      </c>
      <c r="Q28" s="840">
        <f>SUM(Q31,Q33,Q35,Q37,Q39,Q41,Q43,Q45,Q47)</f>
        <v/>
      </c>
      <c r="R28" s="840">
        <f>SUM(R31,R33,R35,R37,R39,R41,R43,R45,R47)</f>
        <v/>
      </c>
      <c r="S28" s="840">
        <f>SUM(S31,S33,S35,S37,S39,S41,S43,S45,S47)</f>
        <v/>
      </c>
      <c r="T28" s="840">
        <f>SUM(T31,T33,T35,T37,T39,T41,T43,T45,T47)</f>
        <v/>
      </c>
      <c r="U28" s="841">
        <f>SUM(U31,U33,U35,U37,U39,U41,U43,U45,U47)</f>
        <v/>
      </c>
      <c r="V28" s="842">
        <f>SUM(V31,V33,V35,V37,V39,V41,V43,V45,V47)</f>
        <v/>
      </c>
      <c r="W28" s="840">
        <f>SUM(W31,W33,W35,W37,W39,W41,W43,W45,W47)</f>
        <v/>
      </c>
      <c r="X28" s="840">
        <f>SUM(X31,X33,X35,X37,X39,X41,X43,X45,X47)</f>
        <v/>
      </c>
      <c r="Y28" s="840">
        <f>SUM(Y31,Y33,Y35,Y37,Y39,Y41,Y43,Y45,Y47)</f>
        <v/>
      </c>
      <c r="Z28" s="840">
        <f>SUM(Z31,Z33,Z35,Z37,Z39,Z41,Z43,Z45,Z47)</f>
        <v/>
      </c>
      <c r="AA28" s="841">
        <f>SUM(AA31,AA33,AA35,AA37,AA39,AA41,AA43,AA45,AA47)</f>
        <v/>
      </c>
      <c r="AB28" s="843" t="n"/>
      <c r="AC28" s="844" t="n"/>
      <c r="AD28" s="844" t="n"/>
      <c r="AE28" s="844" t="n"/>
      <c r="AF28" s="844" t="n"/>
      <c r="AG28" s="844" t="n"/>
      <c r="AH28" s="845" t="n"/>
      <c r="AI28" s="843" t="n"/>
      <c r="AJ28" s="844" t="n"/>
      <c r="AK28" s="844" t="n"/>
      <c r="AL28" s="844" t="n"/>
      <c r="AM28" s="844" t="n"/>
      <c r="AN28" s="845" t="n"/>
      <c r="AO28" s="843" t="n"/>
      <c r="AP28" s="844" t="n"/>
      <c r="AQ28" s="844" t="n"/>
      <c r="AR28" s="844" t="n"/>
      <c r="AS28" s="844" t="n"/>
      <c r="AT28" s="845" t="n"/>
      <c r="AU28" s="843" t="n"/>
      <c r="AV28" s="844" t="n"/>
      <c r="AW28" s="844" t="n"/>
      <c r="AX28" s="844" t="n"/>
      <c r="AY28" s="844" t="n"/>
      <c r="AZ28" s="844" t="n"/>
      <c r="BA28" s="845" t="n"/>
      <c r="BB28" s="843" t="n"/>
      <c r="BC28" s="844" t="n"/>
      <c r="BD28" s="844" t="n"/>
      <c r="BE28" s="844" t="n"/>
      <c r="BF28" s="844" t="n"/>
      <c r="BG28" s="845" t="n"/>
      <c r="BH28" s="843" t="n"/>
      <c r="BI28" s="844" t="n"/>
      <c r="BJ28" s="844" t="n"/>
      <c r="BK28" s="844" t="n"/>
      <c r="BL28" s="844" t="n"/>
      <c r="BM28" s="845" t="n"/>
      <c r="BN28" s="843" t="n"/>
      <c r="BO28" s="844" t="n"/>
      <c r="BP28" s="844" t="n"/>
      <c r="BQ28" s="844" t="n"/>
      <c r="BR28" s="844" t="n"/>
      <c r="BS28" s="845" t="n"/>
      <c r="BT28" s="843" t="n"/>
      <c r="BU28" s="844" t="n"/>
      <c r="BV28" s="844" t="n"/>
      <c r="BW28" s="844" t="n"/>
      <c r="BX28" s="844" t="n"/>
      <c r="BY28" s="846" t="n"/>
      <c r="BZ28" s="847" t="n"/>
      <c r="CA28" s="847" t="n"/>
      <c r="CB28" s="847" t="n"/>
    </row>
    <row r="29" ht="16.5" customHeight="1" s="838">
      <c r="B29" s="765" t="n"/>
      <c r="C29" s="766" t="n"/>
      <c r="D29" s="20" t="inlineStr">
        <is>
          <t>실적</t>
        </is>
      </c>
      <c r="E29" s="848">
        <f>SUM(E32,E34,E36,E38,E40,E42,E44,E46,E48)</f>
        <v/>
      </c>
      <c r="F29" s="849">
        <f>SUM(F32,F34,F36,F38,F40,F42,F44,F46,F48)</f>
        <v/>
      </c>
      <c r="G29" s="849">
        <f>SUM(G32,G34,G36,G38,G40,G42,G44,G46,G48)</f>
        <v/>
      </c>
      <c r="H29" s="849">
        <f>SUM(H32,H34,H36,H38,H40,H42,H44,H46,H48)</f>
        <v/>
      </c>
      <c r="I29" s="849">
        <f>SUM(I32,I34,I36,I38,I40,I42,I44,I46,I48)</f>
        <v/>
      </c>
      <c r="J29" s="850">
        <f>SUM(J32,J34,J36,J38,J40,J42,J44,J46,J48)</f>
        <v/>
      </c>
      <c r="K29" s="851">
        <f>SUM(K32,K34,K36,K38,K40,K42,K44,K46,K48)</f>
        <v/>
      </c>
      <c r="L29" s="849">
        <f>SUM(L32,L34,L36,L38,L40,L42,L44,L46,L48)</f>
        <v/>
      </c>
      <c r="M29" s="849">
        <f>SUM(M32,M34,M36,M38,M40,M42,M44,M46,M48)</f>
        <v/>
      </c>
      <c r="N29" s="849">
        <f>SUM(N32,N34,N36,N38,N40,N42,N44,N46,N48)</f>
        <v/>
      </c>
      <c r="O29" s="850">
        <f>SUM(O32,O34,O36,O38,O40,O42,O44,O46,O48)</f>
        <v/>
      </c>
      <c r="P29" s="851">
        <f>SUM(P32,P34,P36,P38,P40,P42,P44,P46,P48)</f>
        <v/>
      </c>
      <c r="Q29" s="849">
        <f>SUM(Q32,Q34,Q36,Q38,Q40,Q42,Q44,Q46,Q48)</f>
        <v/>
      </c>
      <c r="R29" s="849">
        <f>SUM(R32,R34,R36,R38,R40,R42,R44,R46,R48)</f>
        <v/>
      </c>
      <c r="S29" s="849">
        <f>SUM(S32,S34,S36,S38,S40,S42,S44,S46,S48)</f>
        <v/>
      </c>
      <c r="T29" s="849">
        <f>SUM(T32,T34,T36,T38,T40,T42,T44,T46,T48)</f>
        <v/>
      </c>
      <c r="U29" s="850">
        <f>SUM(U32,U34,U36,U38,U40,U42,U44,U46,U48)</f>
        <v/>
      </c>
      <c r="V29" s="851">
        <f>SUM(V32,V34,V36,V38,V40,V42,V44,V46,V48)</f>
        <v/>
      </c>
      <c r="W29" s="849">
        <f>SUM(W32,W34,W36,W38,W40,W42,W44,W46,W48)</f>
        <v/>
      </c>
      <c r="X29" s="849">
        <f>SUM(X32,X34,X36,X38,X40,X42,X44,X46,X48)</f>
        <v/>
      </c>
      <c r="Y29" s="849">
        <f>SUM(Y32,Y34,Y36,Y38,Y40,Y42,Y44,Y46,Y48)</f>
        <v/>
      </c>
      <c r="Z29" s="849">
        <f>SUM(Z32,Z34,Z36,Z38,Z40,Z42,Z44,Z46,Z48)</f>
        <v/>
      </c>
      <c r="AA29" s="850">
        <f>SUM(AA32,AA34,AA36,AA38,AA40,AA42,AA44,AA46,AA48)</f>
        <v/>
      </c>
      <c r="AB29" s="852" t="n"/>
      <c r="AC29" s="853" t="n"/>
      <c r="AD29" s="853" t="n"/>
      <c r="AE29" s="853" t="n"/>
      <c r="AF29" s="853" t="n"/>
      <c r="AG29" s="853" t="n"/>
      <c r="AH29" s="854" t="n"/>
      <c r="AI29" s="852" t="n"/>
      <c r="AJ29" s="853" t="n"/>
      <c r="AK29" s="853" t="n"/>
      <c r="AL29" s="853" t="n"/>
      <c r="AM29" s="853" t="n"/>
      <c r="AN29" s="854" t="n"/>
      <c r="AO29" s="852" t="n"/>
      <c r="AP29" s="853" t="n"/>
      <c r="AQ29" s="853" t="n"/>
      <c r="AR29" s="853" t="n"/>
      <c r="AS29" s="853" t="n"/>
      <c r="AT29" s="854" t="n"/>
      <c r="AU29" s="855" t="n"/>
      <c r="AV29" s="853" t="n"/>
      <c r="AW29" s="853" t="n"/>
      <c r="AX29" s="853" t="n"/>
      <c r="AY29" s="853" t="n"/>
      <c r="AZ29" s="853" t="n"/>
      <c r="BA29" s="854" t="n"/>
      <c r="BB29" s="855" t="n"/>
      <c r="BC29" s="853" t="n"/>
      <c r="BD29" s="853" t="n"/>
      <c r="BE29" s="853" t="n"/>
      <c r="BF29" s="853" t="n"/>
      <c r="BG29" s="856" t="n"/>
      <c r="BH29" s="855" t="n"/>
      <c r="BI29" s="847" t="n"/>
      <c r="BJ29" s="847" t="n"/>
      <c r="BK29" s="847" t="n"/>
      <c r="BL29" s="847" t="n"/>
      <c r="BM29" s="856" t="n"/>
      <c r="BN29" s="855" t="n"/>
      <c r="BO29" s="847" t="n"/>
      <c r="BP29" s="847" t="n"/>
      <c r="BQ29" s="847" t="n"/>
      <c r="BR29" s="847" t="n"/>
      <c r="BS29" s="856" t="n"/>
      <c r="BT29" s="855" t="n"/>
      <c r="BU29" s="847" t="n"/>
      <c r="BV29" s="847" t="n"/>
      <c r="BW29" s="847" t="n"/>
      <c r="BX29" s="847" t="n"/>
      <c r="BY29" s="857" t="n"/>
      <c r="BZ29" s="847" t="n"/>
      <c r="CA29" s="847" t="n"/>
      <c r="CB29" s="847" t="n"/>
    </row>
    <row r="30" ht="16.5" customHeight="1" s="838">
      <c r="B30" s="767" t="n"/>
      <c r="C30" s="736" t="n"/>
      <c r="D30" s="31" t="inlineStr">
        <is>
          <t>달성율</t>
        </is>
      </c>
      <c r="E30" s="32">
        <f>E29/E28</f>
        <v/>
      </c>
      <c r="F30" s="33">
        <f>F29/F28</f>
        <v/>
      </c>
      <c r="G30" s="33">
        <f>G29/G28</f>
        <v/>
      </c>
      <c r="H30" s="33">
        <f>H29/H28</f>
        <v/>
      </c>
      <c r="I30" s="33">
        <f>I29/I28</f>
        <v/>
      </c>
      <c r="J30" s="34">
        <f>J29/J28</f>
        <v/>
      </c>
      <c r="K30" s="35">
        <f>K29/K28</f>
        <v/>
      </c>
      <c r="L30" s="33">
        <f>L29/L28</f>
        <v/>
      </c>
      <c r="M30" s="33">
        <f>M29/M28</f>
        <v/>
      </c>
      <c r="N30" s="33">
        <f>N29/N28</f>
        <v/>
      </c>
      <c r="O30" s="34">
        <f>O29/O28</f>
        <v/>
      </c>
      <c r="P30" s="35">
        <f>P29/P28</f>
        <v/>
      </c>
      <c r="Q30" s="33">
        <f>Q29/Q28</f>
        <v/>
      </c>
      <c r="R30" s="33">
        <f>R29/R28</f>
        <v/>
      </c>
      <c r="S30" s="33">
        <f>S29/S28</f>
        <v/>
      </c>
      <c r="T30" s="33">
        <f>T29/T28</f>
        <v/>
      </c>
      <c r="U30" s="34">
        <f>U29/U28</f>
        <v/>
      </c>
      <c r="V30" s="35">
        <f>V29/V28</f>
        <v/>
      </c>
      <c r="W30" s="33">
        <f>W29/W28</f>
        <v/>
      </c>
      <c r="X30" s="33">
        <f>X29/X28</f>
        <v/>
      </c>
      <c r="Y30" s="33">
        <f>Y29/Y28</f>
        <v/>
      </c>
      <c r="Z30" s="33">
        <f>Z29/Z28</f>
        <v/>
      </c>
      <c r="AA30" s="34">
        <f>AA29/AA28</f>
        <v/>
      </c>
      <c r="AB30" s="35" t="n"/>
      <c r="AC30" s="33" t="n"/>
      <c r="AD30" s="33" t="n"/>
      <c r="AE30" s="33" t="n"/>
      <c r="AF30" s="33" t="n"/>
      <c r="AG30" s="33" t="n"/>
      <c r="AH30" s="34" t="n"/>
      <c r="AI30" s="35" t="n"/>
      <c r="AJ30" s="33" t="n"/>
      <c r="AK30" s="33" t="n"/>
      <c r="AL30" s="33" t="n"/>
      <c r="AM30" s="33" t="n"/>
      <c r="AN30" s="34" t="n"/>
      <c r="AO30" s="35" t="n"/>
      <c r="AP30" s="33" t="n"/>
      <c r="AQ30" s="33" t="n"/>
      <c r="AR30" s="33" t="n"/>
      <c r="AS30" s="33" t="n"/>
      <c r="AT30" s="34" t="n"/>
      <c r="AU30" s="858" t="n"/>
      <c r="AV30" s="33" t="n"/>
      <c r="AW30" s="33" t="n"/>
      <c r="AX30" s="33" t="n"/>
      <c r="AY30" s="33" t="n"/>
      <c r="AZ30" s="33" t="n"/>
      <c r="BA30" s="34" t="n"/>
      <c r="BB30" s="858" t="n"/>
      <c r="BC30" s="33" t="n"/>
      <c r="BD30" s="33" t="n"/>
      <c r="BE30" s="33" t="n"/>
      <c r="BF30" s="33" t="n"/>
      <c r="BG30" s="859" t="n"/>
      <c r="BH30" s="858" t="n"/>
      <c r="BI30" s="860" t="n"/>
      <c r="BJ30" s="860" t="n"/>
      <c r="BK30" s="860" t="n"/>
      <c r="BL30" s="860" t="n"/>
      <c r="BM30" s="859" t="n"/>
      <c r="BN30" s="858" t="n"/>
      <c r="BO30" s="860" t="n"/>
      <c r="BP30" s="860" t="n"/>
      <c r="BQ30" s="860" t="n"/>
      <c r="BR30" s="860" t="n"/>
      <c r="BS30" s="859" t="n"/>
      <c r="BT30" s="858" t="n"/>
      <c r="BU30" s="860" t="n"/>
      <c r="BV30" s="860" t="n"/>
      <c r="BW30" s="860" t="n"/>
      <c r="BX30" s="860" t="n"/>
      <c r="BY30" s="861" t="n"/>
      <c r="BZ30" s="847" t="n"/>
      <c r="CA30" s="847" t="n"/>
      <c r="CB30" s="847" t="n"/>
    </row>
    <row r="31" ht="16.5" customHeight="1" s="838">
      <c r="B31" s="764" t="inlineStr">
        <is>
          <t>재료비</t>
        </is>
      </c>
      <c r="C31" s="768" t="inlineStr">
        <is>
          <t>시스템 반영 VI</t>
        </is>
      </c>
      <c r="D31" s="10" t="inlineStr">
        <is>
          <t>목표</t>
        </is>
      </c>
      <c r="E31" s="839">
        <f>재료비!G24</f>
        <v/>
      </c>
      <c r="F31" s="840">
        <f>재료비!H24</f>
        <v/>
      </c>
      <c r="G31" s="840">
        <f>재료비!I24</f>
        <v/>
      </c>
      <c r="H31" s="840">
        <f>재료비!J24</f>
        <v/>
      </c>
      <c r="I31" s="840">
        <f>재료비!K24</f>
        <v/>
      </c>
      <c r="J31" s="841">
        <f>재료비!L24</f>
        <v/>
      </c>
      <c r="K31" s="842">
        <f>재료비!M24</f>
        <v/>
      </c>
      <c r="L31" s="840">
        <f>재료비!N24</f>
        <v/>
      </c>
      <c r="M31" s="840">
        <f>재료비!O24</f>
        <v/>
      </c>
      <c r="N31" s="840">
        <f>재료비!P24</f>
        <v/>
      </c>
      <c r="O31" s="841">
        <f>재료비!Q24</f>
        <v/>
      </c>
      <c r="P31" s="842">
        <f>재료비!R24</f>
        <v/>
      </c>
      <c r="Q31" s="840">
        <f>재료비!S24</f>
        <v/>
      </c>
      <c r="R31" s="840">
        <f>재료비!T24</f>
        <v/>
      </c>
      <c r="S31" s="840">
        <f>재료비!U24</f>
        <v/>
      </c>
      <c r="T31" s="840">
        <f>재료비!V24</f>
        <v/>
      </c>
      <c r="U31" s="841">
        <f>재료비!W24</f>
        <v/>
      </c>
      <c r="V31" s="842">
        <f>재료비!X24</f>
        <v/>
      </c>
      <c r="W31" s="840">
        <f>재료비!Y24</f>
        <v/>
      </c>
      <c r="X31" s="840">
        <f>재료비!Z24</f>
        <v/>
      </c>
      <c r="Y31" s="840">
        <f>재료비!AA24</f>
        <v/>
      </c>
      <c r="Z31" s="840">
        <f>재료비!AB24</f>
        <v/>
      </c>
      <c r="AA31" s="841">
        <f>재료비!AC24</f>
        <v/>
      </c>
      <c r="AB31" s="862" t="n"/>
      <c r="AC31" s="863" t="n"/>
      <c r="AD31" s="863" t="n"/>
      <c r="AE31" s="863" t="n"/>
      <c r="AF31" s="863" t="n"/>
      <c r="AG31" s="863" t="n"/>
      <c r="AH31" s="864" t="n"/>
      <c r="AI31" s="862" t="n"/>
      <c r="AJ31" s="863" t="n"/>
      <c r="AK31" s="863" t="n"/>
      <c r="AL31" s="863" t="n"/>
      <c r="AM31" s="863" t="n"/>
      <c r="AN31" s="864" t="n"/>
      <c r="AO31" s="862" t="n"/>
      <c r="AP31" s="863" t="n"/>
      <c r="AQ31" s="863" t="n"/>
      <c r="AR31" s="863" t="n"/>
      <c r="AS31" s="863" t="n"/>
      <c r="AT31" s="864" t="n"/>
      <c r="AU31" s="862" t="n"/>
      <c r="AV31" s="863" t="n"/>
      <c r="AW31" s="863" t="n"/>
      <c r="AX31" s="863" t="n"/>
      <c r="AY31" s="863" t="n"/>
      <c r="AZ31" s="863" t="n"/>
      <c r="BA31" s="864" t="n"/>
      <c r="BB31" s="862" t="n"/>
      <c r="BC31" s="863" t="n"/>
      <c r="BD31" s="863" t="n"/>
      <c r="BE31" s="863" t="n"/>
      <c r="BF31" s="863" t="n"/>
      <c r="BG31" s="864" t="n"/>
      <c r="BH31" s="862" t="n"/>
      <c r="BI31" s="863" t="n"/>
      <c r="BJ31" s="863" t="n"/>
      <c r="BK31" s="863" t="n"/>
      <c r="BL31" s="863" t="n"/>
      <c r="BM31" s="864" t="n"/>
      <c r="BN31" s="862" t="n"/>
      <c r="BO31" s="863" t="n"/>
      <c r="BP31" s="863" t="n"/>
      <c r="BQ31" s="863" t="n"/>
      <c r="BR31" s="863" t="n"/>
      <c r="BS31" s="864" t="n"/>
      <c r="BT31" s="862" t="n"/>
      <c r="BU31" s="863" t="n"/>
      <c r="BV31" s="863" t="n"/>
      <c r="BW31" s="863" t="n"/>
      <c r="BX31" s="863" t="n"/>
      <c r="BY31" s="865" t="n"/>
      <c r="BZ31" s="866" t="n"/>
      <c r="CA31" s="866" t="n"/>
      <c r="CB31" s="866" t="n"/>
    </row>
    <row r="32" ht="16.5" customHeight="1" s="838">
      <c r="B32" s="756" t="n"/>
      <c r="C32" s="739" t="n"/>
      <c r="D32" s="31" t="inlineStr">
        <is>
          <t>실적</t>
        </is>
      </c>
      <c r="E32" s="867">
        <f>재료비!G25</f>
        <v/>
      </c>
      <c r="F32" s="868">
        <f>재료비!H25</f>
        <v/>
      </c>
      <c r="G32" s="868">
        <f>재료비!I25</f>
        <v/>
      </c>
      <c r="H32" s="868">
        <f>재료비!J25</f>
        <v/>
      </c>
      <c r="I32" s="868">
        <f>재료비!K25</f>
        <v/>
      </c>
      <c r="J32" s="869">
        <f>재료비!L25</f>
        <v/>
      </c>
      <c r="K32" s="870">
        <f>재료비!M25</f>
        <v/>
      </c>
      <c r="L32" s="868">
        <f>재료비!N25</f>
        <v/>
      </c>
      <c r="M32" s="868">
        <f>재료비!O25</f>
        <v/>
      </c>
      <c r="N32" s="868">
        <f>재료비!P25</f>
        <v/>
      </c>
      <c r="O32" s="869">
        <f>재료비!Q25</f>
        <v/>
      </c>
      <c r="P32" s="870">
        <f>재료비!R25</f>
        <v/>
      </c>
      <c r="Q32" s="868">
        <f>재료비!S25</f>
        <v/>
      </c>
      <c r="R32" s="868">
        <f>재료비!T25</f>
        <v/>
      </c>
      <c r="S32" s="868">
        <f>재료비!U25</f>
        <v/>
      </c>
      <c r="T32" s="868">
        <f>재료비!V25</f>
        <v/>
      </c>
      <c r="U32" s="869">
        <f>재료비!W25</f>
        <v/>
      </c>
      <c r="V32" s="870">
        <f>재료비!X25</f>
        <v/>
      </c>
      <c r="W32" s="868">
        <f>재료비!Y25</f>
        <v/>
      </c>
      <c r="X32" s="868">
        <f>재료비!Z25</f>
        <v/>
      </c>
      <c r="Y32" s="868">
        <f>재료비!AA25</f>
        <v/>
      </c>
      <c r="Z32" s="868">
        <f>재료비!AB25</f>
        <v/>
      </c>
      <c r="AA32" s="869">
        <f>재료비!AC25</f>
        <v/>
      </c>
      <c r="AB32" s="871" t="n"/>
      <c r="AC32" s="872" t="n"/>
      <c r="AD32" s="872" t="n"/>
      <c r="AE32" s="872" t="n"/>
      <c r="AF32" s="872" t="n"/>
      <c r="AG32" s="872" t="n"/>
      <c r="AH32" s="873" t="n"/>
      <c r="AI32" s="871" t="n"/>
      <c r="AJ32" s="872" t="n"/>
      <c r="AK32" s="872" t="n"/>
      <c r="AL32" s="872" t="n"/>
      <c r="AM32" s="872" t="n"/>
      <c r="AN32" s="873" t="n"/>
      <c r="AO32" s="871" t="n"/>
      <c r="AP32" s="872" t="n"/>
      <c r="AQ32" s="872" t="n"/>
      <c r="AR32" s="872" t="n"/>
      <c r="AS32" s="872" t="n"/>
      <c r="AT32" s="873" t="n"/>
      <c r="AU32" s="871" t="n"/>
      <c r="AV32" s="872" t="n"/>
      <c r="AW32" s="872" t="n"/>
      <c r="AX32" s="872" t="n"/>
      <c r="AY32" s="872" t="n"/>
      <c r="AZ32" s="872" t="n"/>
      <c r="BA32" s="873" t="n"/>
      <c r="BB32" s="871" t="n"/>
      <c r="BC32" s="872" t="n"/>
      <c r="BD32" s="872" t="n"/>
      <c r="BE32" s="872" t="n"/>
      <c r="BF32" s="872" t="n"/>
      <c r="BG32" s="873" t="n"/>
      <c r="BH32" s="871" t="n"/>
      <c r="BI32" s="872" t="n"/>
      <c r="BJ32" s="872" t="n"/>
      <c r="BK32" s="872" t="n"/>
      <c r="BL32" s="872" t="n"/>
      <c r="BM32" s="873" t="n"/>
      <c r="BN32" s="871" t="n"/>
      <c r="BO32" s="872" t="n"/>
      <c r="BP32" s="872" t="n"/>
      <c r="BQ32" s="872" t="n"/>
      <c r="BR32" s="872" t="n"/>
      <c r="BS32" s="873" t="n"/>
      <c r="BT32" s="871" t="n"/>
      <c r="BU32" s="872" t="n"/>
      <c r="BV32" s="872" t="n"/>
      <c r="BW32" s="872" t="n"/>
      <c r="BX32" s="872" t="n"/>
      <c r="BY32" s="874" t="n"/>
      <c r="BZ32" s="866" t="n"/>
      <c r="CA32" s="866" t="n"/>
      <c r="CB32" s="866" t="n"/>
    </row>
    <row r="33" ht="16.5" customHeight="1" s="838">
      <c r="B33" s="756" t="n"/>
      <c r="C33" s="774" t="inlineStr">
        <is>
          <t>시스템 미반영 VI</t>
        </is>
      </c>
      <c r="D33" s="10" t="inlineStr">
        <is>
          <t>목표</t>
        </is>
      </c>
      <c r="E33" s="839">
        <f>재료비!G36</f>
        <v/>
      </c>
      <c r="F33" s="840">
        <f>재료비!H36</f>
        <v/>
      </c>
      <c r="G33" s="840">
        <f>재료비!I36</f>
        <v/>
      </c>
      <c r="H33" s="840">
        <f>재료비!J36</f>
        <v/>
      </c>
      <c r="I33" s="840">
        <f>재료비!K36</f>
        <v/>
      </c>
      <c r="J33" s="841">
        <f>재료비!L36</f>
        <v/>
      </c>
      <c r="K33" s="842">
        <f>재료비!M36</f>
        <v/>
      </c>
      <c r="L33" s="840">
        <f>재료비!N36</f>
        <v/>
      </c>
      <c r="M33" s="840">
        <f>재료비!O36</f>
        <v/>
      </c>
      <c r="N33" s="840">
        <f>재료비!P36</f>
        <v/>
      </c>
      <c r="O33" s="841">
        <f>재료비!Q36</f>
        <v/>
      </c>
      <c r="P33" s="842">
        <f>재료비!R36</f>
        <v/>
      </c>
      <c r="Q33" s="840">
        <f>재료비!S36</f>
        <v/>
      </c>
      <c r="R33" s="840">
        <f>재료비!T36</f>
        <v/>
      </c>
      <c r="S33" s="840">
        <f>재료비!U36</f>
        <v/>
      </c>
      <c r="T33" s="840">
        <f>재료비!V36</f>
        <v/>
      </c>
      <c r="U33" s="841">
        <f>재료비!W36</f>
        <v/>
      </c>
      <c r="V33" s="842">
        <f>재료비!X36</f>
        <v/>
      </c>
      <c r="W33" s="840">
        <f>재료비!Y36</f>
        <v/>
      </c>
      <c r="X33" s="840">
        <f>재료비!Z36</f>
        <v/>
      </c>
      <c r="Y33" s="840">
        <f>재료비!AA36</f>
        <v/>
      </c>
      <c r="Z33" s="840">
        <f>재료비!AB36</f>
        <v/>
      </c>
      <c r="AA33" s="841">
        <f>재료비!AC36</f>
        <v/>
      </c>
      <c r="AB33" s="862" t="n"/>
      <c r="AC33" s="863" t="n"/>
      <c r="AD33" s="863" t="n"/>
      <c r="AE33" s="863" t="n"/>
      <c r="AF33" s="863" t="n"/>
      <c r="AG33" s="863" t="n"/>
      <c r="AH33" s="864" t="n"/>
      <c r="AI33" s="862" t="n"/>
      <c r="AJ33" s="863" t="n"/>
      <c r="AK33" s="863" t="n"/>
      <c r="AL33" s="863" t="n"/>
      <c r="AM33" s="863" t="n"/>
      <c r="AN33" s="864" t="n"/>
      <c r="AO33" s="862" t="n"/>
      <c r="AP33" s="863" t="n"/>
      <c r="AQ33" s="863" t="n"/>
      <c r="AR33" s="863" t="n"/>
      <c r="AS33" s="863" t="n"/>
      <c r="AT33" s="864" t="n"/>
      <c r="AU33" s="862" t="n"/>
      <c r="AV33" s="863" t="n"/>
      <c r="AW33" s="863" t="n"/>
      <c r="AX33" s="863" t="n"/>
      <c r="AY33" s="863" t="n"/>
      <c r="AZ33" s="863" t="n"/>
      <c r="BA33" s="864" t="n"/>
      <c r="BB33" s="862" t="n"/>
      <c r="BC33" s="863" t="n"/>
      <c r="BD33" s="863" t="n"/>
      <c r="BE33" s="863" t="n"/>
      <c r="BF33" s="863" t="n"/>
      <c r="BG33" s="864" t="n"/>
      <c r="BH33" s="862" t="n"/>
      <c r="BI33" s="863" t="n"/>
      <c r="BJ33" s="863" t="n"/>
      <c r="BK33" s="863" t="n"/>
      <c r="BL33" s="863" t="n"/>
      <c r="BM33" s="864" t="n"/>
      <c r="BN33" s="862" t="n"/>
      <c r="BO33" s="863" t="n"/>
      <c r="BP33" s="863" t="n"/>
      <c r="BQ33" s="863" t="n"/>
      <c r="BR33" s="863" t="n"/>
      <c r="BS33" s="864" t="n"/>
      <c r="BT33" s="862" t="n"/>
      <c r="BU33" s="863" t="n"/>
      <c r="BV33" s="863" t="n"/>
      <c r="BW33" s="863" t="n"/>
      <c r="BX33" s="863" t="n"/>
      <c r="BY33" s="865" t="n"/>
      <c r="BZ33" s="866" t="n"/>
      <c r="CA33" s="866" t="n"/>
      <c r="CB33" s="866" t="n"/>
    </row>
    <row r="34" ht="16.5" customHeight="1" s="838">
      <c r="B34" s="770" t="n"/>
      <c r="C34" s="739" t="n"/>
      <c r="D34" s="31" t="inlineStr">
        <is>
          <t>실적</t>
        </is>
      </c>
      <c r="E34" s="867">
        <f>재료비!G37</f>
        <v/>
      </c>
      <c r="F34" s="868">
        <f>재료비!H37</f>
        <v/>
      </c>
      <c r="G34" s="868">
        <f>재료비!I37</f>
        <v/>
      </c>
      <c r="H34" s="868">
        <f>재료비!J37</f>
        <v/>
      </c>
      <c r="I34" s="868">
        <f>재료비!K37</f>
        <v/>
      </c>
      <c r="J34" s="869">
        <f>재료비!L37</f>
        <v/>
      </c>
      <c r="K34" s="870">
        <f>재료비!M37</f>
        <v/>
      </c>
      <c r="L34" s="868">
        <f>재료비!N37</f>
        <v/>
      </c>
      <c r="M34" s="868">
        <f>재료비!O37</f>
        <v/>
      </c>
      <c r="N34" s="868">
        <f>재료비!P37</f>
        <v/>
      </c>
      <c r="O34" s="869">
        <f>재료비!Q37</f>
        <v/>
      </c>
      <c r="P34" s="870">
        <f>재료비!R37</f>
        <v/>
      </c>
      <c r="Q34" s="868">
        <f>재료비!S37</f>
        <v/>
      </c>
      <c r="R34" s="868">
        <f>재료비!T37</f>
        <v/>
      </c>
      <c r="S34" s="868">
        <f>재료비!U37</f>
        <v/>
      </c>
      <c r="T34" s="868">
        <f>재료비!V37</f>
        <v/>
      </c>
      <c r="U34" s="869">
        <f>재료비!W37</f>
        <v/>
      </c>
      <c r="V34" s="870">
        <f>재료비!X37</f>
        <v/>
      </c>
      <c r="W34" s="868">
        <f>재료비!Y37</f>
        <v/>
      </c>
      <c r="X34" s="868">
        <f>재료비!Z37</f>
        <v/>
      </c>
      <c r="Y34" s="868">
        <f>재료비!AA37</f>
        <v/>
      </c>
      <c r="Z34" s="868">
        <f>재료비!AB37</f>
        <v/>
      </c>
      <c r="AA34" s="869">
        <f>재료비!AC37</f>
        <v/>
      </c>
      <c r="AB34" s="871" t="n"/>
      <c r="AC34" s="872" t="n"/>
      <c r="AD34" s="872" t="n"/>
      <c r="AE34" s="872" t="n"/>
      <c r="AF34" s="872" t="n"/>
      <c r="AG34" s="872" t="n"/>
      <c r="AH34" s="873" t="n"/>
      <c r="AI34" s="871" t="n"/>
      <c r="AJ34" s="872" t="n"/>
      <c r="AK34" s="872" t="n"/>
      <c r="AL34" s="872" t="n"/>
      <c r="AM34" s="872" t="n"/>
      <c r="AN34" s="873" t="n"/>
      <c r="AO34" s="871" t="n"/>
      <c r="AP34" s="872" t="n"/>
      <c r="AQ34" s="872" t="n"/>
      <c r="AR34" s="872" t="n"/>
      <c r="AS34" s="872" t="n"/>
      <c r="AT34" s="873" t="n"/>
      <c r="AU34" s="871" t="n"/>
      <c r="AV34" s="872" t="n"/>
      <c r="AW34" s="872" t="n"/>
      <c r="AX34" s="872" t="n"/>
      <c r="AY34" s="872" t="n"/>
      <c r="AZ34" s="872" t="n"/>
      <c r="BA34" s="873" t="n"/>
      <c r="BB34" s="871" t="n"/>
      <c r="BC34" s="872" t="n"/>
      <c r="BD34" s="872" t="n"/>
      <c r="BE34" s="872" t="n"/>
      <c r="BF34" s="872" t="n"/>
      <c r="BG34" s="873" t="n"/>
      <c r="BH34" s="871" t="n"/>
      <c r="BI34" s="872" t="n"/>
      <c r="BJ34" s="872" t="n"/>
      <c r="BK34" s="872" t="n"/>
      <c r="BL34" s="872" t="n"/>
      <c r="BM34" s="873" t="n"/>
      <c r="BN34" s="871" t="n"/>
      <c r="BO34" s="872" t="n"/>
      <c r="BP34" s="872" t="n"/>
      <c r="BQ34" s="872" t="n"/>
      <c r="BR34" s="872" t="n"/>
      <c r="BS34" s="873" t="n"/>
      <c r="BT34" s="871" t="n"/>
      <c r="BU34" s="872" t="n"/>
      <c r="BV34" s="872" t="n"/>
      <c r="BW34" s="872" t="n"/>
      <c r="BX34" s="872" t="n"/>
      <c r="BY34" s="874" t="n"/>
      <c r="BZ34" s="866" t="n"/>
      <c r="CA34" s="866" t="n"/>
      <c r="CB34" s="866" t="n"/>
    </row>
    <row r="35" ht="16.5" customHeight="1" s="838">
      <c r="B35" s="764" t="inlineStr">
        <is>
          <t>가공비</t>
        </is>
      </c>
      <c r="C35" s="734" t="n"/>
      <c r="D35" s="10" t="inlineStr">
        <is>
          <t>목표</t>
        </is>
      </c>
      <c r="E35" s="875">
        <f>가공비!G6</f>
        <v/>
      </c>
      <c r="F35" s="863">
        <f>가공비!H6</f>
        <v/>
      </c>
      <c r="G35" s="844">
        <f>가공비!I6</f>
        <v/>
      </c>
      <c r="H35" s="844">
        <f>가공비!J6</f>
        <v/>
      </c>
      <c r="I35" s="844">
        <f>가공비!K6</f>
        <v/>
      </c>
      <c r="J35" s="845">
        <f>가공비!L6</f>
        <v/>
      </c>
      <c r="K35" s="862">
        <f>가공비!M6</f>
        <v/>
      </c>
      <c r="L35" s="863">
        <f>가공비!N6</f>
        <v/>
      </c>
      <c r="M35" s="863">
        <f>가공비!O6</f>
        <v/>
      </c>
      <c r="N35" s="863">
        <f>가공비!P6</f>
        <v/>
      </c>
      <c r="O35" s="864">
        <f>가공비!Q6</f>
        <v/>
      </c>
      <c r="P35" s="862">
        <f>가공비!R6</f>
        <v/>
      </c>
      <c r="Q35" s="863">
        <f>가공비!S6</f>
        <v/>
      </c>
      <c r="R35" s="863">
        <f>가공비!T6</f>
        <v/>
      </c>
      <c r="S35" s="863">
        <f>가공비!U6</f>
        <v/>
      </c>
      <c r="T35" s="863">
        <f>가공비!V6</f>
        <v/>
      </c>
      <c r="U35" s="864">
        <f>가공비!W6</f>
        <v/>
      </c>
      <c r="V35" s="862">
        <f>가공비!X6</f>
        <v/>
      </c>
      <c r="W35" s="863">
        <f>가공비!Y6</f>
        <v/>
      </c>
      <c r="X35" s="863">
        <f>가공비!Z6</f>
        <v/>
      </c>
      <c r="Y35" s="863">
        <f>가공비!AA6</f>
        <v/>
      </c>
      <c r="Z35" s="863">
        <f>가공비!AB6</f>
        <v/>
      </c>
      <c r="AA35" s="864">
        <f>가공비!AC6</f>
        <v/>
      </c>
      <c r="AB35" s="862" t="n"/>
      <c r="AC35" s="863" t="n"/>
      <c r="AD35" s="863" t="n"/>
      <c r="AE35" s="863" t="n"/>
      <c r="AF35" s="863" t="n"/>
      <c r="AG35" s="863" t="n"/>
      <c r="AH35" s="864" t="n"/>
      <c r="AI35" s="862" t="n"/>
      <c r="AJ35" s="863" t="n"/>
      <c r="AK35" s="863" t="n"/>
      <c r="AL35" s="863" t="n"/>
      <c r="AM35" s="863" t="n"/>
      <c r="AN35" s="864" t="n"/>
      <c r="AO35" s="862" t="n"/>
      <c r="AP35" s="863" t="n"/>
      <c r="AQ35" s="863" t="n"/>
      <c r="AR35" s="863" t="n"/>
      <c r="AS35" s="863" t="n"/>
      <c r="AT35" s="864" t="n"/>
      <c r="AU35" s="862" t="n"/>
      <c r="AV35" s="863" t="n"/>
      <c r="AW35" s="863" t="n"/>
      <c r="AX35" s="863" t="n"/>
      <c r="AY35" s="863" t="n"/>
      <c r="AZ35" s="863" t="n"/>
      <c r="BA35" s="864" t="n"/>
      <c r="BB35" s="862" t="n"/>
      <c r="BC35" s="863" t="n"/>
      <c r="BD35" s="863" t="n"/>
      <c r="BE35" s="863" t="n"/>
      <c r="BF35" s="863" t="n"/>
      <c r="BG35" s="864" t="n"/>
      <c r="BH35" s="862" t="n"/>
      <c r="BI35" s="863" t="n"/>
      <c r="BJ35" s="863" t="n"/>
      <c r="BK35" s="863" t="n"/>
      <c r="BL35" s="863" t="n"/>
      <c r="BM35" s="864" t="n"/>
      <c r="BN35" s="862" t="n"/>
      <c r="BO35" s="863" t="n"/>
      <c r="BP35" s="863" t="n"/>
      <c r="BQ35" s="863" t="n"/>
      <c r="BR35" s="863" t="n"/>
      <c r="BS35" s="864" t="n"/>
      <c r="BT35" s="862" t="n"/>
      <c r="BU35" s="863" t="n"/>
      <c r="BV35" s="863" t="n"/>
      <c r="BW35" s="863" t="n"/>
      <c r="BX35" s="863" t="n"/>
      <c r="BY35" s="865" t="n"/>
      <c r="BZ35" s="866" t="n"/>
      <c r="CA35" s="866" t="n"/>
      <c r="CB35" s="866" t="n"/>
    </row>
    <row r="36" ht="16.5" customHeight="1" s="838">
      <c r="B36" s="767" t="n"/>
      <c r="C36" s="736" t="n"/>
      <c r="D36" s="31" t="inlineStr">
        <is>
          <t>실적</t>
        </is>
      </c>
      <c r="E36" s="876">
        <f>가공비!G7</f>
        <v/>
      </c>
      <c r="F36" s="872">
        <f>가공비!H7</f>
        <v/>
      </c>
      <c r="G36" s="872">
        <f>가공비!I7</f>
        <v/>
      </c>
      <c r="H36" s="872">
        <f>가공비!J7</f>
        <v/>
      </c>
      <c r="I36" s="872">
        <f>가공비!K7</f>
        <v/>
      </c>
      <c r="J36" s="873">
        <f>가공비!L7</f>
        <v/>
      </c>
      <c r="K36" s="871">
        <f>가공비!M7</f>
        <v/>
      </c>
      <c r="L36" s="872">
        <f>가공비!N7</f>
        <v/>
      </c>
      <c r="M36" s="872">
        <f>가공비!O7</f>
        <v/>
      </c>
      <c r="N36" s="872">
        <f>가공비!P7</f>
        <v/>
      </c>
      <c r="O36" s="873">
        <f>가공비!Q7</f>
        <v/>
      </c>
      <c r="P36" s="871">
        <f>가공비!R7</f>
        <v/>
      </c>
      <c r="Q36" s="872">
        <f>가공비!S7</f>
        <v/>
      </c>
      <c r="R36" s="872">
        <f>가공비!T7</f>
        <v/>
      </c>
      <c r="S36" s="872">
        <f>가공비!U7</f>
        <v/>
      </c>
      <c r="T36" s="872">
        <f>가공비!V7</f>
        <v/>
      </c>
      <c r="U36" s="873">
        <f>가공비!W7</f>
        <v/>
      </c>
      <c r="V36" s="871">
        <f>가공비!X7</f>
        <v/>
      </c>
      <c r="W36" s="872">
        <f>가공비!Y7</f>
        <v/>
      </c>
      <c r="X36" s="872">
        <f>가공비!Z7</f>
        <v/>
      </c>
      <c r="Y36" s="872">
        <f>가공비!AA7</f>
        <v/>
      </c>
      <c r="Z36" s="872">
        <f>가공비!AB7</f>
        <v/>
      </c>
      <c r="AA36" s="873">
        <f>가공비!AC7</f>
        <v/>
      </c>
      <c r="AB36" s="871" t="n"/>
      <c r="AC36" s="872" t="n"/>
      <c r="AD36" s="872" t="n"/>
      <c r="AE36" s="872" t="n"/>
      <c r="AF36" s="872" t="n"/>
      <c r="AG36" s="872" t="n"/>
      <c r="AH36" s="873" t="n"/>
      <c r="AI36" s="871" t="n"/>
      <c r="AJ36" s="872" t="n"/>
      <c r="AK36" s="872" t="n"/>
      <c r="AL36" s="872" t="n"/>
      <c r="AM36" s="872" t="n"/>
      <c r="AN36" s="873" t="n"/>
      <c r="AO36" s="871" t="n"/>
      <c r="AP36" s="872" t="n"/>
      <c r="AQ36" s="872" t="n"/>
      <c r="AR36" s="872" t="n"/>
      <c r="AS36" s="872" t="n"/>
      <c r="AT36" s="873" t="n"/>
      <c r="AU36" s="871" t="n"/>
      <c r="AV36" s="872" t="n"/>
      <c r="AW36" s="872" t="n"/>
      <c r="AX36" s="872" t="n"/>
      <c r="AY36" s="872" t="n"/>
      <c r="AZ36" s="872" t="n"/>
      <c r="BA36" s="873" t="n"/>
      <c r="BB36" s="871" t="n"/>
      <c r="BC36" s="872" t="n"/>
      <c r="BD36" s="872" t="n"/>
      <c r="BE36" s="872" t="n"/>
      <c r="BF36" s="872" t="n"/>
      <c r="BG36" s="873" t="n"/>
      <c r="BH36" s="871" t="n"/>
      <c r="BI36" s="872" t="n"/>
      <c r="BJ36" s="872" t="n"/>
      <c r="BK36" s="872" t="n"/>
      <c r="BL36" s="872" t="n"/>
      <c r="BM36" s="873" t="n"/>
      <c r="BN36" s="871" t="n"/>
      <c r="BO36" s="872" t="n"/>
      <c r="BP36" s="872" t="n"/>
      <c r="BQ36" s="872" t="n"/>
      <c r="BR36" s="872" t="n"/>
      <c r="BS36" s="873" t="n"/>
      <c r="BT36" s="871" t="n"/>
      <c r="BU36" s="872" t="n"/>
      <c r="BV36" s="872" t="n"/>
      <c r="BW36" s="872" t="n"/>
      <c r="BX36" s="872" t="n"/>
      <c r="BY36" s="874" t="n"/>
      <c r="BZ36" s="866" t="n"/>
      <c r="CA36" s="866" t="n"/>
      <c r="CB36" s="866" t="n"/>
    </row>
    <row r="37" ht="16.5" customHeight="1" s="838">
      <c r="B37" s="764" t="inlineStr">
        <is>
          <t>물류비</t>
        </is>
      </c>
      <c r="C37" s="734" t="n"/>
      <c r="D37" s="10" t="inlineStr">
        <is>
          <t>목표</t>
        </is>
      </c>
      <c r="E37" s="839">
        <f>물류비!E9</f>
        <v/>
      </c>
      <c r="F37" s="840">
        <f>물류비!F9</f>
        <v/>
      </c>
      <c r="G37" s="840">
        <f>물류비!G9</f>
        <v/>
      </c>
      <c r="H37" s="840">
        <f>물류비!H9</f>
        <v/>
      </c>
      <c r="I37" s="840">
        <f>물류비!I9</f>
        <v/>
      </c>
      <c r="J37" s="841">
        <f>물류비!J9</f>
        <v/>
      </c>
      <c r="K37" s="842">
        <f>물류비!K9</f>
        <v/>
      </c>
      <c r="L37" s="840">
        <f>물류비!L9</f>
        <v/>
      </c>
      <c r="M37" s="840">
        <f>물류비!M9</f>
        <v/>
      </c>
      <c r="N37" s="840">
        <f>물류비!N9</f>
        <v/>
      </c>
      <c r="O37" s="841">
        <f>물류비!O9</f>
        <v/>
      </c>
      <c r="P37" s="842">
        <f>물류비!P9</f>
        <v/>
      </c>
      <c r="Q37" s="840">
        <f>물류비!Q9</f>
        <v/>
      </c>
      <c r="R37" s="840">
        <f>물류비!R9</f>
        <v/>
      </c>
      <c r="S37" s="840">
        <f>물류비!S9</f>
        <v/>
      </c>
      <c r="T37" s="840">
        <f>물류비!T9</f>
        <v/>
      </c>
      <c r="U37" s="841">
        <f>물류비!U9</f>
        <v/>
      </c>
      <c r="V37" s="842">
        <f>물류비!V9</f>
        <v/>
      </c>
      <c r="W37" s="840">
        <f>물류비!W9</f>
        <v/>
      </c>
      <c r="X37" s="840">
        <f>물류비!X9</f>
        <v/>
      </c>
      <c r="Y37" s="840">
        <f>물류비!Y9</f>
        <v/>
      </c>
      <c r="Z37" s="840">
        <f>물류비!Z9</f>
        <v/>
      </c>
      <c r="AA37" s="841">
        <f>물류비!AA9</f>
        <v/>
      </c>
      <c r="AB37" s="862" t="n"/>
      <c r="AC37" s="863" t="n"/>
      <c r="AD37" s="863" t="n"/>
      <c r="AE37" s="863" t="n"/>
      <c r="AF37" s="863" t="n"/>
      <c r="AG37" s="863" t="n"/>
      <c r="AH37" s="864" t="n"/>
      <c r="AI37" s="862" t="n"/>
      <c r="AJ37" s="863" t="n"/>
      <c r="AK37" s="863" t="n"/>
      <c r="AL37" s="863" t="n"/>
      <c r="AM37" s="863" t="n"/>
      <c r="AN37" s="864" t="n"/>
      <c r="AO37" s="862" t="n"/>
      <c r="AP37" s="863" t="n"/>
      <c r="AQ37" s="863" t="n"/>
      <c r="AR37" s="863" t="n"/>
      <c r="AS37" s="863" t="n"/>
      <c r="AT37" s="864" t="n"/>
      <c r="AU37" s="862" t="n"/>
      <c r="AV37" s="863" t="n"/>
      <c r="AW37" s="863" t="n"/>
      <c r="AX37" s="863" t="n"/>
      <c r="AY37" s="863" t="n"/>
      <c r="AZ37" s="863" t="n"/>
      <c r="BA37" s="864" t="n"/>
      <c r="BB37" s="862" t="n"/>
      <c r="BC37" s="863" t="n"/>
      <c r="BD37" s="863" t="n"/>
      <c r="BE37" s="863" t="n"/>
      <c r="BF37" s="863" t="n"/>
      <c r="BG37" s="864" t="n"/>
      <c r="BH37" s="862" t="n"/>
      <c r="BI37" s="863" t="n"/>
      <c r="BJ37" s="863" t="n"/>
      <c r="BK37" s="863" t="n"/>
      <c r="BL37" s="863" t="n"/>
      <c r="BM37" s="864" t="n"/>
      <c r="BN37" s="862" t="n"/>
      <c r="BO37" s="863" t="n"/>
      <c r="BP37" s="863" t="n"/>
      <c r="BQ37" s="863" t="n"/>
      <c r="BR37" s="863" t="n"/>
      <c r="BS37" s="864" t="n"/>
      <c r="BT37" s="862" t="n"/>
      <c r="BU37" s="863" t="n"/>
      <c r="BV37" s="863" t="n"/>
      <c r="BW37" s="863" t="n"/>
      <c r="BX37" s="863" t="n"/>
      <c r="BY37" s="865" t="n"/>
      <c r="BZ37" s="866" t="n"/>
      <c r="CA37" s="866" t="n"/>
      <c r="CB37" s="866" t="n"/>
    </row>
    <row r="38" ht="16.5" customHeight="1" s="838">
      <c r="B38" s="767" t="n"/>
      <c r="C38" s="736" t="n"/>
      <c r="D38" s="31" t="inlineStr">
        <is>
          <t>실적</t>
        </is>
      </c>
      <c r="E38" s="867">
        <f>물류비!E10</f>
        <v/>
      </c>
      <c r="F38" s="868">
        <f>물류비!F10</f>
        <v/>
      </c>
      <c r="G38" s="868">
        <f>물류비!G10</f>
        <v/>
      </c>
      <c r="H38" s="868">
        <f>물류비!H10</f>
        <v/>
      </c>
      <c r="I38" s="868">
        <f>물류비!I10</f>
        <v/>
      </c>
      <c r="J38" s="869">
        <f>물류비!J10</f>
        <v/>
      </c>
      <c r="K38" s="870">
        <f>물류비!K10</f>
        <v/>
      </c>
      <c r="L38" s="868">
        <f>물류비!L10</f>
        <v/>
      </c>
      <c r="M38" s="868">
        <f>물류비!M10</f>
        <v/>
      </c>
      <c r="N38" s="868">
        <f>물류비!N10</f>
        <v/>
      </c>
      <c r="O38" s="869">
        <f>물류비!O10</f>
        <v/>
      </c>
      <c r="P38" s="870">
        <f>물류비!P10</f>
        <v/>
      </c>
      <c r="Q38" s="868">
        <f>물류비!Q10</f>
        <v/>
      </c>
      <c r="R38" s="868">
        <f>물류비!R10</f>
        <v/>
      </c>
      <c r="S38" s="868">
        <f>물류비!S10</f>
        <v/>
      </c>
      <c r="T38" s="868">
        <f>물류비!T10</f>
        <v/>
      </c>
      <c r="U38" s="869">
        <f>물류비!U10</f>
        <v/>
      </c>
      <c r="V38" s="870">
        <f>물류비!V10</f>
        <v/>
      </c>
      <c r="W38" s="868">
        <f>물류비!W10</f>
        <v/>
      </c>
      <c r="X38" s="868">
        <f>물류비!X10</f>
        <v/>
      </c>
      <c r="Y38" s="868">
        <f>물류비!Y10</f>
        <v/>
      </c>
      <c r="Z38" s="868">
        <f>물류비!Z10</f>
        <v/>
      </c>
      <c r="AA38" s="869">
        <f>물류비!AA10</f>
        <v/>
      </c>
      <c r="AB38" s="871" t="n"/>
      <c r="AC38" s="872" t="n"/>
      <c r="AD38" s="872" t="n"/>
      <c r="AE38" s="872" t="n"/>
      <c r="AF38" s="872" t="n"/>
      <c r="AG38" s="872" t="n"/>
      <c r="AH38" s="873" t="n"/>
      <c r="AI38" s="871" t="n"/>
      <c r="AJ38" s="872" t="n"/>
      <c r="AK38" s="872" t="n"/>
      <c r="AL38" s="872" t="n"/>
      <c r="AM38" s="872" t="n"/>
      <c r="AN38" s="873" t="n"/>
      <c r="AO38" s="871" t="n"/>
      <c r="AP38" s="872" t="n"/>
      <c r="AQ38" s="872" t="n"/>
      <c r="AR38" s="872" t="n"/>
      <c r="AS38" s="872" t="n"/>
      <c r="AT38" s="873" t="n"/>
      <c r="AU38" s="871" t="n"/>
      <c r="AV38" s="872" t="n"/>
      <c r="AW38" s="872" t="n"/>
      <c r="AX38" s="872" t="n"/>
      <c r="AY38" s="872" t="n"/>
      <c r="AZ38" s="872" t="n"/>
      <c r="BA38" s="873" t="n"/>
      <c r="BB38" s="871" t="n"/>
      <c r="BC38" s="872" t="n"/>
      <c r="BD38" s="872" t="n"/>
      <c r="BE38" s="872" t="n"/>
      <c r="BF38" s="872" t="n"/>
      <c r="BG38" s="873" t="n"/>
      <c r="BH38" s="871" t="n"/>
      <c r="BI38" s="872" t="n"/>
      <c r="BJ38" s="872" t="n"/>
      <c r="BK38" s="872" t="n"/>
      <c r="BL38" s="872" t="n"/>
      <c r="BM38" s="873" t="n"/>
      <c r="BN38" s="871" t="n"/>
      <c r="BO38" s="872" t="n"/>
      <c r="BP38" s="872" t="n"/>
      <c r="BQ38" s="872" t="n"/>
      <c r="BR38" s="872" t="n"/>
      <c r="BS38" s="873" t="n"/>
      <c r="BT38" s="871" t="n"/>
      <c r="BU38" s="872" t="n"/>
      <c r="BV38" s="872" t="n"/>
      <c r="BW38" s="872" t="n"/>
      <c r="BX38" s="872" t="n"/>
      <c r="BY38" s="874" t="n"/>
      <c r="BZ38" s="866" t="n"/>
      <c r="CA38" s="866" t="n"/>
      <c r="CB38" s="866" t="n"/>
    </row>
    <row r="39" ht="16.5" customHeight="1" s="838">
      <c r="B39" s="764" t="inlineStr">
        <is>
          <t>투자비</t>
        </is>
      </c>
      <c r="C39" s="768" t="inlineStr">
        <is>
          <t>설비</t>
        </is>
      </c>
      <c r="D39" s="10" t="inlineStr">
        <is>
          <t>목표</t>
        </is>
      </c>
      <c r="E39" s="839">
        <f>투자비!F8</f>
        <v/>
      </c>
      <c r="F39" s="840">
        <f>투자비!G8</f>
        <v/>
      </c>
      <c r="G39" s="840">
        <f>투자비!H8</f>
        <v/>
      </c>
      <c r="H39" s="840">
        <f>투자비!I8</f>
        <v/>
      </c>
      <c r="I39" s="840">
        <f>투자비!J8</f>
        <v/>
      </c>
      <c r="J39" s="841">
        <f>투자비!K8</f>
        <v/>
      </c>
      <c r="K39" s="842">
        <f>투자비!L8</f>
        <v/>
      </c>
      <c r="L39" s="840">
        <f>투자비!M8</f>
        <v/>
      </c>
      <c r="M39" s="840">
        <f>투자비!N8</f>
        <v/>
      </c>
      <c r="N39" s="840">
        <f>투자비!O8</f>
        <v/>
      </c>
      <c r="O39" s="841">
        <f>투자비!P8</f>
        <v/>
      </c>
      <c r="P39" s="842">
        <f>투자비!Q8</f>
        <v/>
      </c>
      <c r="Q39" s="840">
        <f>투자비!R8</f>
        <v/>
      </c>
      <c r="R39" s="840">
        <f>투자비!S8</f>
        <v/>
      </c>
      <c r="S39" s="840">
        <f>투자비!T8</f>
        <v/>
      </c>
      <c r="T39" s="840">
        <f>투자비!U8</f>
        <v/>
      </c>
      <c r="U39" s="841">
        <f>투자비!V8</f>
        <v/>
      </c>
      <c r="V39" s="842">
        <f>투자비!W8</f>
        <v/>
      </c>
      <c r="W39" s="840">
        <f>투자비!X8</f>
        <v/>
      </c>
      <c r="X39" s="840">
        <f>투자비!Y8</f>
        <v/>
      </c>
      <c r="Y39" s="840">
        <f>투자비!Z8</f>
        <v/>
      </c>
      <c r="Z39" s="840">
        <f>투자비!AA8</f>
        <v/>
      </c>
      <c r="AA39" s="841">
        <f>투자비!AB8</f>
        <v/>
      </c>
      <c r="AB39" s="862" t="n"/>
      <c r="AC39" s="863" t="n"/>
      <c r="AD39" s="863" t="n"/>
      <c r="AE39" s="863" t="n"/>
      <c r="AF39" s="863" t="n"/>
      <c r="AG39" s="863" t="n"/>
      <c r="AH39" s="864" t="n"/>
      <c r="AI39" s="862" t="n"/>
      <c r="AJ39" s="863" t="n"/>
      <c r="AK39" s="863" t="n"/>
      <c r="AL39" s="863" t="n"/>
      <c r="AM39" s="863" t="n"/>
      <c r="AN39" s="864" t="n"/>
      <c r="AO39" s="862" t="n"/>
      <c r="AP39" s="863" t="n"/>
      <c r="AQ39" s="863" t="n"/>
      <c r="AR39" s="863" t="n"/>
      <c r="AS39" s="863" t="n"/>
      <c r="AT39" s="864" t="n"/>
      <c r="AU39" s="862" t="n"/>
      <c r="AV39" s="863" t="n"/>
      <c r="AW39" s="863" t="n"/>
      <c r="AX39" s="863" t="n"/>
      <c r="AY39" s="863" t="n"/>
      <c r="AZ39" s="863" t="n"/>
      <c r="BA39" s="864" t="n"/>
      <c r="BB39" s="862" t="n"/>
      <c r="BC39" s="863" t="n"/>
      <c r="BD39" s="863" t="n"/>
      <c r="BE39" s="863" t="n"/>
      <c r="BF39" s="863" t="n"/>
      <c r="BG39" s="864" t="n"/>
      <c r="BH39" s="862" t="n"/>
      <c r="BI39" s="863" t="n"/>
      <c r="BJ39" s="863" t="n"/>
      <c r="BK39" s="863" t="n"/>
      <c r="BL39" s="863" t="n"/>
      <c r="BM39" s="864" t="n"/>
      <c r="BN39" s="862" t="n"/>
      <c r="BO39" s="863" t="n"/>
      <c r="BP39" s="863" t="n"/>
      <c r="BQ39" s="863" t="n"/>
      <c r="BR39" s="863" t="n"/>
      <c r="BS39" s="864" t="n"/>
      <c r="BT39" s="862" t="n"/>
      <c r="BU39" s="863" t="n"/>
      <c r="BV39" s="863" t="n"/>
      <c r="BW39" s="863" t="n"/>
      <c r="BX39" s="863" t="n"/>
      <c r="BY39" s="865" t="n"/>
      <c r="BZ39" s="866" t="n"/>
      <c r="CA39" s="866" t="n"/>
      <c r="CB39" s="866" t="n"/>
    </row>
    <row r="40" ht="16.5" customHeight="1" s="838">
      <c r="B40" s="756" t="n"/>
      <c r="C40" s="739" t="n"/>
      <c r="D40" s="31" t="inlineStr">
        <is>
          <t>실적</t>
        </is>
      </c>
      <c r="E40" s="867">
        <f>투자비!F12</f>
        <v/>
      </c>
      <c r="F40" s="868">
        <f>투자비!G12</f>
        <v/>
      </c>
      <c r="G40" s="868">
        <f>투자비!H12</f>
        <v/>
      </c>
      <c r="H40" s="868">
        <f>투자비!I12</f>
        <v/>
      </c>
      <c r="I40" s="868">
        <f>투자비!J12</f>
        <v/>
      </c>
      <c r="J40" s="869">
        <f>투자비!K12</f>
        <v/>
      </c>
      <c r="K40" s="870">
        <f>투자비!L12</f>
        <v/>
      </c>
      <c r="L40" s="868">
        <f>투자비!M12</f>
        <v/>
      </c>
      <c r="M40" s="868">
        <f>투자비!N12</f>
        <v/>
      </c>
      <c r="N40" s="868">
        <f>투자비!O12</f>
        <v/>
      </c>
      <c r="O40" s="869">
        <f>투자비!P12</f>
        <v/>
      </c>
      <c r="P40" s="870">
        <f>투자비!Q12</f>
        <v/>
      </c>
      <c r="Q40" s="868">
        <f>투자비!R12</f>
        <v/>
      </c>
      <c r="R40" s="868">
        <f>투자비!S12</f>
        <v/>
      </c>
      <c r="S40" s="868">
        <f>투자비!T12</f>
        <v/>
      </c>
      <c r="T40" s="868">
        <f>투자비!U12</f>
        <v/>
      </c>
      <c r="U40" s="869">
        <f>투자비!V12</f>
        <v/>
      </c>
      <c r="V40" s="870">
        <f>투자비!W12</f>
        <v/>
      </c>
      <c r="W40" s="868">
        <f>투자비!X12</f>
        <v/>
      </c>
      <c r="X40" s="868">
        <f>투자비!Y12</f>
        <v/>
      </c>
      <c r="Y40" s="868">
        <f>투자비!Z12</f>
        <v/>
      </c>
      <c r="Z40" s="868">
        <f>투자비!AA12</f>
        <v/>
      </c>
      <c r="AA40" s="869">
        <f>투자비!AB12</f>
        <v/>
      </c>
      <c r="AB40" s="871" t="n"/>
      <c r="AC40" s="872" t="n"/>
      <c r="AD40" s="872" t="n"/>
      <c r="AE40" s="872" t="n"/>
      <c r="AF40" s="872" t="n"/>
      <c r="AG40" s="872" t="n"/>
      <c r="AH40" s="873" t="n"/>
      <c r="AI40" s="871" t="n"/>
      <c r="AJ40" s="872" t="n"/>
      <c r="AK40" s="872" t="n"/>
      <c r="AL40" s="872" t="n"/>
      <c r="AM40" s="872" t="n"/>
      <c r="AN40" s="873" t="n"/>
      <c r="AO40" s="871" t="n"/>
      <c r="AP40" s="872" t="n"/>
      <c r="AQ40" s="872" t="n"/>
      <c r="AR40" s="872" t="n"/>
      <c r="AS40" s="872" t="n"/>
      <c r="AT40" s="873" t="n"/>
      <c r="AU40" s="871" t="n"/>
      <c r="AV40" s="872" t="n"/>
      <c r="AW40" s="872" t="n"/>
      <c r="AX40" s="872" t="n"/>
      <c r="AY40" s="872" t="n"/>
      <c r="AZ40" s="872" t="n"/>
      <c r="BA40" s="873" t="n"/>
      <c r="BB40" s="871" t="n"/>
      <c r="BC40" s="872" t="n"/>
      <c r="BD40" s="872" t="n"/>
      <c r="BE40" s="872" t="n"/>
      <c r="BF40" s="872" t="n"/>
      <c r="BG40" s="873" t="n"/>
      <c r="BH40" s="871" t="n"/>
      <c r="BI40" s="872" t="n"/>
      <c r="BJ40" s="872" t="n"/>
      <c r="BK40" s="872" t="n"/>
      <c r="BL40" s="872" t="n"/>
      <c r="BM40" s="873" t="n"/>
      <c r="BN40" s="871" t="n"/>
      <c r="BO40" s="872" t="n"/>
      <c r="BP40" s="872" t="n"/>
      <c r="BQ40" s="872" t="n"/>
      <c r="BR40" s="872" t="n"/>
      <c r="BS40" s="873" t="n"/>
      <c r="BT40" s="871" t="n"/>
      <c r="BU40" s="872" t="n"/>
      <c r="BV40" s="872" t="n"/>
      <c r="BW40" s="872" t="n"/>
      <c r="BX40" s="872" t="n"/>
      <c r="BY40" s="874" t="n"/>
      <c r="BZ40" s="866" t="n"/>
      <c r="CA40" s="866" t="n"/>
      <c r="CB40" s="866" t="n"/>
    </row>
    <row r="41" ht="16.5" customHeight="1" s="838">
      <c r="B41" s="756" t="n"/>
      <c r="C41" s="768" t="inlineStr">
        <is>
          <t>금형</t>
        </is>
      </c>
      <c r="D41" s="10" t="inlineStr">
        <is>
          <t>목표</t>
        </is>
      </c>
      <c r="E41" s="839">
        <f>투자비!F16</f>
        <v/>
      </c>
      <c r="F41" s="840">
        <f>투자비!G16</f>
        <v/>
      </c>
      <c r="G41" s="840">
        <f>투자비!H16</f>
        <v/>
      </c>
      <c r="H41" s="840">
        <f>투자비!I16</f>
        <v/>
      </c>
      <c r="I41" s="840">
        <f>투자비!J16</f>
        <v/>
      </c>
      <c r="J41" s="841">
        <f>투자비!K16</f>
        <v/>
      </c>
      <c r="K41" s="842">
        <f>투자비!L16</f>
        <v/>
      </c>
      <c r="L41" s="840">
        <f>투자비!M16</f>
        <v/>
      </c>
      <c r="M41" s="840">
        <f>투자비!N16</f>
        <v/>
      </c>
      <c r="N41" s="840">
        <f>투자비!O16</f>
        <v/>
      </c>
      <c r="O41" s="841">
        <f>투자비!P16</f>
        <v/>
      </c>
      <c r="P41" s="842">
        <f>투자비!Q16</f>
        <v/>
      </c>
      <c r="Q41" s="840">
        <f>투자비!R16</f>
        <v/>
      </c>
      <c r="R41" s="840">
        <f>투자비!S16</f>
        <v/>
      </c>
      <c r="S41" s="840">
        <f>투자비!T16</f>
        <v/>
      </c>
      <c r="T41" s="840">
        <f>투자비!U16</f>
        <v/>
      </c>
      <c r="U41" s="841">
        <f>투자비!V16</f>
        <v/>
      </c>
      <c r="V41" s="842">
        <f>투자비!W16</f>
        <v/>
      </c>
      <c r="W41" s="840">
        <f>투자비!X16</f>
        <v/>
      </c>
      <c r="X41" s="840">
        <f>투자비!Y16</f>
        <v/>
      </c>
      <c r="Y41" s="840">
        <f>투자비!Z16</f>
        <v/>
      </c>
      <c r="Z41" s="840">
        <f>투자비!AA16</f>
        <v/>
      </c>
      <c r="AA41" s="841">
        <f>투자비!AB16</f>
        <v/>
      </c>
      <c r="AB41" s="862" t="n"/>
      <c r="AC41" s="863" t="n"/>
      <c r="AD41" s="863" t="n"/>
      <c r="AE41" s="863" t="n"/>
      <c r="AF41" s="863" t="n"/>
      <c r="AG41" s="863" t="n"/>
      <c r="AH41" s="864" t="n"/>
      <c r="AI41" s="862" t="n"/>
      <c r="AJ41" s="863" t="n"/>
      <c r="AK41" s="863" t="n"/>
      <c r="AL41" s="863" t="n"/>
      <c r="AM41" s="863" t="n"/>
      <c r="AN41" s="864" t="n"/>
      <c r="AO41" s="862" t="n"/>
      <c r="AP41" s="863" t="n"/>
      <c r="AQ41" s="863" t="n"/>
      <c r="AR41" s="863" t="n"/>
      <c r="AS41" s="863" t="n"/>
      <c r="AT41" s="864" t="n"/>
      <c r="AU41" s="862" t="n"/>
      <c r="AV41" s="863" t="n"/>
      <c r="AW41" s="863" t="n"/>
      <c r="AX41" s="863" t="n"/>
      <c r="AY41" s="863" t="n"/>
      <c r="AZ41" s="863" t="n"/>
      <c r="BA41" s="864" t="n"/>
      <c r="BB41" s="862" t="n"/>
      <c r="BC41" s="863" t="n"/>
      <c r="BD41" s="863" t="n"/>
      <c r="BE41" s="863" t="n"/>
      <c r="BF41" s="863" t="n"/>
      <c r="BG41" s="864" t="n"/>
      <c r="BH41" s="862" t="n"/>
      <c r="BI41" s="863" t="n"/>
      <c r="BJ41" s="863" t="n"/>
      <c r="BK41" s="863" t="n"/>
      <c r="BL41" s="863" t="n"/>
      <c r="BM41" s="864" t="n"/>
      <c r="BN41" s="862" t="n"/>
      <c r="BO41" s="863" t="n"/>
      <c r="BP41" s="863" t="n"/>
      <c r="BQ41" s="863" t="n"/>
      <c r="BR41" s="863" t="n"/>
      <c r="BS41" s="864" t="n"/>
      <c r="BT41" s="862" t="n"/>
      <c r="BU41" s="863" t="n"/>
      <c r="BV41" s="863" t="n"/>
      <c r="BW41" s="863" t="n"/>
      <c r="BX41" s="863" t="n"/>
      <c r="BY41" s="865" t="n"/>
      <c r="BZ41" s="866" t="n"/>
      <c r="CA41" s="866" t="n"/>
      <c r="CB41" s="866" t="n"/>
    </row>
    <row r="42" ht="16.5" customHeight="1" s="838">
      <c r="B42" s="770" t="n"/>
      <c r="C42" s="739" t="n"/>
      <c r="D42" s="31" t="inlineStr">
        <is>
          <t>실적</t>
        </is>
      </c>
      <c r="E42" s="867">
        <f>투자비!F20</f>
        <v/>
      </c>
      <c r="F42" s="868">
        <f>투자비!G20</f>
        <v/>
      </c>
      <c r="G42" s="868">
        <f>투자비!H20</f>
        <v/>
      </c>
      <c r="H42" s="868">
        <f>투자비!I20</f>
        <v/>
      </c>
      <c r="I42" s="868">
        <f>투자비!J20</f>
        <v/>
      </c>
      <c r="J42" s="869">
        <f>투자비!K20</f>
        <v/>
      </c>
      <c r="K42" s="870">
        <f>투자비!L20</f>
        <v/>
      </c>
      <c r="L42" s="868">
        <f>투자비!M20</f>
        <v/>
      </c>
      <c r="M42" s="868">
        <f>투자비!N20</f>
        <v/>
      </c>
      <c r="N42" s="868">
        <f>투자비!O20</f>
        <v/>
      </c>
      <c r="O42" s="869">
        <f>투자비!P20</f>
        <v/>
      </c>
      <c r="P42" s="870">
        <f>투자비!Q20</f>
        <v/>
      </c>
      <c r="Q42" s="868">
        <f>투자비!R20</f>
        <v/>
      </c>
      <c r="R42" s="868">
        <f>투자비!S20</f>
        <v/>
      </c>
      <c r="S42" s="868">
        <f>투자비!T20</f>
        <v/>
      </c>
      <c r="T42" s="868">
        <f>투자비!U20</f>
        <v/>
      </c>
      <c r="U42" s="869">
        <f>투자비!V20</f>
        <v/>
      </c>
      <c r="V42" s="870">
        <f>투자비!W20</f>
        <v/>
      </c>
      <c r="W42" s="868">
        <f>투자비!X20</f>
        <v/>
      </c>
      <c r="X42" s="868">
        <f>투자비!Y20</f>
        <v/>
      </c>
      <c r="Y42" s="868">
        <f>투자비!Z20</f>
        <v/>
      </c>
      <c r="Z42" s="868">
        <f>투자비!AA20</f>
        <v/>
      </c>
      <c r="AA42" s="869">
        <f>투자비!AB20</f>
        <v/>
      </c>
      <c r="AB42" s="871" t="n"/>
      <c r="AC42" s="872" t="n"/>
      <c r="AD42" s="872" t="n"/>
      <c r="AE42" s="872" t="n"/>
      <c r="AF42" s="872" t="n"/>
      <c r="AG42" s="872" t="n"/>
      <c r="AH42" s="873" t="n"/>
      <c r="AI42" s="871" t="n"/>
      <c r="AJ42" s="872" t="n"/>
      <c r="AK42" s="872" t="n"/>
      <c r="AL42" s="872" t="n"/>
      <c r="AM42" s="872" t="n"/>
      <c r="AN42" s="873" t="n"/>
      <c r="AO42" s="871" t="n"/>
      <c r="AP42" s="872" t="n"/>
      <c r="AQ42" s="872" t="n"/>
      <c r="AR42" s="872" t="n"/>
      <c r="AS42" s="872" t="n"/>
      <c r="AT42" s="873" t="n"/>
      <c r="AU42" s="871" t="n"/>
      <c r="AV42" s="872" t="n"/>
      <c r="AW42" s="872" t="n"/>
      <c r="AX42" s="872" t="n"/>
      <c r="AY42" s="872" t="n"/>
      <c r="AZ42" s="872" t="n"/>
      <c r="BA42" s="873" t="n"/>
      <c r="BB42" s="871" t="n"/>
      <c r="BC42" s="872" t="n"/>
      <c r="BD42" s="872" t="n"/>
      <c r="BE42" s="872" t="n"/>
      <c r="BF42" s="872" t="n"/>
      <c r="BG42" s="873" t="n"/>
      <c r="BH42" s="871" t="n"/>
      <c r="BI42" s="872" t="n"/>
      <c r="BJ42" s="872" t="n"/>
      <c r="BK42" s="872" t="n"/>
      <c r="BL42" s="872" t="n"/>
      <c r="BM42" s="873" t="n"/>
      <c r="BN42" s="871" t="n"/>
      <c r="BO42" s="872" t="n"/>
      <c r="BP42" s="872" t="n"/>
      <c r="BQ42" s="872" t="n"/>
      <c r="BR42" s="872" t="n"/>
      <c r="BS42" s="873" t="n"/>
      <c r="BT42" s="871" t="n"/>
      <c r="BU42" s="872" t="n"/>
      <c r="BV42" s="872" t="n"/>
      <c r="BW42" s="872" t="n"/>
      <c r="BX42" s="872" t="n"/>
      <c r="BY42" s="874" t="n"/>
      <c r="BZ42" s="866" t="n"/>
      <c r="CA42" s="866" t="n"/>
      <c r="CB42" s="866" t="n"/>
    </row>
    <row r="43" ht="16.5" customHeight="1" s="838">
      <c r="B43" s="764" t="inlineStr">
        <is>
          <t>매출</t>
        </is>
      </c>
      <c r="C43" s="822" t="inlineStr">
        <is>
          <t>지역1</t>
        </is>
      </c>
      <c r="D43" s="10" t="inlineStr">
        <is>
          <t>목표</t>
        </is>
      </c>
      <c r="E43" s="839">
        <f>매출_지역1!E5</f>
        <v/>
      </c>
      <c r="F43" s="840">
        <f>매출_지역1!F5</f>
        <v/>
      </c>
      <c r="G43" s="840">
        <f>매출_지역1!G5</f>
        <v/>
      </c>
      <c r="H43" s="840">
        <f>매출_지역1!H5</f>
        <v/>
      </c>
      <c r="I43" s="840">
        <f>매출_지역1!I5</f>
        <v/>
      </c>
      <c r="J43" s="841">
        <f>매출_지역1!J5</f>
        <v/>
      </c>
      <c r="K43" s="842">
        <f>매출_지역1!K5</f>
        <v/>
      </c>
      <c r="L43" s="840">
        <f>매출_지역1!L5</f>
        <v/>
      </c>
      <c r="M43" s="840">
        <f>매출_지역1!M5</f>
        <v/>
      </c>
      <c r="N43" s="840">
        <f>매출_지역1!N5</f>
        <v/>
      </c>
      <c r="O43" s="841">
        <f>매출_지역1!O5</f>
        <v/>
      </c>
      <c r="P43" s="842">
        <f>매출_지역1!P5</f>
        <v/>
      </c>
      <c r="Q43" s="840">
        <f>매출_지역1!Q5</f>
        <v/>
      </c>
      <c r="R43" s="840">
        <f>매출_지역1!R5</f>
        <v/>
      </c>
      <c r="S43" s="840">
        <f>매출_지역1!S5</f>
        <v/>
      </c>
      <c r="T43" s="840">
        <f>매출_지역1!T5</f>
        <v/>
      </c>
      <c r="U43" s="841">
        <f>매출_지역1!U5</f>
        <v/>
      </c>
      <c r="V43" s="842">
        <f>매출_지역1!V5</f>
        <v/>
      </c>
      <c r="W43" s="840">
        <f>매출_지역1!W5</f>
        <v/>
      </c>
      <c r="X43" s="840">
        <f>매출_지역1!X5</f>
        <v/>
      </c>
      <c r="Y43" s="840">
        <f>매출_지역1!Y5</f>
        <v/>
      </c>
      <c r="Z43" s="840">
        <f>매출_지역1!Z5</f>
        <v/>
      </c>
      <c r="AA43" s="841">
        <f>매출_지역1!AA5</f>
        <v/>
      </c>
      <c r="AB43" s="862" t="n"/>
      <c r="AC43" s="863" t="n"/>
      <c r="AD43" s="863" t="n"/>
      <c r="AE43" s="863" t="n"/>
      <c r="AF43" s="863" t="n"/>
      <c r="AG43" s="863" t="n"/>
      <c r="AH43" s="864" t="n"/>
      <c r="AI43" s="862" t="n"/>
      <c r="AJ43" s="863" t="n"/>
      <c r="AK43" s="863" t="n"/>
      <c r="AL43" s="863" t="n"/>
      <c r="AM43" s="863" t="n"/>
      <c r="AN43" s="864" t="n"/>
      <c r="AO43" s="862" t="n"/>
      <c r="AP43" s="863" t="n"/>
      <c r="AQ43" s="863" t="n"/>
      <c r="AR43" s="863" t="n"/>
      <c r="AS43" s="863" t="n"/>
      <c r="AT43" s="864" t="n"/>
      <c r="AU43" s="862" t="n"/>
      <c r="AV43" s="863" t="n"/>
      <c r="AW43" s="863" t="n"/>
      <c r="AX43" s="863" t="n"/>
      <c r="AY43" s="863" t="n"/>
      <c r="AZ43" s="863" t="n"/>
      <c r="BA43" s="864" t="n"/>
      <c r="BB43" s="862" t="n"/>
      <c r="BC43" s="863" t="n"/>
      <c r="BD43" s="863" t="n"/>
      <c r="BE43" s="863" t="n"/>
      <c r="BF43" s="863" t="n"/>
      <c r="BG43" s="864" t="n"/>
      <c r="BH43" s="862" t="n"/>
      <c r="BI43" s="863" t="n"/>
      <c r="BJ43" s="863" t="n"/>
      <c r="BK43" s="863" t="n"/>
      <c r="BL43" s="863" t="n"/>
      <c r="BM43" s="864" t="n"/>
      <c r="BN43" s="862" t="n"/>
      <c r="BO43" s="863" t="n"/>
      <c r="BP43" s="863" t="n"/>
      <c r="BQ43" s="863" t="n"/>
      <c r="BR43" s="863" t="n"/>
      <c r="BS43" s="864" t="n"/>
      <c r="BT43" s="862" t="n"/>
      <c r="BU43" s="863" t="n"/>
      <c r="BV43" s="863" t="n"/>
      <c r="BW43" s="863" t="n"/>
      <c r="BX43" s="863" t="n"/>
      <c r="BY43" s="865" t="n"/>
      <c r="BZ43" s="866" t="n"/>
      <c r="CA43" s="866" t="n"/>
      <c r="CB43" s="866" t="n"/>
    </row>
    <row r="44" ht="16.5" customHeight="1" s="838">
      <c r="B44" s="756" t="n"/>
      <c r="C44" s="739" t="n"/>
      <c r="D44" s="31" t="inlineStr">
        <is>
          <t>실적</t>
        </is>
      </c>
      <c r="E44" s="876">
        <f>매출_지역1!E6</f>
        <v/>
      </c>
      <c r="F44" s="872">
        <f>매출_지역1!F6</f>
        <v/>
      </c>
      <c r="G44" s="872">
        <f>매출_지역1!G6</f>
        <v/>
      </c>
      <c r="H44" s="872">
        <f>매출_지역1!H6</f>
        <v/>
      </c>
      <c r="I44" s="872">
        <f>매출_지역1!I6</f>
        <v/>
      </c>
      <c r="J44" s="873">
        <f>매출_지역1!J6</f>
        <v/>
      </c>
      <c r="K44" s="871">
        <f>매출_지역1!K6</f>
        <v/>
      </c>
      <c r="L44" s="872">
        <f>매출_지역1!L6</f>
        <v/>
      </c>
      <c r="M44" s="872">
        <f>매출_지역1!M6</f>
        <v/>
      </c>
      <c r="N44" s="872">
        <f>매출_지역1!N6</f>
        <v/>
      </c>
      <c r="O44" s="873">
        <f>매출_지역1!O6</f>
        <v/>
      </c>
      <c r="P44" s="871">
        <f>매출_지역1!P6</f>
        <v/>
      </c>
      <c r="Q44" s="872">
        <f>매출_지역1!Q6</f>
        <v/>
      </c>
      <c r="R44" s="872">
        <f>매출_지역1!R6</f>
        <v/>
      </c>
      <c r="S44" s="872">
        <f>매출_지역1!S6</f>
        <v/>
      </c>
      <c r="T44" s="872">
        <f>매출_지역1!T6</f>
        <v/>
      </c>
      <c r="U44" s="873">
        <f>매출_지역1!U6</f>
        <v/>
      </c>
      <c r="V44" s="871">
        <f>매출_지역1!V6</f>
        <v/>
      </c>
      <c r="W44" s="872">
        <f>매출_지역1!W6</f>
        <v/>
      </c>
      <c r="X44" s="872">
        <f>매출_지역1!X6</f>
        <v/>
      </c>
      <c r="Y44" s="872">
        <f>매출_지역1!Y6</f>
        <v/>
      </c>
      <c r="Z44" s="872">
        <f>매출_지역1!Z6</f>
        <v/>
      </c>
      <c r="AA44" s="873">
        <f>매출_지역1!AA6</f>
        <v/>
      </c>
      <c r="AB44" s="871" t="n"/>
      <c r="AC44" s="872" t="n"/>
      <c r="AD44" s="872" t="n"/>
      <c r="AE44" s="872" t="n"/>
      <c r="AF44" s="872" t="n"/>
      <c r="AG44" s="872" t="n"/>
      <c r="AH44" s="873" t="n"/>
      <c r="AI44" s="871" t="n"/>
      <c r="AJ44" s="872" t="n"/>
      <c r="AK44" s="872" t="n"/>
      <c r="AL44" s="872" t="n"/>
      <c r="AM44" s="872" t="n"/>
      <c r="AN44" s="873" t="n"/>
      <c r="AO44" s="871" t="n"/>
      <c r="AP44" s="872" t="n"/>
      <c r="AQ44" s="872" t="n"/>
      <c r="AR44" s="872" t="n"/>
      <c r="AS44" s="872" t="n"/>
      <c r="AT44" s="873" t="n"/>
      <c r="AU44" s="871" t="n"/>
      <c r="AV44" s="872" t="n"/>
      <c r="AW44" s="872" t="n"/>
      <c r="AX44" s="872" t="n"/>
      <c r="AY44" s="872" t="n"/>
      <c r="AZ44" s="872" t="n"/>
      <c r="BA44" s="873" t="n"/>
      <c r="BB44" s="871" t="n"/>
      <c r="BC44" s="872" t="n"/>
      <c r="BD44" s="872" t="n"/>
      <c r="BE44" s="872" t="n"/>
      <c r="BF44" s="872" t="n"/>
      <c r="BG44" s="873" t="n"/>
      <c r="BH44" s="871" t="n"/>
      <c r="BI44" s="872" t="n"/>
      <c r="BJ44" s="872" t="n"/>
      <c r="BK44" s="872" t="n"/>
      <c r="BL44" s="872" t="n"/>
      <c r="BM44" s="873" t="n"/>
      <c r="BN44" s="871" t="n"/>
      <c r="BO44" s="872" t="n"/>
      <c r="BP44" s="872" t="n"/>
      <c r="BQ44" s="872" t="n"/>
      <c r="BR44" s="872" t="n"/>
      <c r="BS44" s="873" t="n"/>
      <c r="BT44" s="871" t="n"/>
      <c r="BU44" s="872" t="n"/>
      <c r="BV44" s="872" t="n"/>
      <c r="BW44" s="872" t="n"/>
      <c r="BX44" s="872" t="n"/>
      <c r="BY44" s="874" t="n"/>
      <c r="BZ44" s="866" t="n"/>
      <c r="CA44" s="866" t="n"/>
      <c r="CB44" s="866" t="n"/>
    </row>
    <row r="45" ht="16.5" customHeight="1" s="838">
      <c r="B45" s="756" t="n"/>
      <c r="C45" s="822" t="inlineStr">
        <is>
          <t>지역2</t>
        </is>
      </c>
      <c r="D45" s="10" t="inlineStr">
        <is>
          <t>목표</t>
        </is>
      </c>
      <c r="E45" s="875">
        <f>매출_지역2!F15</f>
        <v/>
      </c>
      <c r="F45" s="863" t="n"/>
      <c r="G45" s="863" t="n"/>
      <c r="H45" s="863" t="n"/>
      <c r="I45" s="863" t="n"/>
      <c r="J45" s="864" t="n"/>
      <c r="K45" s="877">
        <f>매출_지역2!G15</f>
        <v/>
      </c>
      <c r="L45" s="863" t="n"/>
      <c r="M45" s="863" t="n"/>
      <c r="N45" s="863" t="n"/>
      <c r="O45" s="864" t="n"/>
      <c r="P45" s="877">
        <f>매출_지역2!H15</f>
        <v/>
      </c>
      <c r="Q45" s="863" t="n"/>
      <c r="R45" s="863" t="n"/>
      <c r="S45" s="863" t="n"/>
      <c r="T45" s="863" t="n"/>
      <c r="U45" s="864" t="n"/>
      <c r="V45" s="877">
        <f>매출_지역2!I15</f>
        <v/>
      </c>
      <c r="W45" s="863" t="n"/>
      <c r="X45" s="863" t="n"/>
      <c r="Y45" s="863" t="n"/>
      <c r="Z45" s="863" t="n"/>
      <c r="AA45" s="864" t="n"/>
      <c r="AB45" s="862" t="n"/>
      <c r="AC45" s="863" t="n"/>
      <c r="AD45" s="863" t="n"/>
      <c r="AE45" s="863" t="n"/>
      <c r="AF45" s="863" t="n"/>
      <c r="AG45" s="863" t="n"/>
      <c r="AH45" s="864" t="n"/>
      <c r="AI45" s="862" t="n"/>
      <c r="AJ45" s="863" t="n"/>
      <c r="AK45" s="863" t="n"/>
      <c r="AL45" s="863" t="n"/>
      <c r="AM45" s="863" t="n"/>
      <c r="AN45" s="864" t="n"/>
      <c r="AO45" s="862" t="n"/>
      <c r="AP45" s="863" t="n"/>
      <c r="AQ45" s="863" t="n"/>
      <c r="AR45" s="863" t="n"/>
      <c r="AS45" s="863" t="n"/>
      <c r="AT45" s="864" t="n"/>
      <c r="AU45" s="862" t="n"/>
      <c r="AV45" s="863" t="n"/>
      <c r="AW45" s="863" t="n"/>
      <c r="AX45" s="863" t="n"/>
      <c r="AY45" s="863" t="n"/>
      <c r="AZ45" s="863" t="n"/>
      <c r="BA45" s="864" t="n"/>
      <c r="BB45" s="862" t="n"/>
      <c r="BC45" s="863" t="n"/>
      <c r="BD45" s="863" t="n"/>
      <c r="BE45" s="863" t="n"/>
      <c r="BF45" s="863" t="n"/>
      <c r="BG45" s="864" t="n"/>
      <c r="BH45" s="862" t="n"/>
      <c r="BI45" s="863" t="n"/>
      <c r="BJ45" s="863" t="n"/>
      <c r="BK45" s="863" t="n"/>
      <c r="BL45" s="863" t="n"/>
      <c r="BM45" s="864" t="n"/>
      <c r="BN45" s="862" t="n"/>
      <c r="BO45" s="863" t="n"/>
      <c r="BP45" s="863" t="n"/>
      <c r="BQ45" s="863" t="n"/>
      <c r="BR45" s="863" t="n"/>
      <c r="BS45" s="864" t="n"/>
      <c r="BT45" s="862" t="n"/>
      <c r="BU45" s="863" t="n"/>
      <c r="BV45" s="863" t="n"/>
      <c r="BW45" s="863" t="n"/>
      <c r="BX45" s="863" t="n"/>
      <c r="BY45" s="865" t="n"/>
      <c r="BZ45" s="866" t="n"/>
      <c r="CA45" s="866" t="n"/>
      <c r="CB45" s="866" t="n"/>
    </row>
    <row r="46" ht="16.5" customHeight="1" s="838">
      <c r="B46" s="770" t="n"/>
      <c r="C46" s="739" t="n"/>
      <c r="D46" s="31" t="inlineStr">
        <is>
          <t>실적</t>
        </is>
      </c>
      <c r="E46" s="876">
        <f>매출_지역2!F20</f>
        <v/>
      </c>
      <c r="F46" s="872" t="n"/>
      <c r="G46" s="872" t="n"/>
      <c r="H46" s="872" t="n"/>
      <c r="I46" s="872" t="n"/>
      <c r="J46" s="873" t="n"/>
      <c r="K46" s="871">
        <f>매출_지역2!G20</f>
        <v/>
      </c>
      <c r="L46" s="872" t="n"/>
      <c r="M46" s="872" t="n"/>
      <c r="N46" s="872" t="n"/>
      <c r="O46" s="873" t="n"/>
      <c r="P46" s="871">
        <f>매출_지역2!H20</f>
        <v/>
      </c>
      <c r="Q46" s="872" t="n"/>
      <c r="R46" s="872" t="n"/>
      <c r="S46" s="872" t="n"/>
      <c r="T46" s="872" t="n"/>
      <c r="U46" s="873" t="n"/>
      <c r="V46" s="871">
        <f>매출_지역2!I20</f>
        <v/>
      </c>
      <c r="W46" s="872" t="n"/>
      <c r="X46" s="872" t="n"/>
      <c r="Y46" s="872" t="n"/>
      <c r="Z46" s="872" t="n"/>
      <c r="AA46" s="873" t="n"/>
      <c r="AB46" s="871" t="n"/>
      <c r="AC46" s="872" t="n"/>
      <c r="AD46" s="872" t="n"/>
      <c r="AE46" s="872" t="n"/>
      <c r="AF46" s="872" t="n"/>
      <c r="AG46" s="872" t="n"/>
      <c r="AH46" s="873" t="n"/>
      <c r="AI46" s="871" t="n"/>
      <c r="AJ46" s="872" t="n"/>
      <c r="AK46" s="872" t="n"/>
      <c r="AL46" s="872" t="n"/>
      <c r="AM46" s="872" t="n"/>
      <c r="AN46" s="873" t="n"/>
      <c r="AO46" s="871" t="n"/>
      <c r="AP46" s="872" t="n"/>
      <c r="AQ46" s="872" t="n"/>
      <c r="AR46" s="872" t="n"/>
      <c r="AS46" s="872" t="n"/>
      <c r="AT46" s="873" t="n"/>
      <c r="AU46" s="871" t="n"/>
      <c r="AV46" s="872" t="n"/>
      <c r="AW46" s="872" t="n"/>
      <c r="AX46" s="872" t="n"/>
      <c r="AY46" s="872" t="n"/>
      <c r="AZ46" s="872" t="n"/>
      <c r="BA46" s="873" t="n"/>
      <c r="BB46" s="871" t="n"/>
      <c r="BC46" s="872" t="n"/>
      <c r="BD46" s="872" t="n"/>
      <c r="BE46" s="872" t="n"/>
      <c r="BF46" s="872" t="n"/>
      <c r="BG46" s="873" t="n"/>
      <c r="BH46" s="871" t="n"/>
      <c r="BI46" s="872" t="n"/>
      <c r="BJ46" s="872" t="n"/>
      <c r="BK46" s="872" t="n"/>
      <c r="BL46" s="872" t="n"/>
      <c r="BM46" s="873" t="n"/>
      <c r="BN46" s="871" t="n"/>
      <c r="BO46" s="872" t="n"/>
      <c r="BP46" s="872" t="n"/>
      <c r="BQ46" s="872" t="n"/>
      <c r="BR46" s="872" t="n"/>
      <c r="BS46" s="873" t="n"/>
      <c r="BT46" s="871" t="n"/>
      <c r="BU46" s="872" t="n"/>
      <c r="BV46" s="872" t="n"/>
      <c r="BW46" s="872" t="n"/>
      <c r="BX46" s="872" t="n"/>
      <c r="BY46" s="874" t="n"/>
      <c r="BZ46" s="866" t="n"/>
      <c r="CA46" s="866" t="n"/>
      <c r="CB46" s="866" t="n"/>
    </row>
    <row r="47" ht="16.5" customHeight="1" s="838">
      <c r="B47" s="764" t="inlineStr">
        <is>
          <t>품질</t>
        </is>
      </c>
      <c r="C47" s="734" t="n"/>
      <c r="D47" s="10" t="inlineStr">
        <is>
          <t>목표</t>
        </is>
      </c>
      <c r="E47" s="875">
        <f>품질!E4</f>
        <v/>
      </c>
      <c r="F47" s="863">
        <f>품질!F4</f>
        <v/>
      </c>
      <c r="G47" s="863">
        <f>품질!G4</f>
        <v/>
      </c>
      <c r="H47" s="863">
        <f>품질!H4</f>
        <v/>
      </c>
      <c r="I47" s="863">
        <f>품질!I4</f>
        <v/>
      </c>
      <c r="J47" s="864">
        <f>품질!J4</f>
        <v/>
      </c>
      <c r="K47" s="862">
        <f>품질!K4</f>
        <v/>
      </c>
      <c r="L47" s="863">
        <f>품질!L4</f>
        <v/>
      </c>
      <c r="M47" s="863">
        <f>품질!M4</f>
        <v/>
      </c>
      <c r="N47" s="863">
        <f>품질!N4</f>
        <v/>
      </c>
      <c r="O47" s="864">
        <f>품질!O4</f>
        <v/>
      </c>
      <c r="P47" s="862">
        <f>품질!P4</f>
        <v/>
      </c>
      <c r="Q47" s="863">
        <f>품질!Q4</f>
        <v/>
      </c>
      <c r="R47" s="863">
        <f>품질!R4</f>
        <v/>
      </c>
      <c r="S47" s="863">
        <f>품질!S4</f>
        <v/>
      </c>
      <c r="T47" s="863">
        <f>품질!T4</f>
        <v/>
      </c>
      <c r="U47" s="864">
        <f>품질!U4</f>
        <v/>
      </c>
      <c r="V47" s="862">
        <f>품질!V4</f>
        <v/>
      </c>
      <c r="W47" s="863">
        <f>품질!W4</f>
        <v/>
      </c>
      <c r="X47" s="863">
        <f>품질!X4</f>
        <v/>
      </c>
      <c r="Y47" s="863">
        <f>품질!Y4</f>
        <v/>
      </c>
      <c r="Z47" s="863">
        <f>품질!Z4</f>
        <v/>
      </c>
      <c r="AA47" s="864">
        <f>품질!AA4</f>
        <v/>
      </c>
      <c r="AB47" s="862" t="n"/>
      <c r="AC47" s="863" t="n"/>
      <c r="AD47" s="863" t="n"/>
      <c r="AE47" s="863" t="n"/>
      <c r="AF47" s="863" t="n"/>
      <c r="AG47" s="863" t="n"/>
      <c r="AH47" s="864" t="n"/>
      <c r="AI47" s="862" t="n"/>
      <c r="AJ47" s="863" t="n"/>
      <c r="AK47" s="863" t="n"/>
      <c r="AL47" s="863" t="n"/>
      <c r="AM47" s="863" t="n"/>
      <c r="AN47" s="864" t="n"/>
      <c r="AO47" s="862" t="n"/>
      <c r="AP47" s="863" t="n"/>
      <c r="AQ47" s="863" t="n"/>
      <c r="AR47" s="863" t="n"/>
      <c r="AS47" s="863" t="n"/>
      <c r="AT47" s="864" t="n"/>
      <c r="AU47" s="862" t="n"/>
      <c r="AV47" s="863" t="n"/>
      <c r="AW47" s="863" t="n"/>
      <c r="AX47" s="863" t="n"/>
      <c r="AY47" s="863" t="n"/>
      <c r="AZ47" s="863" t="n"/>
      <c r="BA47" s="864" t="n"/>
      <c r="BB47" s="862" t="n"/>
      <c r="BC47" s="863" t="n"/>
      <c r="BD47" s="863" t="n"/>
      <c r="BE47" s="863" t="n"/>
      <c r="BF47" s="863" t="n"/>
      <c r="BG47" s="864" t="n"/>
      <c r="BH47" s="862" t="n"/>
      <c r="BI47" s="863" t="n"/>
      <c r="BJ47" s="863" t="n"/>
      <c r="BK47" s="863" t="n"/>
      <c r="BL47" s="863" t="n"/>
      <c r="BM47" s="864" t="n"/>
      <c r="BN47" s="862" t="n"/>
      <c r="BO47" s="863" t="n"/>
      <c r="BP47" s="863" t="n"/>
      <c r="BQ47" s="863" t="n"/>
      <c r="BR47" s="863" t="n"/>
      <c r="BS47" s="864" t="n"/>
      <c r="BT47" s="862" t="n"/>
      <c r="BU47" s="863" t="n"/>
      <c r="BV47" s="863" t="n"/>
      <c r="BW47" s="863" t="n"/>
      <c r="BX47" s="863" t="n"/>
      <c r="BY47" s="865" t="n"/>
      <c r="BZ47" s="866" t="n"/>
      <c r="CA47" s="866" t="n"/>
      <c r="CB47" s="866" t="n"/>
    </row>
    <row r="48" ht="16.5" customHeight="1" s="838">
      <c r="B48" s="767" t="n"/>
      <c r="C48" s="736" t="n"/>
      <c r="D48" s="31" t="inlineStr">
        <is>
          <t>실적</t>
        </is>
      </c>
      <c r="E48" s="876">
        <f>품질!E5</f>
        <v/>
      </c>
      <c r="F48" s="872">
        <f>품질!F5</f>
        <v/>
      </c>
      <c r="G48" s="872">
        <f>품질!G5</f>
        <v/>
      </c>
      <c r="H48" s="872">
        <f>품질!H5</f>
        <v/>
      </c>
      <c r="I48" s="872">
        <f>품질!I5</f>
        <v/>
      </c>
      <c r="J48" s="873">
        <f>품질!J5</f>
        <v/>
      </c>
      <c r="K48" s="871">
        <f>품질!K5</f>
        <v/>
      </c>
      <c r="L48" s="872">
        <f>품질!L5</f>
        <v/>
      </c>
      <c r="M48" s="872">
        <f>품질!M5</f>
        <v/>
      </c>
      <c r="N48" s="872">
        <f>품질!N5</f>
        <v/>
      </c>
      <c r="O48" s="873">
        <f>품질!O5</f>
        <v/>
      </c>
      <c r="P48" s="871">
        <f>품질!P5</f>
        <v/>
      </c>
      <c r="Q48" s="872">
        <f>품질!Q5</f>
        <v/>
      </c>
      <c r="R48" s="872">
        <f>품질!R5</f>
        <v/>
      </c>
      <c r="S48" s="872">
        <f>품질!S5</f>
        <v/>
      </c>
      <c r="T48" s="872">
        <f>품질!T5</f>
        <v/>
      </c>
      <c r="U48" s="873">
        <f>품질!U5</f>
        <v/>
      </c>
      <c r="V48" s="871">
        <f>품질!V5</f>
        <v/>
      </c>
      <c r="W48" s="872">
        <f>품질!W5</f>
        <v/>
      </c>
      <c r="X48" s="872">
        <f>품질!X5</f>
        <v/>
      </c>
      <c r="Y48" s="872">
        <f>품질!Y5</f>
        <v/>
      </c>
      <c r="Z48" s="872">
        <f>품질!Z5</f>
        <v/>
      </c>
      <c r="AA48" s="873">
        <f>품질!AA5</f>
        <v/>
      </c>
      <c r="AB48" s="871" t="n"/>
      <c r="AC48" s="872" t="n"/>
      <c r="AD48" s="872" t="n"/>
      <c r="AE48" s="872" t="n"/>
      <c r="AF48" s="872" t="n"/>
      <c r="AG48" s="872" t="n"/>
      <c r="AH48" s="873" t="n"/>
      <c r="AI48" s="871" t="n"/>
      <c r="AJ48" s="872" t="n"/>
      <c r="AK48" s="872" t="n"/>
      <c r="AL48" s="872" t="n"/>
      <c r="AM48" s="872" t="n"/>
      <c r="AN48" s="873" t="n"/>
      <c r="AO48" s="871" t="n"/>
      <c r="AP48" s="872" t="n"/>
      <c r="AQ48" s="872" t="n"/>
      <c r="AR48" s="872" t="n"/>
      <c r="AS48" s="872" t="n"/>
      <c r="AT48" s="873" t="n"/>
      <c r="AU48" s="871" t="n"/>
      <c r="AV48" s="872" t="n"/>
      <c r="AW48" s="872" t="n"/>
      <c r="AX48" s="872" t="n"/>
      <c r="AY48" s="872" t="n"/>
      <c r="AZ48" s="872" t="n"/>
      <c r="BA48" s="873" t="n"/>
      <c r="BB48" s="871" t="n"/>
      <c r="BC48" s="872" t="n"/>
      <c r="BD48" s="872" t="n"/>
      <c r="BE48" s="872" t="n"/>
      <c r="BF48" s="872" t="n"/>
      <c r="BG48" s="873" t="n"/>
      <c r="BH48" s="871" t="n"/>
      <c r="BI48" s="872" t="n"/>
      <c r="BJ48" s="872" t="n"/>
      <c r="BK48" s="872" t="n"/>
      <c r="BL48" s="872" t="n"/>
      <c r="BM48" s="873" t="n"/>
      <c r="BN48" s="871" t="n"/>
      <c r="BO48" s="872" t="n"/>
      <c r="BP48" s="872" t="n"/>
      <c r="BQ48" s="872" t="n"/>
      <c r="BR48" s="872" t="n"/>
      <c r="BS48" s="873" t="n"/>
      <c r="BT48" s="871" t="n"/>
      <c r="BU48" s="872" t="n"/>
      <c r="BV48" s="872" t="n"/>
      <c r="BW48" s="872" t="n"/>
      <c r="BX48" s="872" t="n"/>
      <c r="BY48" s="874" t="n"/>
      <c r="BZ48" s="866" t="n"/>
      <c r="CA48" s="866" t="n"/>
      <c r="CB48" s="866" t="n"/>
    </row>
    <row r="49" ht="16.5" customHeight="1" s="838">
      <c r="B49" s="759" t="inlineStr">
        <is>
          <t>고정비</t>
        </is>
      </c>
      <c r="C49" s="734" t="n"/>
      <c r="D49" s="10" t="inlineStr">
        <is>
          <t>목표</t>
        </is>
      </c>
      <c r="E49" s="875">
        <f>고정비!G6</f>
        <v/>
      </c>
      <c r="F49" s="863" t="n"/>
      <c r="G49" s="863" t="n"/>
      <c r="H49" s="863" t="n"/>
      <c r="I49" s="863" t="n"/>
      <c r="J49" s="864" t="n"/>
      <c r="K49" s="862">
        <f>고정비!H6</f>
        <v/>
      </c>
      <c r="L49" s="863" t="n"/>
      <c r="M49" s="863" t="n"/>
      <c r="N49" s="863" t="n"/>
      <c r="O49" s="864" t="n"/>
      <c r="P49" s="862">
        <f>고정비!I6</f>
        <v/>
      </c>
      <c r="Q49" s="863" t="n"/>
      <c r="R49" s="863" t="n"/>
      <c r="S49" s="863" t="n"/>
      <c r="T49" s="863" t="n"/>
      <c r="U49" s="864" t="n"/>
      <c r="V49" s="862">
        <f>고정비!J6</f>
        <v/>
      </c>
      <c r="W49" s="863" t="n"/>
      <c r="X49" s="863" t="n"/>
      <c r="Y49" s="863" t="n"/>
      <c r="Z49" s="863" t="n"/>
      <c r="AA49" s="864" t="n"/>
      <c r="AB49" s="862" t="n"/>
      <c r="AC49" s="863" t="n"/>
      <c r="AD49" s="863" t="n"/>
      <c r="AE49" s="863" t="n"/>
      <c r="AF49" s="863" t="n"/>
      <c r="AG49" s="863" t="n"/>
      <c r="AH49" s="864" t="n"/>
      <c r="AI49" s="862" t="n"/>
      <c r="AJ49" s="863" t="n"/>
      <c r="AK49" s="863" t="n"/>
      <c r="AL49" s="863" t="n"/>
      <c r="AM49" s="863" t="n"/>
      <c r="AN49" s="864" t="n"/>
      <c r="AO49" s="862" t="n"/>
      <c r="AP49" s="863" t="n"/>
      <c r="AQ49" s="863" t="n"/>
      <c r="AR49" s="863" t="n"/>
      <c r="AS49" s="863" t="n"/>
      <c r="AT49" s="864" t="n"/>
      <c r="AU49" s="862" t="n"/>
      <c r="AV49" s="863" t="n"/>
      <c r="AW49" s="863" t="n"/>
      <c r="AX49" s="863" t="n"/>
      <c r="AY49" s="863" t="n"/>
      <c r="AZ49" s="863" t="n"/>
      <c r="BA49" s="864" t="n"/>
      <c r="BB49" s="862" t="n"/>
      <c r="BC49" s="863" t="n"/>
      <c r="BD49" s="863" t="n"/>
      <c r="BE49" s="863" t="n"/>
      <c r="BF49" s="863" t="n"/>
      <c r="BG49" s="864" t="n"/>
      <c r="BH49" s="862" t="n"/>
      <c r="BI49" s="863" t="n"/>
      <c r="BJ49" s="863" t="n"/>
      <c r="BK49" s="863" t="n"/>
      <c r="BL49" s="863" t="n"/>
      <c r="BM49" s="864" t="n"/>
      <c r="BN49" s="862" t="n"/>
      <c r="BO49" s="863" t="n"/>
      <c r="BP49" s="863" t="n"/>
      <c r="BQ49" s="863" t="n"/>
      <c r="BR49" s="863" t="n"/>
      <c r="BS49" s="864" t="n"/>
      <c r="BT49" s="862" t="n"/>
      <c r="BU49" s="863" t="n"/>
      <c r="BV49" s="863" t="n"/>
      <c r="BW49" s="863" t="n"/>
      <c r="BX49" s="863" t="n"/>
      <c r="BY49" s="865" t="n"/>
      <c r="BZ49" s="866" t="n"/>
      <c r="CA49" s="866" t="n"/>
      <c r="CB49" s="866" t="n"/>
    </row>
    <row r="50" ht="17.25" customHeight="1" s="838">
      <c r="B50" s="760" t="n"/>
      <c r="C50" s="748" t="n"/>
      <c r="D50" s="56" t="inlineStr">
        <is>
          <t>실적</t>
        </is>
      </c>
      <c r="E50" s="878">
        <f>고정비!G7</f>
        <v/>
      </c>
      <c r="F50" s="879" t="n"/>
      <c r="G50" s="879" t="n"/>
      <c r="H50" s="879" t="n"/>
      <c r="I50" s="879" t="n"/>
      <c r="J50" s="880" t="n"/>
      <c r="K50" s="881">
        <f>고정비!H7</f>
        <v/>
      </c>
      <c r="L50" s="879" t="n"/>
      <c r="M50" s="879" t="n"/>
      <c r="N50" s="879" t="n"/>
      <c r="O50" s="880" t="n"/>
      <c r="P50" s="881">
        <f>고정비!I7</f>
        <v/>
      </c>
      <c r="Q50" s="879" t="n"/>
      <c r="R50" s="879" t="n"/>
      <c r="S50" s="879" t="n"/>
      <c r="T50" s="879" t="n"/>
      <c r="U50" s="880" t="n"/>
      <c r="V50" s="881">
        <f>고정비!J7</f>
        <v/>
      </c>
      <c r="W50" s="879" t="n"/>
      <c r="X50" s="879" t="n"/>
      <c r="Y50" s="879" t="n"/>
      <c r="Z50" s="879" t="n"/>
      <c r="AA50" s="880" t="n"/>
      <c r="AB50" s="881" t="n"/>
      <c r="AC50" s="879" t="n"/>
      <c r="AD50" s="879" t="n"/>
      <c r="AE50" s="879" t="n"/>
      <c r="AF50" s="879" t="n"/>
      <c r="AG50" s="879" t="n"/>
      <c r="AH50" s="880" t="n"/>
      <c r="AI50" s="881" t="n"/>
      <c r="AJ50" s="879" t="n"/>
      <c r="AK50" s="879" t="n"/>
      <c r="AL50" s="879" t="n"/>
      <c r="AM50" s="879" t="n"/>
      <c r="AN50" s="880" t="n"/>
      <c r="AO50" s="881" t="n"/>
      <c r="AP50" s="879" t="n"/>
      <c r="AQ50" s="879" t="n"/>
      <c r="AR50" s="879" t="n"/>
      <c r="AS50" s="879" t="n"/>
      <c r="AT50" s="880" t="n"/>
      <c r="AU50" s="881" t="n"/>
      <c r="AV50" s="879" t="n"/>
      <c r="AW50" s="879" t="n"/>
      <c r="AX50" s="879" t="n"/>
      <c r="AY50" s="879" t="n"/>
      <c r="AZ50" s="879" t="n"/>
      <c r="BA50" s="880" t="n"/>
      <c r="BB50" s="881" t="n"/>
      <c r="BC50" s="879" t="n"/>
      <c r="BD50" s="879" t="n"/>
      <c r="BE50" s="879" t="n"/>
      <c r="BF50" s="879" t="n"/>
      <c r="BG50" s="880" t="n"/>
      <c r="BH50" s="881" t="n"/>
      <c r="BI50" s="879" t="n"/>
      <c r="BJ50" s="879" t="n"/>
      <c r="BK50" s="879" t="n"/>
      <c r="BL50" s="879" t="n"/>
      <c r="BM50" s="880" t="n"/>
      <c r="BN50" s="881" t="n"/>
      <c r="BO50" s="879" t="n"/>
      <c r="BP50" s="879" t="n"/>
      <c r="BQ50" s="879" t="n"/>
      <c r="BR50" s="879" t="n"/>
      <c r="BS50" s="880" t="n"/>
      <c r="BT50" s="881" t="n"/>
      <c r="BU50" s="879" t="n"/>
      <c r="BV50" s="879" t="n"/>
      <c r="BW50" s="879" t="n"/>
      <c r="BX50" s="879" t="n"/>
      <c r="BY50" s="882" t="n"/>
      <c r="BZ50" s="866" t="n"/>
      <c r="CA50" s="866" t="n"/>
      <c r="CB50" s="866" t="n"/>
    </row>
    <row r="51" ht="16.5" customHeight="1" s="838">
      <c r="E51" s="2" t="inlineStr">
        <is>
          <t>주차별 실적이 없는 경우 월별 실적으로 기입</t>
        </is>
      </c>
    </row>
    <row r="56" ht="17.25" customHeight="1" s="838">
      <c r="B56" s="1" t="inlineStr">
        <is>
          <t>Master Graph 전체 현황 로직 : 월별 실적의 누적값</t>
        </is>
      </c>
      <c r="E56" s="62" t="inlineStr">
        <is>
          <t>1월</t>
        </is>
      </c>
      <c r="F56" s="62" t="inlineStr">
        <is>
          <t>2월</t>
        </is>
      </c>
      <c r="G56" s="62" t="inlineStr">
        <is>
          <t>3월</t>
        </is>
      </c>
      <c r="H56" s="62" t="inlineStr">
        <is>
          <t>4월</t>
        </is>
      </c>
      <c r="I56" s="62" t="inlineStr">
        <is>
          <t>5월</t>
        </is>
      </c>
      <c r="J56" s="62" t="inlineStr">
        <is>
          <t>6월</t>
        </is>
      </c>
      <c r="K56" s="62" t="inlineStr">
        <is>
          <t>7월</t>
        </is>
      </c>
      <c r="L56" s="62" t="inlineStr">
        <is>
          <t>8월</t>
        </is>
      </c>
      <c r="M56" s="62" t="inlineStr">
        <is>
          <t>9월</t>
        </is>
      </c>
      <c r="N56" s="62" t="inlineStr">
        <is>
          <t>10월</t>
        </is>
      </c>
      <c r="O56" s="62" t="inlineStr">
        <is>
          <t>11월</t>
        </is>
      </c>
      <c r="P56" s="62" t="inlineStr">
        <is>
          <t>12월</t>
        </is>
      </c>
    </row>
    <row r="57" ht="16.5" customHeight="1" s="838">
      <c r="B57" s="773" t="inlineStr">
        <is>
          <t>합계</t>
        </is>
      </c>
      <c r="C57" s="743" t="n"/>
      <c r="D57" s="63" t="inlineStr">
        <is>
          <t>목표</t>
        </is>
      </c>
      <c r="E57" s="883">
        <f>E25</f>
        <v/>
      </c>
      <c r="F57" s="883">
        <f>E57+K25</f>
        <v/>
      </c>
      <c r="G57" s="883">
        <f>F57+P25</f>
        <v/>
      </c>
      <c r="H57" s="883">
        <f>G57+V25</f>
        <v/>
      </c>
      <c r="I57" s="65" t="n"/>
      <c r="J57" s="65" t="n"/>
      <c r="K57" s="65" t="n"/>
      <c r="L57" s="65" t="n"/>
      <c r="M57" s="65" t="n"/>
      <c r="N57" s="65" t="n"/>
      <c r="O57" s="65" t="n"/>
      <c r="P57" s="66" t="n"/>
    </row>
    <row r="58" ht="16.5" customHeight="1" s="838">
      <c r="B58" s="765" t="n"/>
      <c r="C58" s="766" t="n"/>
      <c r="D58" s="20" t="inlineStr">
        <is>
          <t>실적</t>
        </is>
      </c>
      <c r="E58" s="884">
        <f>E26</f>
        <v/>
      </c>
      <c r="F58" s="884">
        <f>E58+K26</f>
        <v/>
      </c>
      <c r="G58" s="884">
        <f>F58+P26</f>
        <v/>
      </c>
      <c r="H58" s="884">
        <f>G58+V26</f>
        <v/>
      </c>
      <c r="I58" s="68" t="n"/>
      <c r="J58" s="68" t="n"/>
      <c r="K58" s="68" t="n"/>
      <c r="L58" s="68" t="n"/>
      <c r="M58" s="68" t="n"/>
      <c r="N58" s="68" t="n"/>
      <c r="O58" s="68" t="n"/>
      <c r="P58" s="69" t="n"/>
    </row>
    <row r="59" ht="16.5" customHeight="1" s="838">
      <c r="B59" s="767" t="n"/>
      <c r="C59" s="736" t="n"/>
      <c r="D59" s="31" t="inlineStr">
        <is>
          <t>달성율</t>
        </is>
      </c>
      <c r="E59" s="35">
        <f>E58/E57</f>
        <v/>
      </c>
      <c r="F59" s="35">
        <f>F58/F57</f>
        <v/>
      </c>
      <c r="G59" s="35">
        <f>G58/G57</f>
        <v/>
      </c>
      <c r="H59" s="35">
        <f>H58/H57</f>
        <v/>
      </c>
      <c r="I59" s="70" t="n"/>
      <c r="J59" s="70" t="n"/>
      <c r="K59" s="70" t="n"/>
      <c r="L59" s="70" t="n"/>
      <c r="M59" s="70" t="n"/>
      <c r="N59" s="70" t="n"/>
      <c r="O59" s="70" t="n"/>
      <c r="P59" s="71" t="n"/>
    </row>
    <row r="60" ht="16.5" customHeight="1" s="838">
      <c r="B60" s="764" t="inlineStr">
        <is>
          <t>합계 (고정비 제외)</t>
        </is>
      </c>
      <c r="C60" s="734" t="n"/>
      <c r="D60" s="10" t="inlineStr">
        <is>
          <t>목표</t>
        </is>
      </c>
      <c r="E60" s="885">
        <f>E28</f>
        <v/>
      </c>
      <c r="F60" s="885">
        <f>E60+K28</f>
        <v/>
      </c>
      <c r="G60" s="885">
        <f>F60+P28</f>
        <v/>
      </c>
      <c r="H60" s="885">
        <f>G60+V28</f>
        <v/>
      </c>
      <c r="I60" s="73" t="n"/>
      <c r="J60" s="73" t="n"/>
      <c r="K60" s="73" t="n"/>
      <c r="L60" s="73" t="n"/>
      <c r="M60" s="73" t="n"/>
      <c r="N60" s="73" t="n"/>
      <c r="O60" s="73" t="n"/>
      <c r="P60" s="74" t="n"/>
    </row>
    <row r="61" ht="16.5" customHeight="1" s="838">
      <c r="B61" s="765" t="n"/>
      <c r="C61" s="766" t="n"/>
      <c r="D61" s="20" t="inlineStr">
        <is>
          <t>실적</t>
        </is>
      </c>
      <c r="E61" s="884">
        <f>E29</f>
        <v/>
      </c>
      <c r="F61" s="884">
        <f>E61+K29</f>
        <v/>
      </c>
      <c r="G61" s="884">
        <f>F61+P29</f>
        <v/>
      </c>
      <c r="H61" s="884">
        <f>G61+V29</f>
        <v/>
      </c>
      <c r="I61" s="68" t="n"/>
      <c r="J61" s="68" t="n"/>
      <c r="K61" s="68" t="n"/>
      <c r="L61" s="68" t="n"/>
      <c r="M61" s="68" t="n"/>
      <c r="N61" s="68" t="n"/>
      <c r="O61" s="68" t="n"/>
      <c r="P61" s="69" t="n"/>
    </row>
    <row r="62" ht="16.5" customHeight="1" s="838">
      <c r="B62" s="767" t="n"/>
      <c r="C62" s="736" t="n"/>
      <c r="D62" s="31" t="inlineStr">
        <is>
          <t>달성율</t>
        </is>
      </c>
      <c r="E62" s="35">
        <f>E61/E60</f>
        <v/>
      </c>
      <c r="F62" s="35">
        <f>F61/F60</f>
        <v/>
      </c>
      <c r="G62" s="35">
        <f>G61/G60</f>
        <v/>
      </c>
      <c r="H62" s="35">
        <f>H61/H60</f>
        <v/>
      </c>
      <c r="I62" s="70" t="n"/>
      <c r="J62" s="70" t="n"/>
      <c r="K62" s="70" t="n"/>
      <c r="L62" s="70" t="n"/>
      <c r="M62" s="70" t="n"/>
      <c r="N62" s="70" t="n"/>
      <c r="O62" s="70" t="n"/>
      <c r="P62" s="71" t="n"/>
    </row>
    <row r="63" ht="16.5" customHeight="1" s="838">
      <c r="B63" s="764" t="inlineStr">
        <is>
          <t>재료비</t>
        </is>
      </c>
      <c r="C63" s="768" t="inlineStr">
        <is>
          <t>시스템 반영 VI</t>
        </is>
      </c>
      <c r="D63" s="10" t="inlineStr">
        <is>
          <t>목표</t>
        </is>
      </c>
      <c r="E63" s="886">
        <f>E31</f>
        <v/>
      </c>
      <c r="F63" s="886">
        <f>E63+K31</f>
        <v/>
      </c>
      <c r="G63" s="886">
        <f>F63+P31</f>
        <v/>
      </c>
      <c r="H63" s="886">
        <f>G63+V31</f>
        <v/>
      </c>
      <c r="I63" s="73" t="n"/>
      <c r="J63" s="73" t="n"/>
      <c r="K63" s="73" t="n"/>
      <c r="L63" s="73" t="n"/>
      <c r="M63" s="73" t="n"/>
      <c r="N63" s="73" t="n"/>
      <c r="O63" s="73" t="n"/>
      <c r="P63" s="74" t="n"/>
    </row>
    <row r="64" ht="16.5" customHeight="1" s="838">
      <c r="B64" s="756" t="n"/>
      <c r="C64" s="739" t="n"/>
      <c r="D64" s="31" t="inlineStr">
        <is>
          <t>실적</t>
        </is>
      </c>
      <c r="E64" s="887">
        <f>E32</f>
        <v/>
      </c>
      <c r="F64" s="887">
        <f>E64+K32</f>
        <v/>
      </c>
      <c r="G64" s="887">
        <f>F64+P32</f>
        <v/>
      </c>
      <c r="H64" s="887">
        <f>G64+V32</f>
        <v/>
      </c>
      <c r="I64" s="70" t="n"/>
      <c r="J64" s="70" t="n"/>
      <c r="K64" s="70" t="n"/>
      <c r="L64" s="70" t="n"/>
      <c r="M64" s="70" t="n"/>
      <c r="N64" s="70" t="n"/>
      <c r="O64" s="70" t="n"/>
      <c r="P64" s="71" t="n"/>
    </row>
    <row r="65" ht="16.5" customHeight="1" s="838">
      <c r="B65" s="756" t="n"/>
      <c r="C65" s="774" t="inlineStr">
        <is>
          <t>시스템 미반영 VI</t>
        </is>
      </c>
      <c r="D65" s="10" t="inlineStr">
        <is>
          <t>목표</t>
        </is>
      </c>
      <c r="E65" s="886">
        <f>E33</f>
        <v/>
      </c>
      <c r="F65" s="886">
        <f>E65+K33</f>
        <v/>
      </c>
      <c r="G65" s="886">
        <f>F65+P33</f>
        <v/>
      </c>
      <c r="H65" s="886">
        <f>G65+V33</f>
        <v/>
      </c>
      <c r="I65" s="73" t="n"/>
      <c r="J65" s="73" t="n"/>
      <c r="K65" s="73" t="n"/>
      <c r="L65" s="73" t="n"/>
      <c r="M65" s="73" t="n"/>
      <c r="N65" s="73" t="n"/>
      <c r="O65" s="73" t="n"/>
      <c r="P65" s="74" t="n"/>
    </row>
    <row r="66" ht="16.5" customHeight="1" s="838">
      <c r="B66" s="770" t="n"/>
      <c r="C66" s="739" t="n"/>
      <c r="D66" s="31" t="inlineStr">
        <is>
          <t>실적</t>
        </is>
      </c>
      <c r="E66" s="887">
        <f>E34</f>
        <v/>
      </c>
      <c r="F66" s="887">
        <f>E66+K34</f>
        <v/>
      </c>
      <c r="G66" s="887">
        <f>F66+P34</f>
        <v/>
      </c>
      <c r="H66" s="887">
        <f>G66+V34</f>
        <v/>
      </c>
      <c r="I66" s="70" t="n"/>
      <c r="J66" s="70" t="n"/>
      <c r="K66" s="70" t="n"/>
      <c r="L66" s="70" t="n"/>
      <c r="M66" s="70" t="n"/>
      <c r="N66" s="70" t="n"/>
      <c r="O66" s="70" t="n"/>
      <c r="P66" s="71" t="n"/>
    </row>
    <row r="67" ht="16.5" customHeight="1" s="838">
      <c r="B67" s="764" t="inlineStr">
        <is>
          <t>가공비</t>
        </is>
      </c>
      <c r="C67" s="734" t="n"/>
      <c r="D67" s="10" t="inlineStr">
        <is>
          <t>목표</t>
        </is>
      </c>
      <c r="E67" s="886">
        <f>E35</f>
        <v/>
      </c>
      <c r="F67" s="886">
        <f>E67+K35</f>
        <v/>
      </c>
      <c r="G67" s="886">
        <f>F67+P35</f>
        <v/>
      </c>
      <c r="H67" s="886">
        <f>G67+V35</f>
        <v/>
      </c>
      <c r="I67" s="73" t="n"/>
      <c r="J67" s="73" t="n"/>
      <c r="K67" s="73" t="n"/>
      <c r="L67" s="73" t="n"/>
      <c r="M67" s="73" t="n"/>
      <c r="N67" s="73" t="n"/>
      <c r="O67" s="73" t="n"/>
      <c r="P67" s="74" t="n"/>
    </row>
    <row r="68" ht="16.5" customHeight="1" s="838">
      <c r="B68" s="767" t="n"/>
      <c r="C68" s="736" t="n"/>
      <c r="D68" s="31" t="inlineStr">
        <is>
          <t>실적</t>
        </is>
      </c>
      <c r="E68" s="887">
        <f>E36</f>
        <v/>
      </c>
      <c r="F68" s="887">
        <f>E68+K36</f>
        <v/>
      </c>
      <c r="G68" s="887">
        <f>F68+P36</f>
        <v/>
      </c>
      <c r="H68" s="887">
        <f>G68+V36</f>
        <v/>
      </c>
      <c r="I68" s="70" t="n"/>
      <c r="J68" s="70" t="n"/>
      <c r="K68" s="70" t="n"/>
      <c r="L68" s="70" t="n"/>
      <c r="M68" s="70" t="n"/>
      <c r="N68" s="70" t="n"/>
      <c r="O68" s="70" t="n"/>
      <c r="P68" s="71" t="n"/>
    </row>
    <row r="69" ht="16.5" customHeight="1" s="838">
      <c r="B69" s="764" t="inlineStr">
        <is>
          <t>물류비</t>
        </is>
      </c>
      <c r="C69" s="734" t="n"/>
      <c r="D69" s="10" t="inlineStr">
        <is>
          <t>목표</t>
        </is>
      </c>
      <c r="E69" s="886">
        <f>E37</f>
        <v/>
      </c>
      <c r="F69" s="886">
        <f>E69+K37</f>
        <v/>
      </c>
      <c r="G69" s="886">
        <f>F69+P37</f>
        <v/>
      </c>
      <c r="H69" s="886">
        <f>G69+V37</f>
        <v/>
      </c>
      <c r="I69" s="73" t="n"/>
      <c r="J69" s="73" t="n"/>
      <c r="K69" s="73" t="n"/>
      <c r="L69" s="73" t="n"/>
      <c r="M69" s="73" t="n"/>
      <c r="N69" s="73" t="n"/>
      <c r="O69" s="73" t="n"/>
      <c r="P69" s="74" t="n"/>
    </row>
    <row r="70" ht="16.5" customHeight="1" s="838">
      <c r="B70" s="767" t="n"/>
      <c r="C70" s="736" t="n"/>
      <c r="D70" s="31" t="inlineStr">
        <is>
          <t>실적</t>
        </is>
      </c>
      <c r="E70" s="887">
        <f>E38</f>
        <v/>
      </c>
      <c r="F70" s="887">
        <f>E70+K38</f>
        <v/>
      </c>
      <c r="G70" s="887">
        <f>F70+P38</f>
        <v/>
      </c>
      <c r="H70" s="887">
        <f>G70+V38</f>
        <v/>
      </c>
      <c r="I70" s="70" t="n"/>
      <c r="J70" s="70" t="n"/>
      <c r="K70" s="70" t="n"/>
      <c r="L70" s="70" t="n"/>
      <c r="M70" s="70" t="n"/>
      <c r="N70" s="70" t="n"/>
      <c r="O70" s="70" t="n"/>
      <c r="P70" s="71" t="n"/>
    </row>
    <row r="71" ht="16.5" customHeight="1" s="838">
      <c r="B71" s="764" t="inlineStr">
        <is>
          <t>투자비</t>
        </is>
      </c>
      <c r="C71" s="768" t="inlineStr">
        <is>
          <t>설비</t>
        </is>
      </c>
      <c r="D71" s="10" t="inlineStr">
        <is>
          <t>목표</t>
        </is>
      </c>
      <c r="E71" s="886">
        <f>E39</f>
        <v/>
      </c>
      <c r="F71" s="886">
        <f>E71+K39</f>
        <v/>
      </c>
      <c r="G71" s="886">
        <f>F71+P39</f>
        <v/>
      </c>
      <c r="H71" s="886">
        <f>G71+V39</f>
        <v/>
      </c>
      <c r="I71" s="73" t="n"/>
      <c r="J71" s="73" t="n"/>
      <c r="K71" s="73" t="n"/>
      <c r="L71" s="73" t="n"/>
      <c r="M71" s="73" t="n"/>
      <c r="N71" s="73" t="n"/>
      <c r="O71" s="73" t="n"/>
      <c r="P71" s="74" t="n"/>
    </row>
    <row r="72" ht="16.5" customHeight="1" s="838">
      <c r="B72" s="756" t="n"/>
      <c r="C72" s="739" t="n"/>
      <c r="D72" s="31" t="inlineStr">
        <is>
          <t>실적</t>
        </is>
      </c>
      <c r="E72" s="887">
        <f>E40</f>
        <v/>
      </c>
      <c r="F72" s="887">
        <f>E72+K40</f>
        <v/>
      </c>
      <c r="G72" s="887">
        <f>F72+P40</f>
        <v/>
      </c>
      <c r="H72" s="887">
        <f>G72+V40</f>
        <v/>
      </c>
      <c r="I72" s="70" t="n"/>
      <c r="J72" s="70" t="n"/>
      <c r="K72" s="70" t="n"/>
      <c r="L72" s="70" t="n"/>
      <c r="M72" s="70" t="n"/>
      <c r="N72" s="70" t="n"/>
      <c r="O72" s="70" t="n"/>
      <c r="P72" s="71" t="n"/>
    </row>
    <row r="73" ht="16.5" customHeight="1" s="838">
      <c r="B73" s="756" t="n"/>
      <c r="C73" s="768" t="inlineStr">
        <is>
          <t>금형</t>
        </is>
      </c>
      <c r="D73" s="10" t="inlineStr">
        <is>
          <t>목표</t>
        </is>
      </c>
      <c r="E73" s="886">
        <f>E41</f>
        <v/>
      </c>
      <c r="F73" s="886">
        <f>E73+K41</f>
        <v/>
      </c>
      <c r="G73" s="886">
        <f>F73+P41</f>
        <v/>
      </c>
      <c r="H73" s="886">
        <f>G73+V41</f>
        <v/>
      </c>
      <c r="I73" s="73" t="n"/>
      <c r="J73" s="73" t="n"/>
      <c r="K73" s="73" t="n"/>
      <c r="L73" s="73" t="n"/>
      <c r="M73" s="73" t="n"/>
      <c r="N73" s="73" t="n"/>
      <c r="O73" s="73" t="n"/>
      <c r="P73" s="74" t="n"/>
    </row>
    <row r="74" ht="16.5" customHeight="1" s="838">
      <c r="B74" s="770" t="n"/>
      <c r="C74" s="739" t="n"/>
      <c r="D74" s="31" t="inlineStr">
        <is>
          <t>실적</t>
        </is>
      </c>
      <c r="E74" s="887">
        <f>E42</f>
        <v/>
      </c>
      <c r="F74" s="887">
        <f>E74+K42</f>
        <v/>
      </c>
      <c r="G74" s="887">
        <f>F74+P42</f>
        <v/>
      </c>
      <c r="H74" s="887">
        <f>G74+V42</f>
        <v/>
      </c>
      <c r="I74" s="70" t="n"/>
      <c r="J74" s="70" t="n"/>
      <c r="K74" s="70" t="n"/>
      <c r="L74" s="70" t="n"/>
      <c r="M74" s="70" t="n"/>
      <c r="N74" s="70" t="n"/>
      <c r="O74" s="70" t="n"/>
      <c r="P74" s="71" t="n"/>
    </row>
    <row r="75" ht="16.5" customHeight="1" s="838">
      <c r="B75" s="764" t="inlineStr">
        <is>
          <t>매출</t>
        </is>
      </c>
      <c r="C75" s="822" t="inlineStr">
        <is>
          <t>지역1</t>
        </is>
      </c>
      <c r="D75" s="10" t="inlineStr">
        <is>
          <t>목표</t>
        </is>
      </c>
      <c r="E75" s="886">
        <f>E43</f>
        <v/>
      </c>
      <c r="F75" s="886">
        <f>E75+K43</f>
        <v/>
      </c>
      <c r="G75" s="886">
        <f>F75+P43</f>
        <v/>
      </c>
      <c r="H75" s="886">
        <f>G75+V43</f>
        <v/>
      </c>
      <c r="I75" s="73" t="n"/>
      <c r="J75" s="73" t="n"/>
      <c r="K75" s="73" t="n"/>
      <c r="L75" s="73" t="n"/>
      <c r="M75" s="73" t="n"/>
      <c r="N75" s="73" t="n"/>
      <c r="O75" s="73" t="n"/>
      <c r="P75" s="74" t="n"/>
    </row>
    <row r="76" ht="16.5" customHeight="1" s="838">
      <c r="B76" s="756" t="n"/>
      <c r="C76" s="739" t="n"/>
      <c r="D76" s="31" t="inlineStr">
        <is>
          <t>실적</t>
        </is>
      </c>
      <c r="E76" s="887">
        <f>E44</f>
        <v/>
      </c>
      <c r="F76" s="887">
        <f>E76+K44</f>
        <v/>
      </c>
      <c r="G76" s="887">
        <f>F76+P44</f>
        <v/>
      </c>
      <c r="H76" s="887">
        <f>G76+V44</f>
        <v/>
      </c>
      <c r="I76" s="70" t="n"/>
      <c r="J76" s="70" t="n"/>
      <c r="K76" s="70" t="n"/>
      <c r="L76" s="70" t="n"/>
      <c r="M76" s="70" t="n"/>
      <c r="N76" s="70" t="n"/>
      <c r="O76" s="70" t="n"/>
      <c r="P76" s="71" t="n"/>
    </row>
    <row r="77" ht="16.5" customHeight="1" s="838">
      <c r="B77" s="756" t="n"/>
      <c r="C77" s="822" t="inlineStr">
        <is>
          <t>지역2</t>
        </is>
      </c>
      <c r="D77" s="10" t="inlineStr">
        <is>
          <t>목표</t>
        </is>
      </c>
      <c r="E77" s="886">
        <f>E45</f>
        <v/>
      </c>
      <c r="F77" s="886">
        <f>E77+K45</f>
        <v/>
      </c>
      <c r="G77" s="886">
        <f>F77+P45</f>
        <v/>
      </c>
      <c r="H77" s="886">
        <f>G77+V45</f>
        <v/>
      </c>
      <c r="I77" s="73" t="n"/>
      <c r="J77" s="73" t="n"/>
      <c r="K77" s="73" t="n"/>
      <c r="L77" s="73" t="n"/>
      <c r="M77" s="73" t="n"/>
      <c r="N77" s="73" t="n"/>
      <c r="O77" s="73" t="n"/>
      <c r="P77" s="74" t="n"/>
    </row>
    <row r="78" ht="16.5" customHeight="1" s="838">
      <c r="B78" s="770" t="n"/>
      <c r="C78" s="739" t="n"/>
      <c r="D78" s="31" t="inlineStr">
        <is>
          <t>실적</t>
        </is>
      </c>
      <c r="E78" s="887">
        <f>E46</f>
        <v/>
      </c>
      <c r="F78" s="887">
        <f>E78+K46</f>
        <v/>
      </c>
      <c r="G78" s="887">
        <f>F78+P46</f>
        <v/>
      </c>
      <c r="H78" s="887">
        <f>G78+V46</f>
        <v/>
      </c>
      <c r="I78" s="70" t="n"/>
      <c r="J78" s="70" t="n"/>
      <c r="K78" s="70" t="n"/>
      <c r="L78" s="70" t="n"/>
      <c r="M78" s="70" t="n"/>
      <c r="N78" s="70" t="n"/>
      <c r="O78" s="70" t="n"/>
      <c r="P78" s="71" t="n"/>
    </row>
    <row r="79" ht="16.5" customHeight="1" s="838">
      <c r="B79" s="764" t="inlineStr">
        <is>
          <t>품질</t>
        </is>
      </c>
      <c r="C79" s="734" t="n"/>
      <c r="D79" s="10" t="inlineStr">
        <is>
          <t>목표</t>
        </is>
      </c>
      <c r="E79" s="886">
        <f>E47</f>
        <v/>
      </c>
      <c r="F79" s="886">
        <f>E79+K47</f>
        <v/>
      </c>
      <c r="G79" s="886">
        <f>F79+P47</f>
        <v/>
      </c>
      <c r="H79" s="886">
        <f>G79+V47</f>
        <v/>
      </c>
      <c r="I79" s="73" t="n"/>
      <c r="J79" s="73" t="n"/>
      <c r="K79" s="73" t="n"/>
      <c r="L79" s="73" t="n"/>
      <c r="M79" s="73" t="n"/>
      <c r="N79" s="73" t="n"/>
      <c r="O79" s="73" t="n"/>
      <c r="P79" s="74" t="n"/>
    </row>
    <row r="80" ht="16.5" customHeight="1" s="838">
      <c r="B80" s="767" t="n"/>
      <c r="C80" s="736" t="n"/>
      <c r="D80" s="31" t="inlineStr">
        <is>
          <t>실적</t>
        </is>
      </c>
      <c r="E80" s="887">
        <f>E48</f>
        <v/>
      </c>
      <c r="F80" s="887">
        <f>E80+K48</f>
        <v/>
      </c>
      <c r="G80" s="887">
        <f>F80+P48</f>
        <v/>
      </c>
      <c r="H80" s="887">
        <f>G80+V48</f>
        <v/>
      </c>
      <c r="I80" s="70" t="n"/>
      <c r="J80" s="70" t="n"/>
      <c r="K80" s="70" t="n"/>
      <c r="L80" s="70" t="n"/>
      <c r="M80" s="70" t="n"/>
      <c r="N80" s="70" t="n"/>
      <c r="O80" s="70" t="n"/>
      <c r="P80" s="71" t="n"/>
    </row>
    <row r="81" ht="16.5" customHeight="1" s="838">
      <c r="B81" s="759" t="inlineStr">
        <is>
          <t>고정비</t>
        </is>
      </c>
      <c r="C81" s="734" t="n"/>
      <c r="D81" s="10" t="inlineStr">
        <is>
          <t>목표</t>
        </is>
      </c>
      <c r="E81" s="886">
        <f>E49</f>
        <v/>
      </c>
      <c r="F81" s="886">
        <f>E81+K49</f>
        <v/>
      </c>
      <c r="G81" s="886">
        <f>F81+P49</f>
        <v/>
      </c>
      <c r="H81" s="886">
        <f>G81+V49</f>
        <v/>
      </c>
      <c r="I81" s="73" t="n"/>
      <c r="J81" s="73" t="n"/>
      <c r="K81" s="73" t="n"/>
      <c r="L81" s="73" t="n"/>
      <c r="M81" s="73" t="n"/>
      <c r="N81" s="73" t="n"/>
      <c r="O81" s="73" t="n"/>
      <c r="P81" s="74" t="n"/>
    </row>
    <row r="82" ht="17.25" customHeight="1" s="838">
      <c r="B82" s="760" t="n"/>
      <c r="C82" s="748" t="n"/>
      <c r="D82" s="56" t="inlineStr">
        <is>
          <t>실적</t>
        </is>
      </c>
      <c r="E82" s="888">
        <f>E50</f>
        <v/>
      </c>
      <c r="F82" s="888">
        <f>E82+K50</f>
        <v/>
      </c>
      <c r="G82" s="888">
        <f>F82+P50</f>
        <v/>
      </c>
      <c r="H82" s="888">
        <f>G82+V50</f>
        <v/>
      </c>
      <c r="I82" s="78" t="n"/>
      <c r="J82" s="78" t="n"/>
      <c r="K82" s="78" t="n"/>
      <c r="L82" s="78" t="n"/>
      <c r="M82" s="78" t="n"/>
      <c r="N82" s="78" t="n"/>
      <c r="O82" s="78" t="n"/>
      <c r="P82" s="79" t="n"/>
    </row>
  </sheetData>
  <mergeCells count="43">
    <mergeCell ref="B69:C70"/>
    <mergeCell ref="B31:B34"/>
    <mergeCell ref="B75:B78"/>
    <mergeCell ref="C73:C74"/>
    <mergeCell ref="AB23:AH23"/>
    <mergeCell ref="C33:C34"/>
    <mergeCell ref="B25:C27"/>
    <mergeCell ref="B37:C38"/>
    <mergeCell ref="BB23:BG23"/>
    <mergeCell ref="P23:U23"/>
    <mergeCell ref="C45:C46"/>
    <mergeCell ref="C63:C64"/>
    <mergeCell ref="BH23:BM23"/>
    <mergeCell ref="B71:B74"/>
    <mergeCell ref="B49:C50"/>
    <mergeCell ref="C75:C76"/>
    <mergeCell ref="B43:B46"/>
    <mergeCell ref="C65:C66"/>
    <mergeCell ref="C71:C72"/>
    <mergeCell ref="B39:B42"/>
    <mergeCell ref="AU23:BA23"/>
    <mergeCell ref="C41:C42"/>
    <mergeCell ref="BT23:BY23"/>
    <mergeCell ref="C31:C32"/>
    <mergeCell ref="B79:C80"/>
    <mergeCell ref="B57:C59"/>
    <mergeCell ref="C43:C44"/>
    <mergeCell ref="B60:C62"/>
    <mergeCell ref="B23:D24"/>
    <mergeCell ref="B35:C36"/>
    <mergeCell ref="B81:C82"/>
    <mergeCell ref="AI23:AN23"/>
    <mergeCell ref="B28:C30"/>
    <mergeCell ref="C39:C40"/>
    <mergeCell ref="K23:O23"/>
    <mergeCell ref="BN23:BS23"/>
    <mergeCell ref="B47:C48"/>
    <mergeCell ref="AO23:AT23"/>
    <mergeCell ref="V23:AA23"/>
    <mergeCell ref="E23:J23"/>
    <mergeCell ref="B67:C68"/>
    <mergeCell ref="C77:C78"/>
    <mergeCell ref="B63:B66"/>
  </mergeCells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006600"/>
    <outlinePr summaryBelow="1" summaryRight="1"/>
    <pageSetUpPr/>
  </sheetPr>
  <dimension ref="B2:CA72"/>
  <sheetViews>
    <sheetView showGridLines="0" zoomScale="75" zoomScaleNormal="75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D46" sqref="D46:D53"/>
    </sheetView>
  </sheetViews>
  <sheetFormatPr baseColWidth="8" defaultColWidth="9" defaultRowHeight="16.5" customHeight="1"/>
  <cols>
    <col width="3.875" customWidth="1" style="831" min="1" max="1"/>
    <col width="29.25" bestFit="1" customWidth="1" style="834" min="2" max="2"/>
    <col width="16.875" customWidth="1" style="834" min="3" max="3"/>
    <col width="9.25" customWidth="1" style="834" min="4" max="4"/>
    <col width="13" customWidth="1" style="834" min="5" max="5"/>
    <col width="5.625" customWidth="1" style="834" min="6" max="6"/>
    <col width="7.5" customWidth="1" style="831" min="7" max="7"/>
    <col outlineLevel="1" width="7.5" customWidth="1" style="831" min="8" max="12"/>
    <col width="7.5" customWidth="1" style="831" min="13" max="13"/>
    <col outlineLevel="1" width="7.5" customWidth="1" style="831" min="14" max="14"/>
    <col outlineLevel="1" width="8.375" customWidth="1" style="831" min="15" max="15"/>
    <col outlineLevel="1" width="7.5" customWidth="1" style="831" min="16" max="16"/>
    <col outlineLevel="1" width="8.375" customWidth="1" style="831" min="17" max="17"/>
    <col width="7.5" customWidth="1" style="831" min="18" max="18"/>
    <col outlineLevel="1" width="7.5" customWidth="1" style="831" min="19" max="19"/>
    <col outlineLevel="1" width="8.375" customWidth="1" style="831" min="20" max="21"/>
    <col outlineLevel="1" width="7.5" customWidth="1" style="831" min="22" max="23"/>
    <col width="8.375" customWidth="1" style="831" min="24" max="24"/>
    <col outlineLevel="1" width="7.5" customWidth="1" style="831" min="25" max="25"/>
    <col outlineLevel="1" width="8.375" customWidth="1" style="831" min="26" max="26"/>
    <col outlineLevel="1" width="7.5" customWidth="1" style="831" min="27" max="29"/>
    <col width="7.5" customWidth="1" style="831" min="30" max="30"/>
    <col outlineLevel="1" width="7.5" customWidth="1" style="831" min="31" max="31"/>
    <col outlineLevel="1" width="8.375" customWidth="1" style="831" min="32" max="33"/>
    <col outlineLevel="1" width="7.5" customWidth="1" style="831" min="34" max="36"/>
    <col width="8.375" customWidth="1" style="831" min="37" max="37"/>
    <col outlineLevel="1" width="8.375" customWidth="1" style="831" min="38" max="40"/>
    <col outlineLevel="1" width="7.5" customWidth="1" style="831" min="41" max="42"/>
    <col width="8.375" customWidth="1" style="831" min="43" max="43"/>
    <col outlineLevel="1" width="8.375" customWidth="1" style="831" min="44" max="48"/>
    <col width="7.5" customWidth="1" style="831" min="49" max="49"/>
    <col outlineLevel="1" width="7.5" customWidth="1" style="831" min="50" max="55"/>
    <col width="7.5" customWidth="1" style="831" min="56" max="56"/>
    <col outlineLevel="1" width="7.5" customWidth="1" style="831" min="57" max="61"/>
    <col width="7.5" customWidth="1" style="831" min="62" max="62"/>
    <col outlineLevel="1" width="7.5" customWidth="1" style="831" min="63" max="67"/>
    <col width="10.125" customWidth="1" style="831" min="68" max="68"/>
    <col outlineLevel="1" width="8.375" customWidth="1" style="831" min="69" max="73"/>
    <col width="8.375" customWidth="1" style="831" min="74" max="74"/>
    <col outlineLevel="1" width="8.375" customWidth="1" style="831" min="75" max="78"/>
    <col outlineLevel="1" width="6.5" customWidth="1" style="831" min="79" max="79"/>
    <col width="11.875" customWidth="1" style="831" min="80" max="80"/>
    <col width="9" customWidth="1" style="831" min="81" max="81"/>
    <col width="9" customWidth="1" style="831" min="82" max="16384"/>
  </cols>
  <sheetData>
    <row r="2" ht="16.5" customHeight="1" s="838">
      <c r="B2" s="744" t="n"/>
      <c r="C2" s="745" t="n"/>
      <c r="D2" s="745" t="n"/>
      <c r="E2" s="745" t="n"/>
      <c r="F2" s="734" t="n"/>
      <c r="G2" s="733" t="inlineStr">
        <is>
          <t>1월</t>
        </is>
      </c>
      <c r="H2" s="740" t="n"/>
      <c r="I2" s="740" t="n"/>
      <c r="J2" s="740" t="n"/>
      <c r="K2" s="740" t="n"/>
      <c r="L2" s="741" t="n"/>
      <c r="M2" s="733" t="inlineStr">
        <is>
          <t>2월</t>
        </is>
      </c>
      <c r="N2" s="740" t="n"/>
      <c r="O2" s="740" t="n"/>
      <c r="P2" s="740" t="n"/>
      <c r="Q2" s="741" t="n"/>
      <c r="R2" s="733" t="inlineStr">
        <is>
          <t>3월</t>
        </is>
      </c>
      <c r="S2" s="740" t="n"/>
      <c r="T2" s="740" t="n"/>
      <c r="U2" s="740" t="n"/>
      <c r="V2" s="740" t="n"/>
      <c r="W2" s="741" t="n"/>
      <c r="X2" s="733" t="inlineStr">
        <is>
          <t>4월</t>
        </is>
      </c>
      <c r="Y2" s="740" t="n"/>
      <c r="Z2" s="740" t="n"/>
      <c r="AA2" s="740" t="n"/>
      <c r="AB2" s="740" t="n"/>
      <c r="AC2" s="741" t="n"/>
      <c r="AD2" s="733" t="inlineStr">
        <is>
          <t>5월</t>
        </is>
      </c>
      <c r="AE2" s="740" t="n"/>
      <c r="AF2" s="740" t="n"/>
      <c r="AG2" s="740" t="n"/>
      <c r="AH2" s="740" t="n"/>
      <c r="AI2" s="740" t="n"/>
      <c r="AJ2" s="741" t="n"/>
      <c r="AK2" s="733" t="inlineStr">
        <is>
          <t>6월</t>
        </is>
      </c>
      <c r="AL2" s="740" t="n"/>
      <c r="AM2" s="740" t="n"/>
      <c r="AN2" s="740" t="n"/>
      <c r="AO2" s="740" t="n"/>
      <c r="AP2" s="741" t="n"/>
      <c r="AQ2" s="733" t="inlineStr">
        <is>
          <t>7월</t>
        </is>
      </c>
      <c r="AR2" s="740" t="n"/>
      <c r="AS2" s="740" t="n"/>
      <c r="AT2" s="740" t="n"/>
      <c r="AU2" s="740" t="n"/>
      <c r="AV2" s="741" t="n"/>
      <c r="AW2" s="733" t="inlineStr">
        <is>
          <t>8월</t>
        </is>
      </c>
      <c r="AX2" s="740" t="n"/>
      <c r="AY2" s="740" t="n"/>
      <c r="AZ2" s="740" t="n"/>
      <c r="BA2" s="740" t="n"/>
      <c r="BB2" s="740" t="n"/>
      <c r="BC2" s="741" t="n"/>
      <c r="BD2" s="733" t="inlineStr">
        <is>
          <t>9월</t>
        </is>
      </c>
      <c r="BE2" s="740" t="n"/>
      <c r="BF2" s="740" t="n"/>
      <c r="BG2" s="740" t="n"/>
      <c r="BH2" s="740" t="n"/>
      <c r="BI2" s="741" t="n"/>
      <c r="BJ2" s="733" t="inlineStr">
        <is>
          <t>10월</t>
        </is>
      </c>
      <c r="BK2" s="740" t="n"/>
      <c r="BL2" s="740" t="n"/>
      <c r="BM2" s="740" t="n"/>
      <c r="BN2" s="740" t="n"/>
      <c r="BO2" s="741" t="n"/>
      <c r="BP2" s="733" t="inlineStr">
        <is>
          <t>11월</t>
        </is>
      </c>
      <c r="BQ2" s="740" t="n"/>
      <c r="BR2" s="740" t="n"/>
      <c r="BS2" s="740" t="n"/>
      <c r="BT2" s="740" t="n"/>
      <c r="BU2" s="741" t="n"/>
      <c r="BV2" s="733" t="inlineStr">
        <is>
          <t>12월</t>
        </is>
      </c>
      <c r="BW2" s="740" t="n"/>
      <c r="BX2" s="740" t="n"/>
      <c r="BY2" s="740" t="n"/>
      <c r="BZ2" s="740" t="n"/>
      <c r="CA2" s="741" t="n"/>
    </row>
    <row r="3" ht="17.25" customHeight="1" s="838">
      <c r="B3" s="746" t="n"/>
      <c r="C3" s="747" t="n"/>
      <c r="D3" s="747" t="n"/>
      <c r="E3" s="747" t="n"/>
      <c r="F3" s="748" t="n"/>
      <c r="G3" s="83" t="inlineStr">
        <is>
          <t>실적</t>
        </is>
      </c>
      <c r="H3" s="797" t="inlineStr">
        <is>
          <t>W1</t>
        </is>
      </c>
      <c r="I3" s="797" t="inlineStr">
        <is>
          <t>W2</t>
        </is>
      </c>
      <c r="J3" s="797" t="inlineStr">
        <is>
          <t>W3</t>
        </is>
      </c>
      <c r="K3" s="797" t="inlineStr">
        <is>
          <t>W4</t>
        </is>
      </c>
      <c r="L3" s="797" t="inlineStr">
        <is>
          <t>W5</t>
        </is>
      </c>
      <c r="M3" s="83" t="inlineStr">
        <is>
          <t>실적</t>
        </is>
      </c>
      <c r="N3" s="797" t="inlineStr">
        <is>
          <t>W6</t>
        </is>
      </c>
      <c r="O3" s="797" t="inlineStr">
        <is>
          <t>W7</t>
        </is>
      </c>
      <c r="P3" s="797" t="inlineStr">
        <is>
          <t>W8</t>
        </is>
      </c>
      <c r="Q3" s="797" t="inlineStr">
        <is>
          <t>W9</t>
        </is>
      </c>
      <c r="R3" s="83" t="inlineStr">
        <is>
          <t>실적</t>
        </is>
      </c>
      <c r="S3" s="797" t="inlineStr">
        <is>
          <t>W10</t>
        </is>
      </c>
      <c r="T3" s="797" t="inlineStr">
        <is>
          <t>W11</t>
        </is>
      </c>
      <c r="U3" s="797" t="inlineStr">
        <is>
          <t>W12</t>
        </is>
      </c>
      <c r="V3" s="797" t="inlineStr">
        <is>
          <t>W13</t>
        </is>
      </c>
      <c r="W3" s="797" t="inlineStr">
        <is>
          <t>W14</t>
        </is>
      </c>
      <c r="X3" s="83" t="inlineStr">
        <is>
          <t>실적</t>
        </is>
      </c>
      <c r="Y3" s="797" t="inlineStr">
        <is>
          <t>W14</t>
        </is>
      </c>
      <c r="Z3" s="797" t="inlineStr">
        <is>
          <t>W15</t>
        </is>
      </c>
      <c r="AA3" s="797" t="inlineStr">
        <is>
          <t>W16</t>
        </is>
      </c>
      <c r="AB3" s="797" t="inlineStr">
        <is>
          <t>W17</t>
        </is>
      </c>
      <c r="AC3" s="797" t="inlineStr">
        <is>
          <t>W18</t>
        </is>
      </c>
      <c r="AD3" s="83" t="inlineStr">
        <is>
          <t>실적</t>
        </is>
      </c>
      <c r="AE3" s="797" t="inlineStr">
        <is>
          <t>W18</t>
        </is>
      </c>
      <c r="AF3" s="797" t="inlineStr">
        <is>
          <t>W19</t>
        </is>
      </c>
      <c r="AG3" s="797" t="inlineStr">
        <is>
          <t>W20</t>
        </is>
      </c>
      <c r="AH3" s="797" t="inlineStr">
        <is>
          <t>W21</t>
        </is>
      </c>
      <c r="AI3" s="797" t="inlineStr">
        <is>
          <t>W22</t>
        </is>
      </c>
      <c r="AJ3" s="797" t="inlineStr">
        <is>
          <t>W23</t>
        </is>
      </c>
      <c r="AK3" s="85" t="inlineStr">
        <is>
          <t>실적</t>
        </is>
      </c>
      <c r="AL3" s="86" t="inlineStr">
        <is>
          <t>W23</t>
        </is>
      </c>
      <c r="AM3" s="87" t="inlineStr">
        <is>
          <t>W24</t>
        </is>
      </c>
      <c r="AN3" s="87" t="inlineStr">
        <is>
          <t>W25</t>
        </is>
      </c>
      <c r="AO3" s="87" t="inlineStr">
        <is>
          <t>W26</t>
        </is>
      </c>
      <c r="AP3" s="797" t="inlineStr">
        <is>
          <t>W27</t>
        </is>
      </c>
      <c r="AQ3" s="83" t="inlineStr">
        <is>
          <t>실적</t>
        </is>
      </c>
      <c r="AR3" s="797" t="inlineStr">
        <is>
          <t>W27</t>
        </is>
      </c>
      <c r="AS3" s="797" t="inlineStr">
        <is>
          <t>W28</t>
        </is>
      </c>
      <c r="AT3" s="797" t="inlineStr">
        <is>
          <t>W29</t>
        </is>
      </c>
      <c r="AU3" s="797" t="inlineStr">
        <is>
          <t>W30</t>
        </is>
      </c>
      <c r="AV3" s="797" t="inlineStr">
        <is>
          <t>W31</t>
        </is>
      </c>
      <c r="AW3" s="83" t="inlineStr">
        <is>
          <t>실적</t>
        </is>
      </c>
      <c r="AX3" s="797" t="inlineStr">
        <is>
          <t>W31</t>
        </is>
      </c>
      <c r="AY3" s="797" t="inlineStr">
        <is>
          <t>W32</t>
        </is>
      </c>
      <c r="AZ3" s="797" t="inlineStr">
        <is>
          <t>W33</t>
        </is>
      </c>
      <c r="BA3" s="797" t="inlineStr">
        <is>
          <t>W34</t>
        </is>
      </c>
      <c r="BB3" s="797" t="inlineStr">
        <is>
          <t>W35</t>
        </is>
      </c>
      <c r="BC3" s="797" t="inlineStr">
        <is>
          <t>W36</t>
        </is>
      </c>
      <c r="BD3" s="83" t="inlineStr">
        <is>
          <t>실적</t>
        </is>
      </c>
      <c r="BE3" s="797" t="inlineStr">
        <is>
          <t>W36</t>
        </is>
      </c>
      <c r="BF3" s="797" t="inlineStr">
        <is>
          <t>W37</t>
        </is>
      </c>
      <c r="BG3" s="797" t="inlineStr">
        <is>
          <t>W38</t>
        </is>
      </c>
      <c r="BH3" s="797" t="inlineStr">
        <is>
          <t>W39</t>
        </is>
      </c>
      <c r="BI3" s="797" t="inlineStr">
        <is>
          <t>W40</t>
        </is>
      </c>
      <c r="BJ3" s="83" t="inlineStr">
        <is>
          <t>실적</t>
        </is>
      </c>
      <c r="BK3" s="797" t="inlineStr">
        <is>
          <t>W40</t>
        </is>
      </c>
      <c r="BL3" s="797" t="inlineStr">
        <is>
          <t>W41</t>
        </is>
      </c>
      <c r="BM3" s="797" t="inlineStr">
        <is>
          <t>W42</t>
        </is>
      </c>
      <c r="BN3" s="797" t="inlineStr">
        <is>
          <t>W43</t>
        </is>
      </c>
      <c r="BO3" s="797" t="inlineStr">
        <is>
          <t>W44</t>
        </is>
      </c>
      <c r="BP3" s="83" t="inlineStr">
        <is>
          <t>실적</t>
        </is>
      </c>
      <c r="BQ3" s="797" t="inlineStr">
        <is>
          <t>W45</t>
        </is>
      </c>
      <c r="BR3" s="797" t="inlineStr">
        <is>
          <t>W46</t>
        </is>
      </c>
      <c r="BS3" s="797" t="inlineStr">
        <is>
          <t>W47</t>
        </is>
      </c>
      <c r="BT3" s="797" t="inlineStr">
        <is>
          <t>W48</t>
        </is>
      </c>
      <c r="BU3" s="797" t="inlineStr">
        <is>
          <t>W49</t>
        </is>
      </c>
      <c r="BV3" s="83" t="inlineStr">
        <is>
          <t>실적</t>
        </is>
      </c>
      <c r="BW3" s="797" t="inlineStr">
        <is>
          <t>W49</t>
        </is>
      </c>
      <c r="BX3" s="797" t="inlineStr">
        <is>
          <t>W50</t>
        </is>
      </c>
      <c r="BY3" s="797" t="inlineStr">
        <is>
          <t>W51</t>
        </is>
      </c>
      <c r="BZ3" s="797" t="inlineStr">
        <is>
          <t>W52</t>
        </is>
      </c>
      <c r="CA3" s="797" t="inlineStr">
        <is>
          <t>W53</t>
        </is>
      </c>
    </row>
    <row r="4" ht="16.5" customHeight="1" s="838">
      <c r="B4" s="755" t="inlineStr">
        <is>
          <t>RMC</t>
        </is>
      </c>
      <c r="C4" s="750" t="inlineStr">
        <is>
          <t>키친솔루션</t>
        </is>
      </c>
      <c r="D4" s="751" t="n"/>
      <c r="E4" s="743" t="n"/>
      <c r="F4" s="798" t="inlineStr">
        <is>
          <t>목표</t>
        </is>
      </c>
      <c r="G4" s="889">
        <f>SUM(G6,G8)</f>
        <v/>
      </c>
      <c r="H4" s="890">
        <f>SUM(H6,H8)</f>
        <v/>
      </c>
      <c r="I4" s="890">
        <f>SUM(I6,I8)</f>
        <v/>
      </c>
      <c r="J4" s="890">
        <f>SUM(J6,J8)</f>
        <v/>
      </c>
      <c r="K4" s="890">
        <f>SUM(K6,K8)</f>
        <v/>
      </c>
      <c r="L4" s="890">
        <f>SUM(L6,L8)</f>
        <v/>
      </c>
      <c r="M4" s="889">
        <f>SUM(M6,M8)</f>
        <v/>
      </c>
      <c r="N4" s="890">
        <f>SUM(N6,N8)</f>
        <v/>
      </c>
      <c r="O4" s="890">
        <f>SUM(O6,O8)</f>
        <v/>
      </c>
      <c r="P4" s="890">
        <f>SUM(P6,P8)</f>
        <v/>
      </c>
      <c r="Q4" s="890">
        <f>SUM(Q6,Q8)</f>
        <v/>
      </c>
      <c r="R4" s="889">
        <f>SUM(R6,R8)</f>
        <v/>
      </c>
      <c r="S4" s="890" t="n">
        <v>6565.637763</v>
      </c>
      <c r="T4" s="890" t="n">
        <v>6565.637763</v>
      </c>
      <c r="U4" s="890" t="n">
        <v>6565.637763</v>
      </c>
      <c r="V4" s="890" t="n">
        <v>6565.637763</v>
      </c>
      <c r="W4" s="891" t="n">
        <v>6565.637763</v>
      </c>
      <c r="X4" s="889">
        <f>SUM(X6,X8)</f>
        <v/>
      </c>
      <c r="Y4" s="890">
        <f>SUM(Y6,Y8)</f>
        <v/>
      </c>
      <c r="Z4" s="890">
        <f>SUM(Z6,Z8)</f>
        <v/>
      </c>
      <c r="AA4" s="890">
        <f>SUM(AA6,AA8)</f>
        <v/>
      </c>
      <c r="AB4" s="890">
        <f>SUM(AB6,AB8)</f>
        <v/>
      </c>
      <c r="AC4" s="890">
        <f>SUM(AC6,AC8)</f>
        <v/>
      </c>
      <c r="AD4" s="892" t="n"/>
      <c r="AE4" s="893" t="n"/>
      <c r="AF4" s="893" t="n"/>
      <c r="AG4" s="893" t="n"/>
      <c r="AH4" s="893" t="n"/>
      <c r="AI4" s="893" t="n"/>
      <c r="AJ4" s="894" t="n"/>
      <c r="AK4" s="892" t="n"/>
      <c r="AL4" s="893" t="n"/>
      <c r="AM4" s="893" t="n"/>
      <c r="AN4" s="893" t="n"/>
      <c r="AO4" s="893" t="n"/>
      <c r="AP4" s="894" t="n"/>
      <c r="AQ4" s="892" t="n"/>
      <c r="AR4" s="893" t="n"/>
      <c r="AS4" s="893" t="n"/>
      <c r="AT4" s="893" t="n"/>
      <c r="AU4" s="893" t="n"/>
      <c r="AV4" s="894" t="n"/>
      <c r="AW4" s="892" t="n"/>
      <c r="AX4" s="893" t="n"/>
      <c r="AY4" s="893" t="n"/>
      <c r="AZ4" s="893" t="n"/>
      <c r="BA4" s="893" t="n"/>
      <c r="BB4" s="893" t="n"/>
      <c r="BC4" s="893" t="n"/>
      <c r="BD4" s="892" t="n"/>
      <c r="BE4" s="893" t="n"/>
      <c r="BF4" s="893" t="n"/>
      <c r="BG4" s="893" t="n"/>
      <c r="BH4" s="893" t="n"/>
      <c r="BI4" s="893" t="n"/>
      <c r="BJ4" s="892" t="n"/>
      <c r="BK4" s="893" t="n"/>
      <c r="BL4" s="893" t="n"/>
      <c r="BM4" s="893" t="n"/>
      <c r="BN4" s="893" t="n"/>
      <c r="BO4" s="894" t="n"/>
      <c r="BP4" s="892" t="n"/>
      <c r="BQ4" s="893" t="n"/>
      <c r="BR4" s="893" t="n"/>
      <c r="BS4" s="893" t="n"/>
      <c r="BT4" s="893" t="n"/>
      <c r="BU4" s="894" t="n"/>
      <c r="BV4" s="892" t="n"/>
      <c r="BW4" s="893" t="n"/>
      <c r="BX4" s="893" t="n"/>
      <c r="BY4" s="893" t="n"/>
      <c r="BZ4" s="893" t="n"/>
      <c r="CA4" s="895" t="n"/>
    </row>
    <row r="5" ht="16.5" customHeight="1" s="838">
      <c r="B5" s="756" t="n"/>
      <c r="C5" s="735" t="n"/>
      <c r="D5" s="752" t="n"/>
      <c r="E5" s="736" t="n"/>
      <c r="F5" s="754" t="inlineStr">
        <is>
          <t>실적</t>
        </is>
      </c>
      <c r="G5" s="896">
        <f>SUM(G7,G9)</f>
        <v/>
      </c>
      <c r="H5" s="897">
        <f>SUM(H7,H9)</f>
        <v/>
      </c>
      <c r="I5" s="897">
        <f>SUM(I7,I9)</f>
        <v/>
      </c>
      <c r="J5" s="897">
        <f>SUM(J7,J9)</f>
        <v/>
      </c>
      <c r="K5" s="897">
        <f>SUM(K7,K9)</f>
        <v/>
      </c>
      <c r="L5" s="897">
        <f>SUM(L7,L9)</f>
        <v/>
      </c>
      <c r="M5" s="896">
        <f>SUM(M7,M9)</f>
        <v/>
      </c>
      <c r="N5" s="897">
        <f>SUM(N7,N9)</f>
        <v/>
      </c>
      <c r="O5" s="897">
        <f>SUM(O7,O9)</f>
        <v/>
      </c>
      <c r="P5" s="897">
        <f>SUM(P7,P9)</f>
        <v/>
      </c>
      <c r="Q5" s="897">
        <f>SUM(Q7,Q9)</f>
        <v/>
      </c>
      <c r="R5" s="896">
        <f>SUM(R7,R9)</f>
        <v/>
      </c>
      <c r="S5" s="897">
        <f>SUM(S7,S9)</f>
        <v/>
      </c>
      <c r="T5" s="897">
        <f>SUM(T7,T9)</f>
        <v/>
      </c>
      <c r="U5" s="897">
        <f>SUM(U7,U9)</f>
        <v/>
      </c>
      <c r="V5" s="897">
        <f>SUM(V7,V9)</f>
        <v/>
      </c>
      <c r="W5" s="898">
        <f>SUM(W7,W9)</f>
        <v/>
      </c>
      <c r="X5" s="896">
        <f>SUM(X7,X9)</f>
        <v/>
      </c>
      <c r="Y5" s="897">
        <f>SUM(Y7,Y9)</f>
        <v/>
      </c>
      <c r="Z5" s="897">
        <f>SUM(Z7,Z9)</f>
        <v/>
      </c>
      <c r="AA5" s="897">
        <f>SUM(AA7,AA9)</f>
        <v/>
      </c>
      <c r="AB5" s="897">
        <f>SUM(AB7,AB9)</f>
        <v/>
      </c>
      <c r="AC5" s="897">
        <f>SUM(AC7,AC9)</f>
        <v/>
      </c>
      <c r="AD5" s="899" t="n"/>
      <c r="AE5" s="900" t="n"/>
      <c r="AF5" s="900" t="n"/>
      <c r="AG5" s="900" t="n"/>
      <c r="AH5" s="900" t="n"/>
      <c r="AI5" s="900" t="n"/>
      <c r="AJ5" s="901" t="n"/>
      <c r="AK5" s="899" t="n"/>
      <c r="AL5" s="900" t="n"/>
      <c r="AM5" s="900" t="n"/>
      <c r="AN5" s="900" t="n"/>
      <c r="AO5" s="900" t="n"/>
      <c r="AP5" s="901" t="n"/>
      <c r="AQ5" s="899" t="n"/>
      <c r="AR5" s="900" t="n"/>
      <c r="AS5" s="900" t="n"/>
      <c r="AT5" s="900" t="n"/>
      <c r="AU5" s="900" t="n"/>
      <c r="AV5" s="901" t="n"/>
      <c r="AW5" s="899" t="n"/>
      <c r="AX5" s="900" t="n"/>
      <c r="AY5" s="900" t="n"/>
      <c r="AZ5" s="900" t="n"/>
      <c r="BA5" s="900" t="n"/>
      <c r="BB5" s="900" t="n"/>
      <c r="BC5" s="900" t="n"/>
      <c r="BD5" s="899" t="n"/>
      <c r="BE5" s="900" t="n"/>
      <c r="BF5" s="900" t="n"/>
      <c r="BG5" s="900" t="n"/>
      <c r="BH5" s="900" t="n"/>
      <c r="BI5" s="900" t="n"/>
      <c r="BJ5" s="899" t="n"/>
      <c r="BK5" s="900" t="n"/>
      <c r="BL5" s="900" t="n"/>
      <c r="BM5" s="900" t="n"/>
      <c r="BN5" s="900" t="n"/>
      <c r="BO5" s="901" t="n"/>
      <c r="BP5" s="899" t="n"/>
      <c r="BQ5" s="900" t="n"/>
      <c r="BR5" s="900" t="n"/>
      <c r="BS5" s="900" t="n"/>
      <c r="BT5" s="900" t="n"/>
      <c r="BU5" s="901" t="n"/>
      <c r="BV5" s="899" t="n"/>
      <c r="BW5" s="900" t="n"/>
      <c r="BX5" s="900" t="n"/>
      <c r="BY5" s="900" t="n"/>
      <c r="BZ5" s="900" t="n"/>
      <c r="CA5" s="902" t="n"/>
    </row>
    <row r="6" ht="16.5" customHeight="1" s="838">
      <c r="B6" s="756" t="n"/>
      <c r="C6" s="737" t="inlineStr">
        <is>
          <t>제품1</t>
        </is>
      </c>
      <c r="D6" s="745" t="n"/>
      <c r="E6" s="734" t="n"/>
      <c r="F6" s="83" t="inlineStr">
        <is>
          <t>목표</t>
        </is>
      </c>
      <c r="G6" s="903" t="n">
        <v>8271.360113999999</v>
      </c>
      <c r="H6" s="904" t="n">
        <v>8271.360113999999</v>
      </c>
      <c r="I6" s="904" t="n">
        <v>8271.360113999999</v>
      </c>
      <c r="J6" s="904" t="n">
        <v>8271.360113999999</v>
      </c>
      <c r="K6" s="904" t="n">
        <v>8271.360113999999</v>
      </c>
      <c r="L6" s="904" t="n">
        <v>8271.360113999999</v>
      </c>
      <c r="M6" s="903" t="n">
        <v>4756.59125</v>
      </c>
      <c r="N6" s="904" t="n">
        <v>4756.59125</v>
      </c>
      <c r="O6" s="904" t="n">
        <v>4756.59125</v>
      </c>
      <c r="P6" s="904" t="n">
        <v>4756.59125</v>
      </c>
      <c r="Q6" s="904" t="n">
        <v>4756.59125</v>
      </c>
      <c r="R6" s="903" t="n">
        <v>3783.308519</v>
      </c>
      <c r="S6" s="904" t="n">
        <v>3783.308519</v>
      </c>
      <c r="T6" s="904" t="n">
        <v>3783.308519</v>
      </c>
      <c r="U6" s="904" t="n">
        <v>3783.308519</v>
      </c>
      <c r="V6" s="904" t="n">
        <v>3783.308519</v>
      </c>
      <c r="W6" s="905" t="n">
        <v>3783.308519</v>
      </c>
      <c r="X6" s="903" t="n">
        <v>6751.04141</v>
      </c>
      <c r="Y6" s="904" t="n">
        <v>6751.04141</v>
      </c>
      <c r="Z6" s="904" t="n">
        <v>6751.04141</v>
      </c>
      <c r="AA6" s="904" t="n">
        <v>6751.04141</v>
      </c>
      <c r="AB6" s="904" t="n">
        <v>6751.04141</v>
      </c>
      <c r="AC6" s="904" t="n">
        <v>6751.04141</v>
      </c>
      <c r="AD6" s="906" t="n"/>
      <c r="AE6" s="907" t="n"/>
      <c r="AF6" s="907" t="n"/>
      <c r="AG6" s="907" t="n"/>
      <c r="AH6" s="907" t="n"/>
      <c r="AI6" s="907" t="n"/>
      <c r="AJ6" s="908" t="n"/>
      <c r="AK6" s="906" t="n"/>
      <c r="AL6" s="907" t="n"/>
      <c r="AM6" s="907" t="n"/>
      <c r="AN6" s="907" t="n"/>
      <c r="AO6" s="907" t="n"/>
      <c r="AP6" s="908" t="n"/>
      <c r="AQ6" s="906" t="n"/>
      <c r="AR6" s="907" t="n"/>
      <c r="AS6" s="907" t="n"/>
      <c r="AT6" s="907" t="n"/>
      <c r="AU6" s="907" t="n"/>
      <c r="AV6" s="908" t="n"/>
      <c r="AW6" s="906" t="n"/>
      <c r="AX6" s="907" t="n"/>
      <c r="AY6" s="907" t="n"/>
      <c r="AZ6" s="907" t="n"/>
      <c r="BA6" s="907" t="n"/>
      <c r="BB6" s="907" t="n"/>
      <c r="BC6" s="907" t="n"/>
      <c r="BD6" s="906" t="n"/>
      <c r="BE6" s="907" t="n"/>
      <c r="BF6" s="907" t="n"/>
      <c r="BG6" s="907" t="n"/>
      <c r="BH6" s="907" t="n"/>
      <c r="BI6" s="907" t="n"/>
      <c r="BJ6" s="906" t="n"/>
      <c r="BK6" s="907" t="n"/>
      <c r="BL6" s="907" t="n"/>
      <c r="BM6" s="907" t="n"/>
      <c r="BN6" s="907" t="n"/>
      <c r="BO6" s="908" t="n"/>
      <c r="BP6" s="906" t="n"/>
      <c r="BQ6" s="907" t="n"/>
      <c r="BR6" s="907" t="n"/>
      <c r="BS6" s="907" t="n"/>
      <c r="BT6" s="907" t="n"/>
      <c r="BU6" s="908" t="n"/>
      <c r="BV6" s="906" t="n"/>
      <c r="BW6" s="907" t="n"/>
      <c r="BX6" s="907" t="n"/>
      <c r="BY6" s="907" t="n"/>
      <c r="BZ6" s="907" t="n"/>
      <c r="CA6" s="909" t="n"/>
    </row>
    <row r="7" ht="16.5" customHeight="1" s="838">
      <c r="B7" s="756" t="n"/>
      <c r="C7" s="735" t="n"/>
      <c r="D7" s="752" t="n"/>
      <c r="E7" s="736" t="n"/>
      <c r="F7" s="754" t="inlineStr">
        <is>
          <t>실적</t>
        </is>
      </c>
      <c r="G7" s="896" t="n">
        <v>7757.917383</v>
      </c>
      <c r="H7" s="897" t="n">
        <v>4144.750039</v>
      </c>
      <c r="I7" s="897" t="n">
        <v>4144.750039</v>
      </c>
      <c r="J7" s="897" t="n">
        <v>4359.091395</v>
      </c>
      <c r="K7" s="897" t="n">
        <v>4359.091395</v>
      </c>
      <c r="L7" s="897" t="n">
        <v>4144.750039</v>
      </c>
      <c r="M7" s="896" t="n">
        <v>6377.869036</v>
      </c>
      <c r="N7" s="897" t="n">
        <v>6084.204</v>
      </c>
      <c r="O7" s="897" t="n">
        <v>3742.10525</v>
      </c>
      <c r="P7" s="897" t="n">
        <v>3992.697</v>
      </c>
      <c r="Q7" s="897" t="n">
        <v>2976.178914</v>
      </c>
      <c r="R7" s="896" t="n">
        <v>5624.352135</v>
      </c>
      <c r="S7" s="897" t="n">
        <v>5000.791164</v>
      </c>
      <c r="T7" s="897" t="n">
        <v>4959.612547</v>
      </c>
      <c r="U7" s="897" t="n">
        <v>3090.048691</v>
      </c>
      <c r="V7" s="897" t="n">
        <v>3623.1</v>
      </c>
      <c r="W7" s="898" t="n">
        <v>3623.1</v>
      </c>
      <c r="X7" s="896" t="n">
        <v>3311.237069</v>
      </c>
      <c r="Y7" s="897" t="n">
        <v>3501.831731</v>
      </c>
      <c r="Z7" s="897" t="n">
        <v>5852.030908</v>
      </c>
      <c r="AA7" s="897" t="n">
        <v>5852.030908</v>
      </c>
      <c r="AB7" s="897" t="n">
        <v>6465.281155</v>
      </c>
      <c r="AC7" s="897" t="n">
        <v>5852.030908</v>
      </c>
      <c r="AD7" s="899" t="n"/>
      <c r="AE7" s="900" t="n"/>
      <c r="AF7" s="900" t="n"/>
      <c r="AG7" s="900" t="n"/>
      <c r="AH7" s="900" t="n"/>
      <c r="AI7" s="900" t="n"/>
      <c r="AJ7" s="901" t="n"/>
      <c r="AK7" s="899" t="n"/>
      <c r="AL7" s="900" t="n"/>
      <c r="AM7" s="900" t="n"/>
      <c r="AN7" s="900" t="n"/>
      <c r="AO7" s="900" t="n"/>
      <c r="AP7" s="901" t="n"/>
      <c r="AQ7" s="899" t="n"/>
      <c r="AR7" s="900" t="n"/>
      <c r="AS7" s="900" t="n"/>
      <c r="AT7" s="900" t="n"/>
      <c r="AU7" s="900" t="n"/>
      <c r="AV7" s="901" t="n"/>
      <c r="AW7" s="899" t="n"/>
      <c r="AX7" s="900" t="n"/>
      <c r="AY7" s="900" t="n"/>
      <c r="AZ7" s="900" t="n"/>
      <c r="BA7" s="900" t="n"/>
      <c r="BB7" s="900" t="n"/>
      <c r="BC7" s="900" t="n"/>
      <c r="BD7" s="899" t="n"/>
      <c r="BE7" s="900" t="n"/>
      <c r="BF7" s="900" t="n"/>
      <c r="BG7" s="900" t="n"/>
      <c r="BH7" s="900" t="n"/>
      <c r="BI7" s="900" t="n"/>
      <c r="BJ7" s="899" t="n"/>
      <c r="BK7" s="900" t="n"/>
      <c r="BL7" s="900" t="n"/>
      <c r="BM7" s="900" t="n"/>
      <c r="BN7" s="900" t="n"/>
      <c r="BO7" s="901" t="n"/>
      <c r="BP7" s="899" t="n"/>
      <c r="BQ7" s="900" t="n"/>
      <c r="BR7" s="900" t="n"/>
      <c r="BS7" s="900" t="n"/>
      <c r="BT7" s="900" t="n"/>
      <c r="BU7" s="901" t="n"/>
      <c r="BV7" s="899" t="n"/>
      <c r="BW7" s="900" t="n"/>
      <c r="BX7" s="900" t="n"/>
      <c r="BY7" s="900" t="n"/>
      <c r="BZ7" s="900" t="n"/>
      <c r="CA7" s="902" t="n"/>
    </row>
    <row r="8" ht="16.5" customHeight="1" s="838">
      <c r="B8" s="756" t="n"/>
      <c r="C8" s="749" t="inlineStr">
        <is>
          <t>제품2</t>
        </is>
      </c>
      <c r="D8" s="745" t="n"/>
      <c r="E8" s="734" t="n"/>
      <c r="F8" s="83" t="inlineStr">
        <is>
          <t>목표</t>
        </is>
      </c>
      <c r="G8" s="903" t="n">
        <v>171.849193</v>
      </c>
      <c r="H8" s="904" t="n">
        <v>171.849193</v>
      </c>
      <c r="I8" s="904" t="n">
        <v>171.849193</v>
      </c>
      <c r="J8" s="904" t="n">
        <v>171.849193</v>
      </c>
      <c r="K8" s="904" t="n">
        <v>171.849193</v>
      </c>
      <c r="L8" s="904" t="n">
        <v>171.849193</v>
      </c>
      <c r="M8" s="903" t="n">
        <v>301.54407</v>
      </c>
      <c r="N8" s="904" t="n">
        <v>301.54407</v>
      </c>
      <c r="O8" s="904" t="n">
        <v>301.54407</v>
      </c>
      <c r="P8" s="904" t="n">
        <v>301.54407</v>
      </c>
      <c r="Q8" s="904" t="n">
        <v>301.54407</v>
      </c>
      <c r="R8" s="903" t="n">
        <v>231.901097</v>
      </c>
      <c r="S8" s="904" t="n">
        <v>231.901097</v>
      </c>
      <c r="T8" s="904" t="n">
        <v>231.901097</v>
      </c>
      <c r="U8" s="904" t="n">
        <v>231.901097</v>
      </c>
      <c r="V8" s="904" t="n">
        <v>231.901097</v>
      </c>
      <c r="W8" s="905" t="n">
        <v>231.901097</v>
      </c>
      <c r="X8" s="903" t="n">
        <v>172.033116</v>
      </c>
      <c r="Y8" s="904" t="n">
        <v>172.033116</v>
      </c>
      <c r="Z8" s="904" t="n">
        <v>172.033116</v>
      </c>
      <c r="AA8" s="904" t="n">
        <v>172.033116</v>
      </c>
      <c r="AB8" s="904" t="n">
        <v>172.033116</v>
      </c>
      <c r="AC8" s="904" t="n">
        <v>172.033116</v>
      </c>
      <c r="AD8" s="906" t="n"/>
      <c r="AE8" s="907" t="n"/>
      <c r="AF8" s="907" t="n"/>
      <c r="AG8" s="907" t="n"/>
      <c r="AH8" s="907" t="n"/>
      <c r="AI8" s="907" t="n"/>
      <c r="AJ8" s="908" t="n"/>
      <c r="AK8" s="906" t="n"/>
      <c r="AL8" s="907" t="n"/>
      <c r="AM8" s="907" t="n"/>
      <c r="AN8" s="907" t="n"/>
      <c r="AO8" s="907" t="n"/>
      <c r="AP8" s="908" t="n"/>
      <c r="AQ8" s="906" t="n"/>
      <c r="AR8" s="907" t="n"/>
      <c r="AS8" s="907" t="n"/>
      <c r="AT8" s="907" t="n"/>
      <c r="AU8" s="907" t="n"/>
      <c r="AV8" s="908" t="n"/>
      <c r="AW8" s="906" t="n"/>
      <c r="AX8" s="907" t="n"/>
      <c r="AY8" s="907" t="n"/>
      <c r="AZ8" s="907" t="n"/>
      <c r="BA8" s="907" t="n"/>
      <c r="BB8" s="907" t="n"/>
      <c r="BC8" s="907" t="n"/>
      <c r="BD8" s="906" t="n"/>
      <c r="BE8" s="907" t="n"/>
      <c r="BF8" s="907" t="n"/>
      <c r="BG8" s="907" t="n"/>
      <c r="BH8" s="907" t="n"/>
      <c r="BI8" s="907" t="n"/>
      <c r="BJ8" s="906" t="n"/>
      <c r="BK8" s="907" t="n"/>
      <c r="BL8" s="907" t="n"/>
      <c r="BM8" s="907" t="n"/>
      <c r="BN8" s="907" t="n"/>
      <c r="BO8" s="908" t="n"/>
      <c r="BP8" s="906" t="n"/>
      <c r="BQ8" s="907" t="n"/>
      <c r="BR8" s="907" t="n"/>
      <c r="BS8" s="907" t="n"/>
      <c r="BT8" s="907" t="n"/>
      <c r="BU8" s="908" t="n"/>
      <c r="BV8" s="906" t="n"/>
      <c r="BW8" s="907" t="n"/>
      <c r="BX8" s="907" t="n"/>
      <c r="BY8" s="907" t="n"/>
      <c r="BZ8" s="907" t="n"/>
      <c r="CA8" s="909" t="n"/>
    </row>
    <row r="9" ht="17.25" customHeight="1" s="838">
      <c r="B9" s="757" t="n"/>
      <c r="C9" s="746" t="n"/>
      <c r="D9" s="747" t="n"/>
      <c r="E9" s="748" t="n"/>
      <c r="F9" s="781" t="inlineStr">
        <is>
          <t>실적</t>
        </is>
      </c>
      <c r="G9" s="910" t="n">
        <v>286.09105</v>
      </c>
      <c r="H9" s="911" t="n">
        <v>231.574634</v>
      </c>
      <c r="I9" s="911" t="n">
        <v>231.574634</v>
      </c>
      <c r="J9" s="911" t="n">
        <v>225.01377</v>
      </c>
      <c r="K9" s="911" t="n">
        <v>225.01377</v>
      </c>
      <c r="L9" s="911" t="n">
        <v>231.574634</v>
      </c>
      <c r="M9" s="910" t="n">
        <v>228.675942</v>
      </c>
      <c r="N9" s="911" t="n">
        <v>389.235</v>
      </c>
      <c r="O9" s="911" t="n">
        <v>293.848274</v>
      </c>
      <c r="P9" s="911" t="n">
        <v>135.781</v>
      </c>
      <c r="Q9" s="911" t="n">
        <v>228.383254</v>
      </c>
      <c r="R9" s="910" t="n">
        <v>262.500837</v>
      </c>
      <c r="S9" s="911" t="n">
        <v>300.051849</v>
      </c>
      <c r="T9" s="911" t="n">
        <v>337.665006</v>
      </c>
      <c r="U9" s="911" t="n">
        <v>240.233274</v>
      </c>
      <c r="V9" s="911" t="n">
        <v>364.217</v>
      </c>
      <c r="W9" s="912" t="n">
        <v>344.264313</v>
      </c>
      <c r="X9" s="910" t="n">
        <v>277.228329</v>
      </c>
      <c r="Y9" s="911" t="n">
        <v>237.658867</v>
      </c>
      <c r="Z9" s="911" t="n">
        <v>373.829587</v>
      </c>
      <c r="AA9" s="911" t="n">
        <v>373.829587</v>
      </c>
      <c r="AB9" s="911" t="n">
        <v>460.538769</v>
      </c>
      <c r="AC9" s="911" t="n">
        <v>373.829587</v>
      </c>
      <c r="AD9" s="913" t="n"/>
      <c r="AE9" s="914" t="n"/>
      <c r="AF9" s="914" t="n"/>
      <c r="AG9" s="914" t="n"/>
      <c r="AH9" s="914" t="n"/>
      <c r="AI9" s="914" t="n"/>
      <c r="AJ9" s="915" t="n"/>
      <c r="AK9" s="913" t="n"/>
      <c r="AL9" s="914" t="n"/>
      <c r="AM9" s="914" t="n"/>
      <c r="AN9" s="914" t="n"/>
      <c r="AO9" s="914" t="n"/>
      <c r="AP9" s="915" t="n"/>
      <c r="AQ9" s="913" t="n"/>
      <c r="AR9" s="914" t="n"/>
      <c r="AS9" s="914" t="n"/>
      <c r="AT9" s="914" t="n"/>
      <c r="AU9" s="914" t="n"/>
      <c r="AV9" s="915" t="n"/>
      <c r="AW9" s="913" t="n"/>
      <c r="AX9" s="914" t="n"/>
      <c r="AY9" s="914" t="n"/>
      <c r="AZ9" s="914" t="n"/>
      <c r="BA9" s="914" t="n"/>
      <c r="BB9" s="914" t="n"/>
      <c r="BC9" s="914" t="n"/>
      <c r="BD9" s="913" t="n"/>
      <c r="BE9" s="914" t="n"/>
      <c r="BF9" s="914" t="n"/>
      <c r="BG9" s="914" t="n"/>
      <c r="BH9" s="914" t="n"/>
      <c r="BI9" s="914" t="n"/>
      <c r="BJ9" s="913" t="n"/>
      <c r="BK9" s="914" t="n"/>
      <c r="BL9" s="914" t="n"/>
      <c r="BM9" s="914" t="n"/>
      <c r="BN9" s="914" t="n"/>
      <c r="BO9" s="915" t="n"/>
      <c r="BP9" s="913" t="n"/>
      <c r="BQ9" s="914" t="n"/>
      <c r="BR9" s="914" t="n"/>
      <c r="BS9" s="914" t="n"/>
      <c r="BT9" s="914" t="n"/>
      <c r="BU9" s="915" t="n"/>
      <c r="BV9" s="913" t="n"/>
      <c r="BW9" s="914" t="n"/>
      <c r="BX9" s="914" t="n"/>
      <c r="BY9" s="914" t="n"/>
      <c r="BZ9" s="914" t="n"/>
      <c r="CA9" s="916" t="n"/>
    </row>
    <row r="10" ht="16.5" customHeight="1" s="838">
      <c r="B10" s="758" t="inlineStr">
        <is>
          <t>시스템 반영 + 시스템 미반영</t>
        </is>
      </c>
      <c r="C10" s="750" t="inlineStr">
        <is>
          <t>키친솔루션</t>
        </is>
      </c>
      <c r="D10" s="742" t="inlineStr">
        <is>
          <t>VI율</t>
        </is>
      </c>
      <c r="E10" s="743" t="n"/>
      <c r="F10" s="798" t="inlineStr">
        <is>
          <t>목표</t>
        </is>
      </c>
      <c r="G10" s="917">
        <f>G12/G4</f>
        <v/>
      </c>
      <c r="H10" s="918">
        <f>H12/H4</f>
        <v/>
      </c>
      <c r="I10" s="918">
        <f>I12/I4</f>
        <v/>
      </c>
      <c r="J10" s="918">
        <f>J12/J4</f>
        <v/>
      </c>
      <c r="K10" s="918">
        <f>K12/K4</f>
        <v/>
      </c>
      <c r="L10" s="918">
        <f>L12/L4</f>
        <v/>
      </c>
      <c r="M10" s="917">
        <f>M12/M4</f>
        <v/>
      </c>
      <c r="N10" s="918">
        <f>N12/N4</f>
        <v/>
      </c>
      <c r="O10" s="918">
        <f>O12/O4</f>
        <v/>
      </c>
      <c r="P10" s="918">
        <f>P12/P4</f>
        <v/>
      </c>
      <c r="Q10" s="918">
        <f>Q12/Q4</f>
        <v/>
      </c>
      <c r="R10" s="917">
        <f>R12/R4</f>
        <v/>
      </c>
      <c r="S10" s="918">
        <f>S12/S4</f>
        <v/>
      </c>
      <c r="T10" s="918">
        <f>T12/T4</f>
        <v/>
      </c>
      <c r="U10" s="918">
        <f>U12/U4</f>
        <v/>
      </c>
      <c r="V10" s="918">
        <f>V12/V4</f>
        <v/>
      </c>
      <c r="W10" s="918">
        <f>W12/W4</f>
        <v/>
      </c>
      <c r="X10" s="917">
        <f>X12/X4</f>
        <v/>
      </c>
      <c r="Y10" s="918">
        <f>Y12/Y4</f>
        <v/>
      </c>
      <c r="Z10" s="918">
        <f>Z12/Z4</f>
        <v/>
      </c>
      <c r="AA10" s="918">
        <f>AA12/AA4</f>
        <v/>
      </c>
      <c r="AB10" s="918">
        <f>AB12/AB4</f>
        <v/>
      </c>
      <c r="AC10" s="918">
        <f>AC12/AC4</f>
        <v/>
      </c>
      <c r="AD10" s="917" t="n"/>
      <c r="AE10" s="918" t="n"/>
      <c r="AF10" s="918" t="n"/>
      <c r="AG10" s="918" t="n"/>
      <c r="AH10" s="918" t="n"/>
      <c r="AI10" s="918" t="n"/>
      <c r="AJ10" s="919" t="n"/>
      <c r="AK10" s="917" t="n"/>
      <c r="AL10" s="918" t="n"/>
      <c r="AM10" s="918" t="n"/>
      <c r="AN10" s="918" t="n"/>
      <c r="AO10" s="918" t="n"/>
      <c r="AP10" s="919" t="n"/>
      <c r="AQ10" s="917" t="n"/>
      <c r="AR10" s="918" t="n"/>
      <c r="AS10" s="918" t="n"/>
      <c r="AT10" s="918" t="n"/>
      <c r="AU10" s="918" t="n"/>
      <c r="AV10" s="919" t="n"/>
      <c r="AW10" s="917" t="n"/>
      <c r="AX10" s="918" t="n"/>
      <c r="AY10" s="918" t="n"/>
      <c r="AZ10" s="918" t="n"/>
      <c r="BA10" s="918" t="n"/>
      <c r="BB10" s="918" t="n"/>
      <c r="BC10" s="918" t="n"/>
      <c r="BD10" s="917" t="n"/>
      <c r="BE10" s="918" t="n"/>
      <c r="BF10" s="918" t="n"/>
      <c r="BG10" s="918" t="n"/>
      <c r="BH10" s="918" t="n"/>
      <c r="BI10" s="918" t="n"/>
      <c r="BJ10" s="917" t="n"/>
      <c r="BK10" s="918" t="n"/>
      <c r="BL10" s="918" t="n"/>
      <c r="BM10" s="918" t="n"/>
      <c r="BN10" s="918" t="n"/>
      <c r="BO10" s="919" t="n"/>
      <c r="BP10" s="917" t="n"/>
      <c r="BQ10" s="918" t="n"/>
      <c r="BR10" s="918" t="n"/>
      <c r="BS10" s="918" t="n"/>
      <c r="BT10" s="918" t="n"/>
      <c r="BU10" s="919" t="n"/>
      <c r="BV10" s="917" t="n"/>
      <c r="BW10" s="918" t="n"/>
      <c r="BX10" s="918" t="n"/>
      <c r="BY10" s="918" t="n"/>
      <c r="BZ10" s="918" t="n"/>
      <c r="CA10" s="920" t="n"/>
    </row>
    <row r="11" ht="16.5" customHeight="1" s="838">
      <c r="B11" s="756" t="n"/>
      <c r="C11" s="738" t="n"/>
      <c r="D11" s="735" t="n"/>
      <c r="E11" s="736" t="n"/>
      <c r="F11" s="754" t="inlineStr">
        <is>
          <t>실적</t>
        </is>
      </c>
      <c r="G11" s="921">
        <f>G13/G5</f>
        <v/>
      </c>
      <c r="H11" s="922">
        <f>H13/H5</f>
        <v/>
      </c>
      <c r="I11" s="922">
        <f>I13/I5</f>
        <v/>
      </c>
      <c r="J11" s="922">
        <f>J13/J5</f>
        <v/>
      </c>
      <c r="K11" s="922">
        <f>K13/K5</f>
        <v/>
      </c>
      <c r="L11" s="922">
        <f>L13/L5</f>
        <v/>
      </c>
      <c r="M11" s="921">
        <f>M13/M5</f>
        <v/>
      </c>
      <c r="N11" s="922">
        <f>N13/N5</f>
        <v/>
      </c>
      <c r="O11" s="922">
        <f>O13/O5</f>
        <v/>
      </c>
      <c r="P11" s="922">
        <f>P13/P5</f>
        <v/>
      </c>
      <c r="Q11" s="922">
        <f>Q13/Q5</f>
        <v/>
      </c>
      <c r="R11" s="921">
        <f>R13/R5</f>
        <v/>
      </c>
      <c r="S11" s="922">
        <f>S13/S5</f>
        <v/>
      </c>
      <c r="T11" s="922">
        <f>T13/T5</f>
        <v/>
      </c>
      <c r="U11" s="922">
        <f>U13/U5</f>
        <v/>
      </c>
      <c r="V11" s="922">
        <f>V13/V5</f>
        <v/>
      </c>
      <c r="W11" s="922">
        <f>W13/W5</f>
        <v/>
      </c>
      <c r="X11" s="921">
        <f>X13/X5</f>
        <v/>
      </c>
      <c r="Y11" s="922">
        <f>Y13/Y5</f>
        <v/>
      </c>
      <c r="Z11" s="922">
        <f>Z13/Z5</f>
        <v/>
      </c>
      <c r="AA11" s="922">
        <f>AA13/AA5</f>
        <v/>
      </c>
      <c r="AB11" s="922">
        <f>AB13/AB5</f>
        <v/>
      </c>
      <c r="AC11" s="922">
        <f>AC13/AC5</f>
        <v/>
      </c>
      <c r="AD11" s="921" t="n"/>
      <c r="AE11" s="922" t="n"/>
      <c r="AF11" s="922" t="n"/>
      <c r="AG11" s="922" t="n"/>
      <c r="AH11" s="922" t="n"/>
      <c r="AI11" s="922" t="n"/>
      <c r="AJ11" s="923" t="n"/>
      <c r="AK11" s="921" t="n"/>
      <c r="AL11" s="922" t="n"/>
      <c r="AM11" s="922" t="n"/>
      <c r="AN11" s="922" t="n"/>
      <c r="AO11" s="922" t="n"/>
      <c r="AP11" s="923" t="n"/>
      <c r="AQ11" s="921" t="n"/>
      <c r="AR11" s="922" t="n"/>
      <c r="AS11" s="922" t="n"/>
      <c r="AT11" s="922" t="n"/>
      <c r="AU11" s="922" t="n"/>
      <c r="AV11" s="922" t="n"/>
      <c r="AW11" s="896" t="n"/>
      <c r="AX11" s="897" t="n"/>
      <c r="AY11" s="897" t="n"/>
      <c r="AZ11" s="897" t="n"/>
      <c r="BA11" s="897" t="n"/>
      <c r="BB11" s="897" t="n"/>
      <c r="BC11" s="897" t="n"/>
      <c r="BD11" s="896" t="n"/>
      <c r="BE11" s="897" t="n"/>
      <c r="BF11" s="897" t="n"/>
      <c r="BG11" s="897" t="n"/>
      <c r="BH11" s="897" t="n"/>
      <c r="BI11" s="897" t="n"/>
      <c r="BJ11" s="896" t="n"/>
      <c r="BK11" s="897" t="n"/>
      <c r="BL11" s="897" t="n"/>
      <c r="BM11" s="897" t="n"/>
      <c r="BN11" s="897" t="n"/>
      <c r="BO11" s="898" t="n"/>
      <c r="BP11" s="896" t="n"/>
      <c r="BQ11" s="897" t="n"/>
      <c r="BR11" s="897" t="n"/>
      <c r="BS11" s="897" t="n"/>
      <c r="BT11" s="897" t="n"/>
      <c r="BU11" s="898" t="n"/>
      <c r="BV11" s="896" t="n"/>
      <c r="BW11" s="897" t="n"/>
      <c r="BX11" s="897" t="n"/>
      <c r="BY11" s="897" t="n"/>
      <c r="BZ11" s="897" t="n"/>
      <c r="CA11" s="924" t="n"/>
    </row>
    <row r="12" ht="16.5" customHeight="1" s="838">
      <c r="B12" s="756" t="n"/>
      <c r="C12" s="738" t="n"/>
      <c r="D12" s="733" t="inlineStr">
        <is>
          <t>VI 금액</t>
        </is>
      </c>
      <c r="E12" s="734" t="n"/>
      <c r="F12" s="83" t="inlineStr">
        <is>
          <t>목표</t>
        </is>
      </c>
      <c r="G12" s="925">
        <f>SUM(G16,G20)</f>
        <v/>
      </c>
      <c r="H12" s="926">
        <f>SUM(H16,H20)</f>
        <v/>
      </c>
      <c r="I12" s="926">
        <f>SUM(I16,I20)</f>
        <v/>
      </c>
      <c r="J12" s="926">
        <f>SUM(J16,J20)</f>
        <v/>
      </c>
      <c r="K12" s="926">
        <f>SUM(K16,K20)</f>
        <v/>
      </c>
      <c r="L12" s="926">
        <f>SUM(L16,L20)</f>
        <v/>
      </c>
      <c r="M12" s="925">
        <f>SUM(M16,M20)</f>
        <v/>
      </c>
      <c r="N12" s="926">
        <f>SUM(N16,N20)</f>
        <v/>
      </c>
      <c r="O12" s="926">
        <f>SUM(O16,O20)</f>
        <v/>
      </c>
      <c r="P12" s="926">
        <f>SUM(P16,P20)</f>
        <v/>
      </c>
      <c r="Q12" s="926">
        <f>SUM(Q16,Q20)</f>
        <v/>
      </c>
      <c r="R12" s="925">
        <f>SUM(R16,R20)</f>
        <v/>
      </c>
      <c r="S12" s="926">
        <f>SUM(S16,S20)</f>
        <v/>
      </c>
      <c r="T12" s="926">
        <f>SUM(T16,T20)</f>
        <v/>
      </c>
      <c r="U12" s="926">
        <f>SUM(U16,U20)</f>
        <v/>
      </c>
      <c r="V12" s="926">
        <f>SUM(V16,V20)</f>
        <v/>
      </c>
      <c r="W12" s="926">
        <f>SUM(W16,W20)</f>
        <v/>
      </c>
      <c r="X12" s="925">
        <f>SUM(X16,X20)</f>
        <v/>
      </c>
      <c r="Y12" s="926">
        <f>SUM(Y16,Y20)</f>
        <v/>
      </c>
      <c r="Z12" s="926">
        <f>SUM(Z16,Z20)</f>
        <v/>
      </c>
      <c r="AA12" s="926">
        <f>SUM(AA16,AA20)</f>
        <v/>
      </c>
      <c r="AB12" s="926">
        <f>SUM(AB16,AB20)</f>
        <v/>
      </c>
      <c r="AC12" s="926">
        <f>SUM(AC16,AC20)</f>
        <v/>
      </c>
      <c r="AD12" s="925" t="n"/>
      <c r="AE12" s="926" t="n"/>
      <c r="AF12" s="926" t="n"/>
      <c r="AG12" s="926" t="n"/>
      <c r="AH12" s="926" t="n"/>
      <c r="AI12" s="926" t="n"/>
      <c r="AJ12" s="927" t="n"/>
      <c r="AK12" s="925" t="n"/>
      <c r="AL12" s="926" t="n"/>
      <c r="AM12" s="926" t="n"/>
      <c r="AN12" s="926" t="n"/>
      <c r="AO12" s="926" t="n"/>
      <c r="AP12" s="927" t="n"/>
      <c r="AQ12" s="925" t="n"/>
      <c r="AR12" s="926" t="n"/>
      <c r="AS12" s="926" t="n"/>
      <c r="AT12" s="926" t="n"/>
      <c r="AU12" s="926" t="n"/>
      <c r="AV12" s="927" t="n"/>
      <c r="AW12" s="925" t="n"/>
      <c r="AX12" s="926" t="n"/>
      <c r="AY12" s="926" t="n"/>
      <c r="AZ12" s="926" t="n"/>
      <c r="BA12" s="926" t="n"/>
      <c r="BB12" s="926" t="n"/>
      <c r="BC12" s="926" t="n"/>
      <c r="BD12" s="925" t="n"/>
      <c r="BE12" s="926" t="n"/>
      <c r="BF12" s="926" t="n"/>
      <c r="BG12" s="926" t="n"/>
      <c r="BH12" s="926" t="n"/>
      <c r="BI12" s="926" t="n"/>
      <c r="BJ12" s="925" t="n"/>
      <c r="BK12" s="926" t="n"/>
      <c r="BL12" s="926" t="n"/>
      <c r="BM12" s="926" t="n"/>
      <c r="BN12" s="926" t="n"/>
      <c r="BO12" s="927" t="n"/>
      <c r="BP12" s="925" t="n"/>
      <c r="BQ12" s="926" t="n"/>
      <c r="BR12" s="926" t="n"/>
      <c r="BS12" s="926" t="n"/>
      <c r="BT12" s="926" t="n"/>
      <c r="BU12" s="927" t="n"/>
      <c r="BV12" s="925" t="n"/>
      <c r="BW12" s="926" t="n"/>
      <c r="BX12" s="926" t="n"/>
      <c r="BY12" s="926" t="n"/>
      <c r="BZ12" s="926" t="n"/>
      <c r="CA12" s="928" t="n"/>
    </row>
    <row r="13" ht="16.5" customHeight="1" s="838">
      <c r="B13" s="756" t="n"/>
      <c r="C13" s="739" t="n"/>
      <c r="D13" s="735" t="n"/>
      <c r="E13" s="736" t="n"/>
      <c r="F13" s="754" t="inlineStr">
        <is>
          <t>실적</t>
        </is>
      </c>
      <c r="G13" s="896">
        <f>SUM(G17,G21)</f>
        <v/>
      </c>
      <c r="H13" s="897">
        <f>SUM(H17,H21)</f>
        <v/>
      </c>
      <c r="I13" s="897">
        <f>SUM(I17,I21)</f>
        <v/>
      </c>
      <c r="J13" s="897">
        <f>SUM(J17,J21)</f>
        <v/>
      </c>
      <c r="K13" s="897">
        <f>SUM(K17,K21)</f>
        <v/>
      </c>
      <c r="L13" s="897">
        <f>SUM(L17,L21)</f>
        <v/>
      </c>
      <c r="M13" s="896">
        <f>SUM(M17,M21)</f>
        <v/>
      </c>
      <c r="N13" s="897">
        <f>SUM(N17,N21)</f>
        <v/>
      </c>
      <c r="O13" s="897">
        <f>SUM(O17,O21)</f>
        <v/>
      </c>
      <c r="P13" s="897">
        <f>SUM(P17,P21)</f>
        <v/>
      </c>
      <c r="Q13" s="897">
        <f>SUM(Q17,Q21)</f>
        <v/>
      </c>
      <c r="R13" s="896">
        <f>SUM(R17,R21)</f>
        <v/>
      </c>
      <c r="S13" s="897">
        <f>SUM(S17,S21)</f>
        <v/>
      </c>
      <c r="T13" s="897">
        <f>SUM(T17,T21)</f>
        <v/>
      </c>
      <c r="U13" s="897">
        <f>SUM(U17,U21)</f>
        <v/>
      </c>
      <c r="V13" s="897">
        <f>SUM(V17,V21)</f>
        <v/>
      </c>
      <c r="W13" s="897">
        <f>SUM(W17,W21)</f>
        <v/>
      </c>
      <c r="X13" s="896">
        <f>SUM(X17,X21)</f>
        <v/>
      </c>
      <c r="Y13" s="897">
        <f>SUM(Y17,Y21)</f>
        <v/>
      </c>
      <c r="Z13" s="897">
        <f>SUM(Z17,Z21)</f>
        <v/>
      </c>
      <c r="AA13" s="897">
        <f>SUM(AA17,AA21)</f>
        <v/>
      </c>
      <c r="AB13" s="897">
        <f>SUM(AB17,AB21)</f>
        <v/>
      </c>
      <c r="AC13" s="897">
        <f>SUM(AC17,AC21)</f>
        <v/>
      </c>
      <c r="AD13" s="896" t="n"/>
      <c r="AE13" s="897" t="n"/>
      <c r="AF13" s="897" t="n"/>
      <c r="AG13" s="897" t="n"/>
      <c r="AH13" s="897" t="n"/>
      <c r="AI13" s="897" t="n"/>
      <c r="AJ13" s="898" t="n"/>
      <c r="AK13" s="896" t="n"/>
      <c r="AL13" s="897" t="n"/>
      <c r="AM13" s="897" t="n"/>
      <c r="AN13" s="897" t="n"/>
      <c r="AO13" s="897" t="n"/>
      <c r="AP13" s="898" t="n"/>
      <c r="AQ13" s="896" t="n"/>
      <c r="AR13" s="897" t="n"/>
      <c r="AS13" s="897" t="n"/>
      <c r="AT13" s="897" t="n"/>
      <c r="AU13" s="897" t="n"/>
      <c r="AV13" s="897" t="n"/>
      <c r="AW13" s="132" t="n"/>
      <c r="AX13" s="133" t="n"/>
      <c r="AY13" s="133" t="n"/>
      <c r="AZ13" s="133" t="n"/>
      <c r="BA13" s="133" t="n"/>
      <c r="BB13" s="133" t="n"/>
      <c r="BC13" s="133" t="n"/>
      <c r="BD13" s="132" t="n"/>
      <c r="BE13" s="133" t="n"/>
      <c r="BF13" s="133" t="n"/>
      <c r="BG13" s="133" t="n"/>
      <c r="BH13" s="133" t="n"/>
      <c r="BI13" s="133" t="n"/>
      <c r="BJ13" s="132" t="n"/>
      <c r="BK13" s="133" t="n"/>
      <c r="BL13" s="133" t="n"/>
      <c r="BM13" s="133" t="n"/>
      <c r="BN13" s="133" t="n"/>
      <c r="BO13" s="134" t="n"/>
      <c r="BP13" s="132" t="n"/>
      <c r="BQ13" s="133" t="n"/>
      <c r="BR13" s="133" t="n"/>
      <c r="BS13" s="133" t="n"/>
      <c r="BT13" s="133" t="n"/>
      <c r="BU13" s="134" t="n"/>
      <c r="BV13" s="132" t="n"/>
      <c r="BW13" s="133" t="n"/>
      <c r="BX13" s="133" t="n"/>
      <c r="BY13" s="133" t="n"/>
      <c r="BZ13" s="133" t="n"/>
      <c r="CA13" s="135" t="n"/>
    </row>
    <row r="14" ht="16.5" customHeight="1" s="838">
      <c r="B14" s="756" t="n"/>
      <c r="C14" s="737" t="inlineStr">
        <is>
          <t>제품1</t>
        </is>
      </c>
      <c r="D14" s="733" t="inlineStr">
        <is>
          <t>VI율</t>
        </is>
      </c>
      <c r="E14" s="734" t="n"/>
      <c r="F14" s="83" t="inlineStr">
        <is>
          <t>목표</t>
        </is>
      </c>
      <c r="G14" s="929">
        <f>G16/G6</f>
        <v/>
      </c>
      <c r="H14" s="930">
        <f>H16/H6</f>
        <v/>
      </c>
      <c r="I14" s="930">
        <f>I16/I6</f>
        <v/>
      </c>
      <c r="J14" s="930">
        <f>J16/J6</f>
        <v/>
      </c>
      <c r="K14" s="930">
        <f>K16/K6</f>
        <v/>
      </c>
      <c r="L14" s="930">
        <f>L16/L6</f>
        <v/>
      </c>
      <c r="M14" s="929">
        <f>M16/M6</f>
        <v/>
      </c>
      <c r="N14" s="931">
        <f>N16/N6</f>
        <v/>
      </c>
      <c r="O14" s="931">
        <f>O16/O6</f>
        <v/>
      </c>
      <c r="P14" s="931">
        <f>P16/P6</f>
        <v/>
      </c>
      <c r="Q14" s="931">
        <f>Q16/Q6</f>
        <v/>
      </c>
      <c r="R14" s="932">
        <f>R16/R6</f>
        <v/>
      </c>
      <c r="S14" s="930">
        <f>S16/S6</f>
        <v/>
      </c>
      <c r="T14" s="930">
        <f>T16/T6</f>
        <v/>
      </c>
      <c r="U14" s="930">
        <f>U16/U6</f>
        <v/>
      </c>
      <c r="V14" s="930">
        <f>V16/V6</f>
        <v/>
      </c>
      <c r="W14" s="930">
        <f>W16/W6</f>
        <v/>
      </c>
      <c r="X14" s="932">
        <f>X16/X6</f>
        <v/>
      </c>
      <c r="Y14" s="930">
        <f>Y16/Y6</f>
        <v/>
      </c>
      <c r="Z14" s="930">
        <f>Z16/Z6</f>
        <v/>
      </c>
      <c r="AA14" s="930">
        <f>AA16/AA6</f>
        <v/>
      </c>
      <c r="AB14" s="930">
        <f>AB16/AB6</f>
        <v/>
      </c>
      <c r="AC14" s="930">
        <f>AC16/AC6</f>
        <v/>
      </c>
      <c r="AD14" s="932" t="n"/>
      <c r="AE14" s="930" t="n"/>
      <c r="AF14" s="930" t="n"/>
      <c r="AG14" s="930" t="n"/>
      <c r="AH14" s="930" t="n"/>
      <c r="AI14" s="930" t="n"/>
      <c r="AJ14" s="933" t="n"/>
      <c r="AK14" s="932" t="n"/>
      <c r="AL14" s="930" t="n"/>
      <c r="AM14" s="930" t="n"/>
      <c r="AN14" s="930" t="n"/>
      <c r="AO14" s="930" t="n"/>
      <c r="AP14" s="933" t="n"/>
      <c r="AQ14" s="932" t="n"/>
      <c r="AR14" s="930" t="n"/>
      <c r="AS14" s="930" t="n"/>
      <c r="AT14" s="930" t="n"/>
      <c r="AU14" s="930" t="n"/>
      <c r="AV14" s="933" t="n"/>
      <c r="AW14" s="932" t="n"/>
      <c r="AX14" s="930" t="n"/>
      <c r="AY14" s="930" t="n"/>
      <c r="AZ14" s="930" t="n"/>
      <c r="BA14" s="930" t="n"/>
      <c r="BB14" s="930" t="n"/>
      <c r="BC14" s="930" t="n"/>
      <c r="BD14" s="932" t="n"/>
      <c r="BE14" s="930" t="n"/>
      <c r="BF14" s="930" t="n"/>
      <c r="BG14" s="930" t="n"/>
      <c r="BH14" s="930" t="n"/>
      <c r="BI14" s="930" t="n"/>
      <c r="BJ14" s="932" t="n"/>
      <c r="BK14" s="930" t="n"/>
      <c r="BL14" s="930" t="n"/>
      <c r="BM14" s="930" t="n"/>
      <c r="BN14" s="930" t="n"/>
      <c r="BO14" s="933" t="n"/>
      <c r="BP14" s="932" t="n"/>
      <c r="BQ14" s="930" t="n"/>
      <c r="BR14" s="930" t="n"/>
      <c r="BS14" s="930" t="n"/>
      <c r="BT14" s="930" t="n"/>
      <c r="BU14" s="933" t="n"/>
      <c r="BV14" s="932" t="n"/>
      <c r="BW14" s="930" t="n"/>
      <c r="BX14" s="930" t="n"/>
      <c r="BY14" s="930" t="n"/>
      <c r="BZ14" s="930" t="n"/>
      <c r="CA14" s="934" t="n"/>
    </row>
    <row r="15" ht="16.5" customHeight="1" s="838">
      <c r="B15" s="756" t="n"/>
      <c r="C15" s="738" t="n"/>
      <c r="D15" s="735" t="n"/>
      <c r="E15" s="736" t="n"/>
      <c r="F15" s="754" t="inlineStr">
        <is>
          <t>실적</t>
        </is>
      </c>
      <c r="G15" s="929">
        <f>G17/G7</f>
        <v/>
      </c>
      <c r="H15" s="922">
        <f>H17/H7</f>
        <v/>
      </c>
      <c r="I15" s="922">
        <f>I17/I7</f>
        <v/>
      </c>
      <c r="J15" s="922">
        <f>J17/J7</f>
        <v/>
      </c>
      <c r="K15" s="922">
        <f>K17/K7</f>
        <v/>
      </c>
      <c r="L15" s="922">
        <f>L17/L7</f>
        <v/>
      </c>
      <c r="M15" s="929">
        <f>M17/M7</f>
        <v/>
      </c>
      <c r="N15" s="931">
        <f>N17/N7</f>
        <v/>
      </c>
      <c r="O15" s="931">
        <f>O17/O7</f>
        <v/>
      </c>
      <c r="P15" s="931">
        <f>P17/P7</f>
        <v/>
      </c>
      <c r="Q15" s="931">
        <f>Q17/Q7</f>
        <v/>
      </c>
      <c r="R15" s="921">
        <f>R17/R7</f>
        <v/>
      </c>
      <c r="S15" s="922">
        <f>S17/S7</f>
        <v/>
      </c>
      <c r="T15" s="922">
        <f>T17/T7</f>
        <v/>
      </c>
      <c r="U15" s="922">
        <f>U17/U7</f>
        <v/>
      </c>
      <c r="V15" s="922">
        <f>V17/V7</f>
        <v/>
      </c>
      <c r="W15" s="922">
        <f>W17/W7</f>
        <v/>
      </c>
      <c r="X15" s="921">
        <f>X17/X7</f>
        <v/>
      </c>
      <c r="Y15" s="922">
        <f>Y17/Y7</f>
        <v/>
      </c>
      <c r="Z15" s="922">
        <f>Z17/Z7</f>
        <v/>
      </c>
      <c r="AA15" s="922">
        <f>AA17/AA7</f>
        <v/>
      </c>
      <c r="AB15" s="922">
        <f>AB17/AB7</f>
        <v/>
      </c>
      <c r="AC15" s="922">
        <f>AC17/AC7</f>
        <v/>
      </c>
      <c r="AD15" s="921" t="n"/>
      <c r="AE15" s="922" t="n"/>
      <c r="AF15" s="922" t="n"/>
      <c r="AG15" s="922" t="n"/>
      <c r="AH15" s="922" t="n"/>
      <c r="AI15" s="922" t="n"/>
      <c r="AJ15" s="923" t="n"/>
      <c r="AK15" s="921" t="n"/>
      <c r="AL15" s="922" t="n"/>
      <c r="AM15" s="922" t="n"/>
      <c r="AN15" s="922" t="n"/>
      <c r="AO15" s="922" t="n"/>
      <c r="AP15" s="923" t="n"/>
      <c r="AQ15" s="132" t="n"/>
      <c r="AR15" s="133" t="n"/>
      <c r="AS15" s="133" t="n"/>
      <c r="AT15" s="133" t="n"/>
      <c r="AU15" s="133" t="n"/>
      <c r="AV15" s="134" t="n"/>
      <c r="AW15" s="132" t="n"/>
      <c r="AX15" s="133" t="n"/>
      <c r="AY15" s="133" t="n"/>
      <c r="AZ15" s="133" t="n"/>
      <c r="BA15" s="133" t="n"/>
      <c r="BB15" s="133" t="n"/>
      <c r="BC15" s="133" t="n"/>
      <c r="BD15" s="132" t="n"/>
      <c r="BE15" s="133" t="n"/>
      <c r="BF15" s="133" t="n"/>
      <c r="BG15" s="133" t="n"/>
      <c r="BH15" s="133" t="n"/>
      <c r="BI15" s="133" t="n"/>
      <c r="BJ15" s="132" t="n"/>
      <c r="BK15" s="133" t="n"/>
      <c r="BL15" s="133" t="n"/>
      <c r="BM15" s="133" t="n"/>
      <c r="BN15" s="133" t="n"/>
      <c r="BO15" s="134" t="n"/>
      <c r="BP15" s="132" t="n"/>
      <c r="BQ15" s="133" t="n"/>
      <c r="BR15" s="133" t="n"/>
      <c r="BS15" s="133" t="n"/>
      <c r="BT15" s="133" t="n"/>
      <c r="BU15" s="134" t="n"/>
      <c r="BV15" s="132" t="n"/>
      <c r="BW15" s="133" t="n"/>
      <c r="BX15" s="133" t="n"/>
      <c r="BY15" s="133" t="n"/>
      <c r="BZ15" s="133" t="n"/>
      <c r="CA15" s="135" t="n"/>
    </row>
    <row r="16" ht="16.5" customHeight="1" s="838">
      <c r="B16" s="756" t="n"/>
      <c r="C16" s="738" t="n"/>
      <c r="D16" s="733" t="inlineStr">
        <is>
          <t>VI 금액</t>
        </is>
      </c>
      <c r="E16" s="734" t="n"/>
      <c r="F16" s="83" t="inlineStr">
        <is>
          <t>목표</t>
        </is>
      </c>
      <c r="G16" s="903">
        <f>SUM(G28,G46)</f>
        <v/>
      </c>
      <c r="H16" s="904">
        <f>SUM(H28,H46)</f>
        <v/>
      </c>
      <c r="I16" s="904">
        <f>SUM(I28,I46)</f>
        <v/>
      </c>
      <c r="J16" s="904">
        <f>SUM(J28,J46)</f>
        <v/>
      </c>
      <c r="K16" s="904">
        <f>SUM(K28,K46)</f>
        <v/>
      </c>
      <c r="L16" s="904">
        <f>SUM(L28,L46)</f>
        <v/>
      </c>
      <c r="M16" s="903">
        <f>SUM(M28,M46)</f>
        <v/>
      </c>
      <c r="N16" s="904">
        <f>SUM(N28,N46)</f>
        <v/>
      </c>
      <c r="O16" s="904">
        <f>SUM(O28,O46)</f>
        <v/>
      </c>
      <c r="P16" s="904">
        <f>SUM(P28,P46)</f>
        <v/>
      </c>
      <c r="Q16" s="904">
        <f>SUM(Q28,Q46)</f>
        <v/>
      </c>
      <c r="R16" s="903">
        <f>SUM(R28,R46)</f>
        <v/>
      </c>
      <c r="S16" s="904">
        <f>SUM(S28,S46)</f>
        <v/>
      </c>
      <c r="T16" s="904">
        <f>SUM(T28,T46)</f>
        <v/>
      </c>
      <c r="U16" s="904">
        <f>SUM(U28,U46)</f>
        <v/>
      </c>
      <c r="V16" s="904">
        <f>SUM(V28,V46)</f>
        <v/>
      </c>
      <c r="W16" s="904">
        <f>SUM(W28,W46)</f>
        <v/>
      </c>
      <c r="X16" s="903">
        <f>SUM(X28,X46)</f>
        <v/>
      </c>
      <c r="Y16" s="904">
        <f>SUM(Y28,Y46)</f>
        <v/>
      </c>
      <c r="Z16" s="904">
        <f>SUM(Z28,Z46)</f>
        <v/>
      </c>
      <c r="AA16" s="904">
        <f>SUM(AA28,AA46)</f>
        <v/>
      </c>
      <c r="AB16" s="904">
        <f>SUM(AB28,AB46)</f>
        <v/>
      </c>
      <c r="AC16" s="904">
        <f>SUM(AC28,AC46)</f>
        <v/>
      </c>
      <c r="AD16" s="903" t="n"/>
      <c r="AE16" s="904" t="n"/>
      <c r="AF16" s="904" t="n"/>
      <c r="AG16" s="904" t="n"/>
      <c r="AH16" s="904" t="n"/>
      <c r="AI16" s="904" t="n"/>
      <c r="AJ16" s="905" t="n"/>
      <c r="AK16" s="903" t="n"/>
      <c r="AL16" s="904" t="n"/>
      <c r="AM16" s="904" t="n"/>
      <c r="AN16" s="904" t="n"/>
      <c r="AO16" s="904" t="n"/>
      <c r="AP16" s="905" t="n"/>
      <c r="AQ16" s="903" t="n"/>
      <c r="AR16" s="904" t="n"/>
      <c r="AS16" s="904" t="n"/>
      <c r="AT16" s="904" t="n"/>
      <c r="AU16" s="904" t="n"/>
      <c r="AV16" s="905" t="n"/>
      <c r="AW16" s="935">
        <f>SUM(AW18,AW20)</f>
        <v/>
      </c>
      <c r="AX16" s="904" t="n"/>
      <c r="AY16" s="904" t="n"/>
      <c r="AZ16" s="904" t="n"/>
      <c r="BA16" s="904" t="n"/>
      <c r="BB16" s="904" t="n"/>
      <c r="BC16" s="904" t="n"/>
      <c r="BD16" s="903" t="n"/>
      <c r="BE16" s="904" t="n"/>
      <c r="BF16" s="904" t="n"/>
      <c r="BG16" s="904" t="n"/>
      <c r="BH16" s="904" t="n"/>
      <c r="BI16" s="904" t="n"/>
      <c r="BJ16" s="903" t="n"/>
      <c r="BK16" s="904" t="n"/>
      <c r="BL16" s="904" t="n"/>
      <c r="BM16" s="904" t="n"/>
      <c r="BN16" s="904" t="n"/>
      <c r="BO16" s="905" t="n"/>
      <c r="BP16" s="903" t="n"/>
      <c r="BQ16" s="904" t="n"/>
      <c r="BR16" s="904" t="n"/>
      <c r="BS16" s="904" t="n"/>
      <c r="BT16" s="904" t="n"/>
      <c r="BU16" s="905" t="n"/>
      <c r="BV16" s="903" t="n"/>
      <c r="BW16" s="904" t="n"/>
      <c r="BX16" s="904" t="n"/>
      <c r="BY16" s="904" t="n"/>
      <c r="BZ16" s="904" t="n"/>
      <c r="CA16" s="936" t="n"/>
    </row>
    <row r="17" ht="16.5" customHeight="1" s="838">
      <c r="B17" s="756" t="n"/>
      <c r="C17" s="739" t="n"/>
      <c r="D17" s="735" t="n"/>
      <c r="E17" s="736" t="n"/>
      <c r="F17" s="754" t="inlineStr">
        <is>
          <t>실적</t>
        </is>
      </c>
      <c r="G17" s="896">
        <f>SUM(G29,G47)</f>
        <v/>
      </c>
      <c r="H17" s="897">
        <f>SUM(H29,H47)</f>
        <v/>
      </c>
      <c r="I17" s="897">
        <f>SUM(I29,I47)</f>
        <v/>
      </c>
      <c r="J17" s="897">
        <f>SUM(J29,J47)</f>
        <v/>
      </c>
      <c r="K17" s="897">
        <f>SUM(K29,K47)</f>
        <v/>
      </c>
      <c r="L17" s="897">
        <f>SUM(L29,L47)</f>
        <v/>
      </c>
      <c r="M17" s="896">
        <f>SUM(M29,M47)</f>
        <v/>
      </c>
      <c r="N17" s="897">
        <f>SUM(N29,N47)</f>
        <v/>
      </c>
      <c r="O17" s="897">
        <f>SUM(O29,O47)</f>
        <v/>
      </c>
      <c r="P17" s="897">
        <f>SUM(P29,P47)</f>
        <v/>
      </c>
      <c r="Q17" s="897">
        <f>SUM(Q29,Q47)</f>
        <v/>
      </c>
      <c r="R17" s="896">
        <f>SUM(R29,R47)</f>
        <v/>
      </c>
      <c r="S17" s="897">
        <f>SUM(S29,S47)</f>
        <v/>
      </c>
      <c r="T17" s="897">
        <f>SUM(T29,T47)</f>
        <v/>
      </c>
      <c r="U17" s="897">
        <f>SUM(U29,U47)</f>
        <v/>
      </c>
      <c r="V17" s="897">
        <f>SUM(V29,V47)</f>
        <v/>
      </c>
      <c r="W17" s="897">
        <f>SUM(W29,W47)</f>
        <v/>
      </c>
      <c r="X17" s="896">
        <f>SUM(X29,X47)</f>
        <v/>
      </c>
      <c r="Y17" s="897">
        <f>SUM(Y29,Y47)</f>
        <v/>
      </c>
      <c r="Z17" s="897">
        <f>SUM(Z29,Z47)</f>
        <v/>
      </c>
      <c r="AA17" s="897">
        <f>SUM(AA29,AA47)</f>
        <v/>
      </c>
      <c r="AB17" s="897">
        <f>SUM(AB29,AB47)</f>
        <v/>
      </c>
      <c r="AC17" s="897">
        <f>SUM(AC29,AC47)</f>
        <v/>
      </c>
      <c r="AD17" s="896" t="n"/>
      <c r="AE17" s="897" t="n"/>
      <c r="AF17" s="897" t="n"/>
      <c r="AG17" s="897" t="n"/>
      <c r="AH17" s="897" t="n"/>
      <c r="AI17" s="897" t="n"/>
      <c r="AJ17" s="898" t="n"/>
      <c r="AK17" s="896" t="n"/>
      <c r="AL17" s="897" t="n"/>
      <c r="AM17" s="897" t="n"/>
      <c r="AN17" s="897" t="n"/>
      <c r="AO17" s="897" t="n"/>
      <c r="AP17" s="898" t="n"/>
      <c r="AQ17" s="132" t="n"/>
      <c r="AR17" s="133" t="n"/>
      <c r="AS17" s="133" t="n"/>
      <c r="AT17" s="133" t="n"/>
      <c r="AU17" s="133" t="n"/>
      <c r="AV17" s="134" t="n"/>
      <c r="AW17" s="132" t="n"/>
      <c r="AX17" s="133" t="n"/>
      <c r="AY17" s="133" t="n"/>
      <c r="AZ17" s="133" t="n"/>
      <c r="BA17" s="133" t="n"/>
      <c r="BB17" s="133" t="n"/>
      <c r="BC17" s="133" t="n"/>
      <c r="BD17" s="132" t="n"/>
      <c r="BE17" s="133" t="n"/>
      <c r="BF17" s="133" t="n"/>
      <c r="BG17" s="133" t="n"/>
      <c r="BH17" s="133" t="n"/>
      <c r="BI17" s="133" t="n"/>
      <c r="BJ17" s="132" t="n"/>
      <c r="BK17" s="133" t="n"/>
      <c r="BL17" s="133" t="n"/>
      <c r="BM17" s="133" t="n"/>
      <c r="BN17" s="133" t="n"/>
      <c r="BO17" s="134" t="n"/>
      <c r="BP17" s="132" t="n"/>
      <c r="BQ17" s="133" t="n"/>
      <c r="BR17" s="133" t="n"/>
      <c r="BS17" s="133" t="n"/>
      <c r="BT17" s="133" t="n"/>
      <c r="BU17" s="134" t="n"/>
      <c r="BV17" s="132" t="n"/>
      <c r="BW17" s="133" t="n"/>
      <c r="BX17" s="133" t="n"/>
      <c r="BY17" s="133" t="n"/>
      <c r="BZ17" s="133" t="n"/>
      <c r="CA17" s="135" t="n"/>
    </row>
    <row r="18" ht="16.5" customHeight="1" s="838">
      <c r="B18" s="756" t="n"/>
      <c r="C18" s="749" t="inlineStr">
        <is>
          <t>제품2</t>
        </is>
      </c>
      <c r="D18" s="733" t="inlineStr">
        <is>
          <t>VI율</t>
        </is>
      </c>
      <c r="E18" s="734" t="n"/>
      <c r="F18" s="83" t="inlineStr">
        <is>
          <t>목표</t>
        </is>
      </c>
      <c r="G18" s="929">
        <f>G20/G8</f>
        <v/>
      </c>
      <c r="H18" s="930">
        <f>H20/H8</f>
        <v/>
      </c>
      <c r="I18" s="930">
        <f>I20/I8</f>
        <v/>
      </c>
      <c r="J18" s="930">
        <f>J20/J8</f>
        <v/>
      </c>
      <c r="K18" s="930">
        <f>K20/K8</f>
        <v/>
      </c>
      <c r="L18" s="930">
        <f>L20/L8</f>
        <v/>
      </c>
      <c r="M18" s="929">
        <f>M20/M8</f>
        <v/>
      </c>
      <c r="N18" s="931">
        <f>N20/N8</f>
        <v/>
      </c>
      <c r="O18" s="931">
        <f>O20/O8</f>
        <v/>
      </c>
      <c r="P18" s="931">
        <f>P20/P8</f>
        <v/>
      </c>
      <c r="Q18" s="931">
        <f>Q20/Q8</f>
        <v/>
      </c>
      <c r="R18" s="932">
        <f>R20/R8</f>
        <v/>
      </c>
      <c r="S18" s="930">
        <f>S20/S8</f>
        <v/>
      </c>
      <c r="T18" s="930">
        <f>T20/T8</f>
        <v/>
      </c>
      <c r="U18" s="930">
        <f>U20/U8</f>
        <v/>
      </c>
      <c r="V18" s="930">
        <f>V20/V8</f>
        <v/>
      </c>
      <c r="W18" s="930">
        <f>W20/W8</f>
        <v/>
      </c>
      <c r="X18" s="932">
        <f>X20/X8</f>
        <v/>
      </c>
      <c r="Y18" s="930">
        <f>Y20/Y8</f>
        <v/>
      </c>
      <c r="Z18" s="930">
        <f>Z20/Z8</f>
        <v/>
      </c>
      <c r="AA18" s="930">
        <f>AA20/AA8</f>
        <v/>
      </c>
      <c r="AB18" s="930">
        <f>AB20/AB8</f>
        <v/>
      </c>
      <c r="AC18" s="930">
        <f>AC20/AC8</f>
        <v/>
      </c>
      <c r="AD18" s="932" t="n"/>
      <c r="AE18" s="930" t="n"/>
      <c r="AF18" s="930" t="n"/>
      <c r="AG18" s="930" t="n"/>
      <c r="AH18" s="930" t="n"/>
      <c r="AI18" s="930" t="n"/>
      <c r="AJ18" s="933" t="n"/>
      <c r="AK18" s="932" t="n"/>
      <c r="AL18" s="930" t="n"/>
      <c r="AM18" s="930" t="n"/>
      <c r="AN18" s="930" t="n"/>
      <c r="AO18" s="930" t="n"/>
      <c r="AP18" s="933" t="n"/>
      <c r="AQ18" s="932" t="n"/>
      <c r="AR18" s="930" t="n"/>
      <c r="AS18" s="930" t="n"/>
      <c r="AT18" s="930" t="n"/>
      <c r="AU18" s="930" t="n"/>
      <c r="AV18" s="933" t="n"/>
      <c r="AW18" s="932" t="n"/>
      <c r="AX18" s="930" t="n"/>
      <c r="AY18" s="930" t="n"/>
      <c r="AZ18" s="930" t="n"/>
      <c r="BA18" s="930" t="n"/>
      <c r="BB18" s="930" t="n"/>
      <c r="BC18" s="930" t="n"/>
      <c r="BD18" s="932" t="n"/>
      <c r="BE18" s="930" t="n"/>
      <c r="BF18" s="930" t="n"/>
      <c r="BG18" s="930" t="n"/>
      <c r="BH18" s="930" t="n"/>
      <c r="BI18" s="930" t="n"/>
      <c r="BJ18" s="932" t="n"/>
      <c r="BK18" s="930" t="n"/>
      <c r="BL18" s="930" t="n"/>
      <c r="BM18" s="930" t="n"/>
      <c r="BN18" s="930" t="n"/>
      <c r="BO18" s="933" t="n"/>
      <c r="BP18" s="932" t="n"/>
      <c r="BQ18" s="930" t="n"/>
      <c r="BR18" s="930" t="n"/>
      <c r="BS18" s="930" t="n"/>
      <c r="BT18" s="930" t="n"/>
      <c r="BU18" s="933" t="n"/>
      <c r="BV18" s="932" t="n"/>
      <c r="BW18" s="930" t="n"/>
      <c r="BX18" s="930" t="n"/>
      <c r="BY18" s="930" t="n"/>
      <c r="BZ18" s="930" t="n"/>
      <c r="CA18" s="934" t="n"/>
    </row>
    <row r="19" ht="16.5" customHeight="1" s="838">
      <c r="B19" s="756" t="n"/>
      <c r="C19" s="738" t="n"/>
      <c r="D19" s="735" t="n"/>
      <c r="E19" s="736" t="n"/>
      <c r="F19" s="754" t="inlineStr">
        <is>
          <t>실적</t>
        </is>
      </c>
      <c r="G19" s="929">
        <f>G21/G9</f>
        <v/>
      </c>
      <c r="H19" s="922">
        <f>H21/H9</f>
        <v/>
      </c>
      <c r="I19" s="922">
        <f>I21/I9</f>
        <v/>
      </c>
      <c r="J19" s="922">
        <f>J21/J9</f>
        <v/>
      </c>
      <c r="K19" s="922">
        <f>K21/K9</f>
        <v/>
      </c>
      <c r="L19" s="922">
        <f>L21/L9</f>
        <v/>
      </c>
      <c r="M19" s="929">
        <f>M21/M9</f>
        <v/>
      </c>
      <c r="N19" s="931">
        <f>N21/N9</f>
        <v/>
      </c>
      <c r="O19" s="931">
        <f>O21/O9</f>
        <v/>
      </c>
      <c r="P19" s="931">
        <f>P21/P9</f>
        <v/>
      </c>
      <c r="Q19" s="931">
        <f>Q21/Q9</f>
        <v/>
      </c>
      <c r="R19" s="921">
        <f>R21/R9</f>
        <v/>
      </c>
      <c r="S19" s="922">
        <f>S21/S9</f>
        <v/>
      </c>
      <c r="T19" s="922">
        <f>T21/T9</f>
        <v/>
      </c>
      <c r="U19" s="922">
        <f>U21/U9</f>
        <v/>
      </c>
      <c r="V19" s="922">
        <f>V21/V9</f>
        <v/>
      </c>
      <c r="W19" s="922">
        <f>W21/W9</f>
        <v/>
      </c>
      <c r="X19" s="921">
        <f>X21/X9</f>
        <v/>
      </c>
      <c r="Y19" s="922">
        <f>Y21/Y9</f>
        <v/>
      </c>
      <c r="Z19" s="922">
        <f>Z21/Z9</f>
        <v/>
      </c>
      <c r="AA19" s="922">
        <f>AA21/AA9</f>
        <v/>
      </c>
      <c r="AB19" s="922">
        <f>AB21/AB9</f>
        <v/>
      </c>
      <c r="AC19" s="922">
        <f>AC21/AC9</f>
        <v/>
      </c>
      <c r="AD19" s="921" t="n"/>
      <c r="AE19" s="922" t="n"/>
      <c r="AF19" s="922" t="n"/>
      <c r="AG19" s="922" t="n"/>
      <c r="AH19" s="922" t="n"/>
      <c r="AI19" s="922" t="n"/>
      <c r="AJ19" s="923" t="n"/>
      <c r="AK19" s="921" t="n"/>
      <c r="AL19" s="922" t="n"/>
      <c r="AM19" s="922" t="n"/>
      <c r="AN19" s="922" t="n"/>
      <c r="AO19" s="922" t="n"/>
      <c r="AP19" s="923" t="n"/>
      <c r="AQ19" s="132" t="n"/>
      <c r="AR19" s="133" t="n"/>
      <c r="AS19" s="133" t="n"/>
      <c r="AT19" s="133" t="n"/>
      <c r="AU19" s="133" t="n"/>
      <c r="AV19" s="134" t="n"/>
      <c r="AW19" s="132" t="n"/>
      <c r="AX19" s="133" t="n"/>
      <c r="AY19" s="133" t="n"/>
      <c r="AZ19" s="133" t="n"/>
      <c r="BA19" s="133" t="n"/>
      <c r="BB19" s="133" t="n"/>
      <c r="BC19" s="133" t="n"/>
      <c r="BD19" s="132" t="n"/>
      <c r="BE19" s="133" t="n"/>
      <c r="BF19" s="133" t="n"/>
      <c r="BG19" s="133" t="n"/>
      <c r="BH19" s="133" t="n"/>
      <c r="BI19" s="133" t="n"/>
      <c r="BJ19" s="132" t="n"/>
      <c r="BK19" s="133" t="n"/>
      <c r="BL19" s="133" t="n"/>
      <c r="BM19" s="133" t="n"/>
      <c r="BN19" s="133" t="n"/>
      <c r="BO19" s="134" t="n"/>
      <c r="BP19" s="132" t="n"/>
      <c r="BQ19" s="133" t="n"/>
      <c r="BR19" s="133" t="n"/>
      <c r="BS19" s="133" t="n"/>
      <c r="BT19" s="133" t="n"/>
      <c r="BU19" s="134" t="n"/>
      <c r="BV19" s="132" t="n"/>
      <c r="BW19" s="133" t="n"/>
      <c r="BX19" s="133" t="n"/>
      <c r="BY19" s="133" t="n"/>
      <c r="BZ19" s="133" t="n"/>
      <c r="CA19" s="135" t="n"/>
    </row>
    <row r="20" ht="16.5" customHeight="1" s="838">
      <c r="B20" s="756" t="n"/>
      <c r="C20" s="738" t="n"/>
      <c r="D20" s="744" t="inlineStr">
        <is>
          <t>VI 금액</t>
        </is>
      </c>
      <c r="E20" s="734" t="n"/>
      <c r="F20" s="83" t="inlineStr">
        <is>
          <t>목표</t>
        </is>
      </c>
      <c r="G20" s="903">
        <f>SUM(G32,G56)</f>
        <v/>
      </c>
      <c r="H20" s="904">
        <f>SUM(H32,H56)</f>
        <v/>
      </c>
      <c r="I20" s="904">
        <f>SUM(I32,I56)</f>
        <v/>
      </c>
      <c r="J20" s="904">
        <f>SUM(J32,J56)</f>
        <v/>
      </c>
      <c r="K20" s="904">
        <f>SUM(K32,K56)</f>
        <v/>
      </c>
      <c r="L20" s="904">
        <f>SUM(L32,L56)</f>
        <v/>
      </c>
      <c r="M20" s="903">
        <f>SUM(M32,M56)</f>
        <v/>
      </c>
      <c r="N20" s="904">
        <f>SUM(N32,N56)</f>
        <v/>
      </c>
      <c r="O20" s="904">
        <f>SUM(O32,O56)</f>
        <v/>
      </c>
      <c r="P20" s="904">
        <f>SUM(P32,P56)</f>
        <v/>
      </c>
      <c r="Q20" s="904">
        <f>SUM(Q32,Q56)</f>
        <v/>
      </c>
      <c r="R20" s="903">
        <f>SUM(R32,R56)</f>
        <v/>
      </c>
      <c r="S20" s="904">
        <f>SUM(S32,S56)</f>
        <v/>
      </c>
      <c r="T20" s="904">
        <f>SUM(T32,T56)</f>
        <v/>
      </c>
      <c r="U20" s="904">
        <f>SUM(U32,U56)</f>
        <v/>
      </c>
      <c r="V20" s="904">
        <f>SUM(V32,V56)</f>
        <v/>
      </c>
      <c r="W20" s="904">
        <f>SUM(W32,W56)</f>
        <v/>
      </c>
      <c r="X20" s="903">
        <f>SUM(X32,X56)</f>
        <v/>
      </c>
      <c r="Y20" s="904">
        <f>SUM(Y32,Y56)</f>
        <v/>
      </c>
      <c r="Z20" s="904">
        <f>SUM(Z32,Z56)</f>
        <v/>
      </c>
      <c r="AA20" s="904">
        <f>SUM(AA32,AA56)</f>
        <v/>
      </c>
      <c r="AB20" s="904">
        <f>SUM(AB32,AB56)</f>
        <v/>
      </c>
      <c r="AC20" s="904">
        <f>SUM(AC32,AC56)</f>
        <v/>
      </c>
      <c r="AD20" s="903" t="n"/>
      <c r="AE20" s="904" t="n"/>
      <c r="AF20" s="904" t="n"/>
      <c r="AG20" s="904" t="n"/>
      <c r="AH20" s="904" t="n"/>
      <c r="AI20" s="904" t="n"/>
      <c r="AJ20" s="905" t="n"/>
      <c r="AK20" s="903" t="n"/>
      <c r="AL20" s="904" t="n"/>
      <c r="AM20" s="904" t="n"/>
      <c r="AN20" s="904" t="n"/>
      <c r="AO20" s="904" t="n"/>
      <c r="AP20" s="905" t="n"/>
      <c r="AQ20" s="903" t="n"/>
      <c r="AR20" s="904" t="n"/>
      <c r="AS20" s="904" t="n"/>
      <c r="AT20" s="904" t="n"/>
      <c r="AU20" s="904" t="n"/>
      <c r="AV20" s="905" t="n"/>
      <c r="AW20" s="903" t="n"/>
      <c r="AX20" s="904" t="n"/>
      <c r="AY20" s="904" t="n"/>
      <c r="AZ20" s="904" t="n"/>
      <c r="BA20" s="904" t="n"/>
      <c r="BB20" s="904" t="n"/>
      <c r="BC20" s="904" t="n"/>
      <c r="BD20" s="903" t="n"/>
      <c r="BE20" s="904" t="n"/>
      <c r="BF20" s="904" t="n"/>
      <c r="BG20" s="904" t="n"/>
      <c r="BH20" s="904" t="n"/>
      <c r="BI20" s="904" t="n"/>
      <c r="BJ20" s="903" t="n"/>
      <c r="BK20" s="904" t="n"/>
      <c r="BL20" s="904" t="n"/>
      <c r="BM20" s="904" t="n"/>
      <c r="BN20" s="904" t="n"/>
      <c r="BO20" s="905" t="n"/>
      <c r="BP20" s="903" t="n"/>
      <c r="BQ20" s="904" t="n"/>
      <c r="BR20" s="904" t="n"/>
      <c r="BS20" s="904" t="n"/>
      <c r="BT20" s="904" t="n"/>
      <c r="BU20" s="905" t="n"/>
      <c r="BV20" s="903" t="n"/>
      <c r="BW20" s="904" t="n"/>
      <c r="BX20" s="904" t="n"/>
      <c r="BY20" s="904" t="n"/>
      <c r="BZ20" s="904" t="n"/>
      <c r="CA20" s="936" t="n"/>
    </row>
    <row r="21" ht="17.25" customHeight="1" s="838">
      <c r="B21" s="757" t="n"/>
      <c r="C21" s="753" t="n"/>
      <c r="D21" s="746" t="n"/>
      <c r="E21" s="748" t="n"/>
      <c r="F21" s="781" t="inlineStr">
        <is>
          <t>실적</t>
        </is>
      </c>
      <c r="G21" s="910">
        <f>SUM(G33,G57)</f>
        <v/>
      </c>
      <c r="H21" s="911">
        <f>SUM(H33,H57)</f>
        <v/>
      </c>
      <c r="I21" s="911">
        <f>SUM(I33,I57)</f>
        <v/>
      </c>
      <c r="J21" s="911">
        <f>SUM(J33,J57)</f>
        <v/>
      </c>
      <c r="K21" s="911">
        <f>SUM(K33,K57)</f>
        <v/>
      </c>
      <c r="L21" s="911">
        <f>SUM(L33,L57)</f>
        <v/>
      </c>
      <c r="M21" s="910">
        <f>SUM(M33,M57)</f>
        <v/>
      </c>
      <c r="N21" s="911">
        <f>SUM(N33,N57)</f>
        <v/>
      </c>
      <c r="O21" s="911">
        <f>SUM(O33,O57)</f>
        <v/>
      </c>
      <c r="P21" s="911">
        <f>SUM(P33,P57)</f>
        <v/>
      </c>
      <c r="Q21" s="911">
        <f>SUM(Q33,Q57)</f>
        <v/>
      </c>
      <c r="R21" s="910">
        <f>SUM(R33,R57)</f>
        <v/>
      </c>
      <c r="S21" s="911">
        <f>SUM(S33,S57)</f>
        <v/>
      </c>
      <c r="T21" s="911">
        <f>SUM(T33,T57)</f>
        <v/>
      </c>
      <c r="U21" s="911">
        <f>SUM(U33,U57)</f>
        <v/>
      </c>
      <c r="V21" s="911">
        <f>SUM(V33,V57)</f>
        <v/>
      </c>
      <c r="W21" s="911">
        <f>SUM(W33,W57)</f>
        <v/>
      </c>
      <c r="X21" s="910">
        <f>SUM(X33,X57)</f>
        <v/>
      </c>
      <c r="Y21" s="911">
        <f>SUM(Y33,Y57)</f>
        <v/>
      </c>
      <c r="Z21" s="911">
        <f>SUM(Z33,Z57)</f>
        <v/>
      </c>
      <c r="AA21" s="911">
        <f>SUM(AA33,AA57)</f>
        <v/>
      </c>
      <c r="AB21" s="911">
        <f>SUM(AB33,AB57)</f>
        <v/>
      </c>
      <c r="AC21" s="911">
        <f>SUM(AC33,AC57)</f>
        <v/>
      </c>
      <c r="AD21" s="910" t="n"/>
      <c r="AE21" s="911" t="n"/>
      <c r="AF21" s="911" t="n"/>
      <c r="AG21" s="911" t="n"/>
      <c r="AH21" s="911" t="n"/>
      <c r="AI21" s="911" t="n"/>
      <c r="AJ21" s="912" t="n"/>
      <c r="AK21" s="910" t="n"/>
      <c r="AL21" s="911" t="n"/>
      <c r="AM21" s="911" t="n"/>
      <c r="AN21" s="911" t="n"/>
      <c r="AO21" s="911" t="n"/>
      <c r="AP21" s="912" t="n"/>
      <c r="AQ21" s="144" t="n"/>
      <c r="AR21" s="145" t="n"/>
      <c r="AS21" s="145" t="n"/>
      <c r="AT21" s="145" t="n"/>
      <c r="AU21" s="145" t="n"/>
      <c r="AV21" s="146" t="n"/>
      <c r="AW21" s="144" t="n"/>
      <c r="AX21" s="145" t="n"/>
      <c r="AY21" s="145" t="n"/>
      <c r="AZ21" s="145" t="n"/>
      <c r="BA21" s="145" t="n"/>
      <c r="BB21" s="145" t="n"/>
      <c r="BC21" s="145" t="n"/>
      <c r="BD21" s="144" t="n"/>
      <c r="BE21" s="145" t="n"/>
      <c r="BF21" s="145" t="n"/>
      <c r="BG21" s="145" t="n"/>
      <c r="BH21" s="145" t="n"/>
      <c r="BI21" s="145" t="n"/>
      <c r="BJ21" s="144" t="n"/>
      <c r="BK21" s="145" t="n"/>
      <c r="BL21" s="145" t="n"/>
      <c r="BM21" s="145" t="n"/>
      <c r="BN21" s="145" t="n"/>
      <c r="BO21" s="146" t="n"/>
      <c r="BP21" s="144" t="n"/>
      <c r="BQ21" s="145" t="n"/>
      <c r="BR21" s="145" t="n"/>
      <c r="BS21" s="145" t="n"/>
      <c r="BT21" s="145" t="n"/>
      <c r="BU21" s="146" t="n"/>
      <c r="BV21" s="144" t="n"/>
      <c r="BW21" s="145" t="n"/>
      <c r="BX21" s="145" t="n"/>
      <c r="BY21" s="145" t="n"/>
      <c r="BZ21" s="145" t="n"/>
      <c r="CA21" s="147" t="n"/>
    </row>
    <row r="22" ht="16.5" customHeight="1" s="838">
      <c r="B22" s="758" t="inlineStr">
        <is>
          <t>시스템 반영</t>
        </is>
      </c>
      <c r="C22" s="750" t="inlineStr">
        <is>
          <t>키친솔루션</t>
        </is>
      </c>
      <c r="D22" s="742" t="inlineStr">
        <is>
          <t>VI율</t>
        </is>
      </c>
      <c r="E22" s="743" t="n"/>
      <c r="F22" s="798" t="inlineStr">
        <is>
          <t>목표</t>
        </is>
      </c>
      <c r="G22" s="917">
        <f>G24/G4</f>
        <v/>
      </c>
      <c r="H22" s="918">
        <f>H24/H4</f>
        <v/>
      </c>
      <c r="I22" s="918">
        <f>I24/I4</f>
        <v/>
      </c>
      <c r="J22" s="918">
        <f>J24/J4</f>
        <v/>
      </c>
      <c r="K22" s="918">
        <f>K24/K4</f>
        <v/>
      </c>
      <c r="L22" s="918">
        <f>L24/L4</f>
        <v/>
      </c>
      <c r="M22" s="917">
        <f>M24/M4</f>
        <v/>
      </c>
      <c r="N22" s="918">
        <f>N24/N4</f>
        <v/>
      </c>
      <c r="O22" s="918">
        <f>O24/O4</f>
        <v/>
      </c>
      <c r="P22" s="918">
        <f>P24/P4</f>
        <v/>
      </c>
      <c r="Q22" s="918">
        <f>Q24/Q4</f>
        <v/>
      </c>
      <c r="R22" s="917">
        <f>R24/R4</f>
        <v/>
      </c>
      <c r="S22" s="918">
        <f>S24/S4</f>
        <v/>
      </c>
      <c r="T22" s="918">
        <f>T24/T4</f>
        <v/>
      </c>
      <c r="U22" s="918">
        <f>U24/U4</f>
        <v/>
      </c>
      <c r="V22" s="918">
        <f>V24/V4</f>
        <v/>
      </c>
      <c r="W22" s="918">
        <f>W24/W4</f>
        <v/>
      </c>
      <c r="X22" s="917">
        <f>X24/X4</f>
        <v/>
      </c>
      <c r="Y22" s="918">
        <f>Y24/Y4</f>
        <v/>
      </c>
      <c r="Z22" s="918">
        <f>Z24/Z4</f>
        <v/>
      </c>
      <c r="AA22" s="918">
        <f>AA24/AA4</f>
        <v/>
      </c>
      <c r="AB22" s="918">
        <f>AB24/AB4</f>
        <v/>
      </c>
      <c r="AC22" s="918">
        <f>AC24/AC4</f>
        <v/>
      </c>
      <c r="AD22" s="917" t="n"/>
      <c r="AE22" s="918" t="n"/>
      <c r="AF22" s="918" t="n"/>
      <c r="AG22" s="918" t="n"/>
      <c r="AH22" s="918" t="n"/>
      <c r="AI22" s="918" t="n"/>
      <c r="AJ22" s="919" t="n"/>
      <c r="AK22" s="917" t="n"/>
      <c r="AL22" s="918" t="n"/>
      <c r="AM22" s="918" t="n"/>
      <c r="AN22" s="918" t="n"/>
      <c r="AO22" s="918" t="n"/>
      <c r="AP22" s="919" t="n"/>
      <c r="AQ22" s="917" t="n"/>
      <c r="AR22" s="918" t="n"/>
      <c r="AS22" s="918" t="n"/>
      <c r="AT22" s="918" t="n"/>
      <c r="AU22" s="918" t="n"/>
      <c r="AV22" s="919" t="n"/>
      <c r="AW22" s="917" t="n"/>
      <c r="AX22" s="918" t="n"/>
      <c r="AY22" s="918" t="n"/>
      <c r="AZ22" s="918" t="n"/>
      <c r="BA22" s="918" t="n"/>
      <c r="BB22" s="918" t="n"/>
      <c r="BC22" s="918" t="n"/>
      <c r="BD22" s="917" t="n"/>
      <c r="BE22" s="918" t="n"/>
      <c r="BF22" s="918" t="n"/>
      <c r="BG22" s="918" t="n"/>
      <c r="BH22" s="918" t="n"/>
      <c r="BI22" s="918" t="n"/>
      <c r="BJ22" s="917" t="n"/>
      <c r="BK22" s="918" t="n"/>
      <c r="BL22" s="918" t="n"/>
      <c r="BM22" s="918" t="n"/>
      <c r="BN22" s="918" t="n"/>
      <c r="BO22" s="919" t="n"/>
      <c r="BP22" s="917" t="n"/>
      <c r="BQ22" s="918" t="n"/>
      <c r="BR22" s="918" t="n"/>
      <c r="BS22" s="918" t="n"/>
      <c r="BT22" s="918" t="n"/>
      <c r="BU22" s="919" t="n"/>
      <c r="BV22" s="917" t="n"/>
      <c r="BW22" s="918" t="n"/>
      <c r="BX22" s="918" t="n"/>
      <c r="BY22" s="918" t="n"/>
      <c r="BZ22" s="918" t="n"/>
      <c r="CA22" s="920" t="n"/>
    </row>
    <row r="23" ht="16.5" customHeight="1" s="838">
      <c r="B23" s="756" t="n"/>
      <c r="C23" s="738" t="n"/>
      <c r="D23" s="735" t="n"/>
      <c r="E23" s="736" t="n"/>
      <c r="F23" s="754" t="inlineStr">
        <is>
          <t>실적</t>
        </is>
      </c>
      <c r="G23" s="929">
        <f>G25/G5</f>
        <v/>
      </c>
      <c r="H23" s="922">
        <f>H25/H5</f>
        <v/>
      </c>
      <c r="I23" s="922">
        <f>I25/I5</f>
        <v/>
      </c>
      <c r="J23" s="922">
        <f>J25/J5</f>
        <v/>
      </c>
      <c r="K23" s="922">
        <f>K25/K5</f>
        <v/>
      </c>
      <c r="L23" s="922">
        <f>L25/L5</f>
        <v/>
      </c>
      <c r="M23" s="929">
        <f>M25/M5</f>
        <v/>
      </c>
      <c r="N23" s="931">
        <f>N25/N5</f>
        <v/>
      </c>
      <c r="O23" s="931">
        <f>O25/O5</f>
        <v/>
      </c>
      <c r="P23" s="931">
        <f>P25/P5</f>
        <v/>
      </c>
      <c r="Q23" s="931">
        <f>Q25/Q5</f>
        <v/>
      </c>
      <c r="R23" s="921">
        <f>R25/R5</f>
        <v/>
      </c>
      <c r="S23" s="922">
        <f>S25/S5</f>
        <v/>
      </c>
      <c r="T23" s="922">
        <f>T25/T5</f>
        <v/>
      </c>
      <c r="U23" s="922">
        <f>U25/U5</f>
        <v/>
      </c>
      <c r="V23" s="922">
        <f>V25/V5</f>
        <v/>
      </c>
      <c r="W23" s="922">
        <f>W25/W5</f>
        <v/>
      </c>
      <c r="X23" s="921">
        <f>X25/X5</f>
        <v/>
      </c>
      <c r="Y23" s="922">
        <f>Y25/Y5</f>
        <v/>
      </c>
      <c r="Z23" s="922">
        <f>Z25/Z5</f>
        <v/>
      </c>
      <c r="AA23" s="922">
        <f>AA25/AA5</f>
        <v/>
      </c>
      <c r="AB23" s="922">
        <f>AB25/AB5</f>
        <v/>
      </c>
      <c r="AC23" s="922">
        <f>AC25/AC5</f>
        <v/>
      </c>
      <c r="AD23" s="921" t="n"/>
      <c r="AE23" s="922" t="n"/>
      <c r="AF23" s="922" t="n"/>
      <c r="AG23" s="922" t="n"/>
      <c r="AH23" s="922" t="n"/>
      <c r="AI23" s="922" t="n"/>
      <c r="AJ23" s="923" t="n"/>
      <c r="AK23" s="921" t="n"/>
      <c r="AL23" s="922" t="n"/>
      <c r="AM23" s="922" t="n"/>
      <c r="AN23" s="922" t="n"/>
      <c r="AO23" s="922" t="n"/>
      <c r="AP23" s="923" t="n"/>
      <c r="AQ23" s="921" t="n"/>
      <c r="AR23" s="922" t="n"/>
      <c r="AS23" s="922" t="n"/>
      <c r="AT23" s="922" t="n"/>
      <c r="AU23" s="922" t="n"/>
      <c r="AV23" s="923" t="n"/>
      <c r="AW23" s="132" t="n"/>
      <c r="AX23" s="133" t="n"/>
      <c r="AY23" s="133" t="n"/>
      <c r="AZ23" s="133" t="n"/>
      <c r="BA23" s="133" t="n"/>
      <c r="BB23" s="133" t="n"/>
      <c r="BC23" s="133" t="n"/>
      <c r="BD23" s="132" t="n"/>
      <c r="BE23" s="133" t="n"/>
      <c r="BF23" s="133" t="n"/>
      <c r="BG23" s="133" t="n"/>
      <c r="BH23" s="133" t="n"/>
      <c r="BI23" s="133" t="n"/>
      <c r="BJ23" s="132" t="n"/>
      <c r="BK23" s="133" t="n"/>
      <c r="BL23" s="133" t="n"/>
      <c r="BM23" s="133" t="n"/>
      <c r="BN23" s="133" t="n"/>
      <c r="BO23" s="134" t="n"/>
      <c r="BP23" s="132" t="n"/>
      <c r="BQ23" s="133" t="n"/>
      <c r="BR23" s="133" t="n"/>
      <c r="BS23" s="133" t="n"/>
      <c r="BT23" s="133" t="n"/>
      <c r="BU23" s="134" t="n"/>
      <c r="BV23" s="132" t="n"/>
      <c r="BW23" s="133" t="n"/>
      <c r="BX23" s="133" t="n"/>
      <c r="BY23" s="133" t="n"/>
      <c r="BZ23" s="133" t="n"/>
      <c r="CA23" s="135" t="n"/>
    </row>
    <row r="24" ht="16.5" customHeight="1" s="838">
      <c r="B24" s="756" t="n"/>
      <c r="C24" s="738" t="n"/>
      <c r="D24" s="733" t="inlineStr">
        <is>
          <t>VI 금액</t>
        </is>
      </c>
      <c r="E24" s="734" t="n"/>
      <c r="F24" s="83" t="inlineStr">
        <is>
          <t>목표</t>
        </is>
      </c>
      <c r="G24" s="903">
        <f>SUM(G28,G32)</f>
        <v/>
      </c>
      <c r="H24" s="904">
        <f>SUM(H28,H32)</f>
        <v/>
      </c>
      <c r="I24" s="904">
        <f>SUM(I28,I32)</f>
        <v/>
      </c>
      <c r="J24" s="904">
        <f>SUM(J28,J32)</f>
        <v/>
      </c>
      <c r="K24" s="904">
        <f>SUM(K28,K32)</f>
        <v/>
      </c>
      <c r="L24" s="904">
        <f>SUM(L28,L32)</f>
        <v/>
      </c>
      <c r="M24" s="903">
        <f>SUM(M28,M32)</f>
        <v/>
      </c>
      <c r="N24" s="904">
        <f>SUM(N28,N32)</f>
        <v/>
      </c>
      <c r="O24" s="904">
        <f>SUM(O28,O32)</f>
        <v/>
      </c>
      <c r="P24" s="904">
        <f>SUM(P28,P32)</f>
        <v/>
      </c>
      <c r="Q24" s="904">
        <f>SUM(Q28,Q32)</f>
        <v/>
      </c>
      <c r="R24" s="903">
        <f>SUM(R28,R32)</f>
        <v/>
      </c>
      <c r="S24" s="904">
        <f>SUM(S28,S32)</f>
        <v/>
      </c>
      <c r="T24" s="904">
        <f>SUM(T28,T32)</f>
        <v/>
      </c>
      <c r="U24" s="904">
        <f>SUM(U28,U32)</f>
        <v/>
      </c>
      <c r="V24" s="904">
        <f>SUM(V28,V32)</f>
        <v/>
      </c>
      <c r="W24" s="904">
        <f>SUM(W28,W32)</f>
        <v/>
      </c>
      <c r="X24" s="903">
        <f>SUM(X28,X32)</f>
        <v/>
      </c>
      <c r="Y24" s="904">
        <f>SUM(Y28,Y32)</f>
        <v/>
      </c>
      <c r="Z24" s="904">
        <f>SUM(Z28,Z32)</f>
        <v/>
      </c>
      <c r="AA24" s="904">
        <f>SUM(AA28,AA32)</f>
        <v/>
      </c>
      <c r="AB24" s="904">
        <f>SUM(AB28,AB32)</f>
        <v/>
      </c>
      <c r="AC24" s="904">
        <f>SUM(AC28,AC32)</f>
        <v/>
      </c>
      <c r="AD24" s="903" t="n"/>
      <c r="AE24" s="904" t="n"/>
      <c r="AF24" s="904" t="n"/>
      <c r="AG24" s="904" t="n"/>
      <c r="AH24" s="904" t="n"/>
      <c r="AI24" s="904" t="n"/>
      <c r="AJ24" s="905" t="n"/>
      <c r="AK24" s="903" t="n"/>
      <c r="AL24" s="904" t="n"/>
      <c r="AM24" s="904" t="n"/>
      <c r="AN24" s="904" t="n"/>
      <c r="AO24" s="904" t="n"/>
      <c r="AP24" s="905" t="n"/>
      <c r="AQ24" s="903" t="n"/>
      <c r="AR24" s="904" t="n"/>
      <c r="AS24" s="904" t="n"/>
      <c r="AT24" s="904" t="n"/>
      <c r="AU24" s="904" t="n"/>
      <c r="AV24" s="905" t="n"/>
      <c r="AW24" s="903" t="n"/>
      <c r="AX24" s="904" t="n"/>
      <c r="AY24" s="904" t="n"/>
      <c r="AZ24" s="904" t="n"/>
      <c r="BA24" s="904" t="n"/>
      <c r="BB24" s="904" t="n"/>
      <c r="BC24" s="904" t="n"/>
      <c r="BD24" s="903" t="n"/>
      <c r="BE24" s="904" t="n"/>
      <c r="BF24" s="904" t="n"/>
      <c r="BG24" s="904" t="n"/>
      <c r="BH24" s="904" t="n"/>
      <c r="BI24" s="904" t="n"/>
      <c r="BJ24" s="903" t="n"/>
      <c r="BK24" s="904" t="n"/>
      <c r="BL24" s="904" t="n"/>
      <c r="BM24" s="904" t="n"/>
      <c r="BN24" s="904" t="n"/>
      <c r="BO24" s="905" t="n"/>
      <c r="BP24" s="903" t="n"/>
      <c r="BQ24" s="904" t="n"/>
      <c r="BR24" s="904" t="n"/>
      <c r="BS24" s="904" t="n"/>
      <c r="BT24" s="904" t="n"/>
      <c r="BU24" s="905" t="n"/>
      <c r="BV24" s="903" t="n"/>
      <c r="BW24" s="904" t="n"/>
      <c r="BX24" s="904" t="n"/>
      <c r="BY24" s="904" t="n"/>
      <c r="BZ24" s="904" t="n"/>
      <c r="CA24" s="936" t="n"/>
    </row>
    <row r="25" ht="16.5" customHeight="1" s="838">
      <c r="B25" s="756" t="n"/>
      <c r="C25" s="739" t="n"/>
      <c r="D25" s="735" t="n"/>
      <c r="E25" s="736" t="n"/>
      <c r="F25" s="754" t="inlineStr">
        <is>
          <t>실적</t>
        </is>
      </c>
      <c r="G25" s="896">
        <f>SUM(G29,G33)</f>
        <v/>
      </c>
      <c r="H25" s="897">
        <f>SUM(H29,H33)</f>
        <v/>
      </c>
      <c r="I25" s="897">
        <f>SUM(I29,I33)</f>
        <v/>
      </c>
      <c r="J25" s="897">
        <f>SUM(J29,J33)</f>
        <v/>
      </c>
      <c r="K25" s="897">
        <f>SUM(K29,K33)</f>
        <v/>
      </c>
      <c r="L25" s="897">
        <f>SUM(L29,L33)</f>
        <v/>
      </c>
      <c r="M25" s="896">
        <f>SUM(M29,M33)</f>
        <v/>
      </c>
      <c r="N25" s="897">
        <f>SUM(N29,N33)</f>
        <v/>
      </c>
      <c r="O25" s="897">
        <f>SUM(O29,O33)</f>
        <v/>
      </c>
      <c r="P25" s="897">
        <f>SUM(P29,P33)</f>
        <v/>
      </c>
      <c r="Q25" s="897">
        <f>SUM(Q29,Q33)</f>
        <v/>
      </c>
      <c r="R25" s="896">
        <f>SUM(R29,R33)</f>
        <v/>
      </c>
      <c r="S25" s="897">
        <f>SUM(S29,S33)</f>
        <v/>
      </c>
      <c r="T25" s="897">
        <f>SUM(T29,T33)</f>
        <v/>
      </c>
      <c r="U25" s="897">
        <f>SUM(U29,U33)</f>
        <v/>
      </c>
      <c r="V25" s="897">
        <f>SUM(V29,V33)</f>
        <v/>
      </c>
      <c r="W25" s="897">
        <f>SUM(W29,W33)</f>
        <v/>
      </c>
      <c r="X25" s="896">
        <f>SUM(X29,X33)</f>
        <v/>
      </c>
      <c r="Y25" s="897">
        <f>SUM(Y29,Y33)</f>
        <v/>
      </c>
      <c r="Z25" s="897">
        <f>SUM(Z29,Z33)</f>
        <v/>
      </c>
      <c r="AA25" s="897">
        <f>SUM(AA29,AA33)</f>
        <v/>
      </c>
      <c r="AB25" s="897">
        <f>SUM(AB29,AB33)</f>
        <v/>
      </c>
      <c r="AC25" s="897">
        <f>SUM(AC29,AC33)</f>
        <v/>
      </c>
      <c r="AD25" s="896" t="n"/>
      <c r="AE25" s="897" t="n"/>
      <c r="AF25" s="897" t="n"/>
      <c r="AG25" s="897" t="n"/>
      <c r="AH25" s="897" t="n"/>
      <c r="AI25" s="897" t="n"/>
      <c r="AJ25" s="898" t="n"/>
      <c r="AK25" s="896" t="n"/>
      <c r="AL25" s="897" t="n"/>
      <c r="AM25" s="897" t="n"/>
      <c r="AN25" s="897" t="n"/>
      <c r="AO25" s="897" t="n"/>
      <c r="AP25" s="898" t="n"/>
      <c r="AQ25" s="896" t="n"/>
      <c r="AR25" s="897" t="n"/>
      <c r="AS25" s="897" t="n"/>
      <c r="AT25" s="897" t="n"/>
      <c r="AU25" s="897" t="n"/>
      <c r="AV25" s="897" t="n"/>
      <c r="AW25" s="132" t="n"/>
      <c r="AX25" s="133" t="n"/>
      <c r="AY25" s="133" t="n"/>
      <c r="AZ25" s="133" t="n"/>
      <c r="BA25" s="133" t="n"/>
      <c r="BB25" s="133" t="n"/>
      <c r="BC25" s="133" t="n"/>
      <c r="BD25" s="132" t="n"/>
      <c r="BE25" s="133" t="n"/>
      <c r="BF25" s="133" t="n"/>
      <c r="BG25" s="133" t="n"/>
      <c r="BH25" s="133" t="n"/>
      <c r="BI25" s="133" t="n"/>
      <c r="BJ25" s="132" t="n"/>
      <c r="BK25" s="133" t="n"/>
      <c r="BL25" s="133" t="n"/>
      <c r="BM25" s="133" t="n"/>
      <c r="BN25" s="133" t="n"/>
      <c r="BO25" s="134" t="n"/>
      <c r="BP25" s="132" t="n"/>
      <c r="BQ25" s="133" t="n"/>
      <c r="BR25" s="133" t="n"/>
      <c r="BS25" s="133" t="n"/>
      <c r="BT25" s="133" t="n"/>
      <c r="BU25" s="134" t="n"/>
      <c r="BV25" s="132" t="n"/>
      <c r="BW25" s="133" t="n"/>
      <c r="BX25" s="133" t="n"/>
      <c r="BY25" s="133" t="n"/>
      <c r="BZ25" s="133" t="n"/>
      <c r="CA25" s="135" t="n"/>
    </row>
    <row r="26" ht="16.5" customHeight="1" s="838">
      <c r="B26" s="756" t="n"/>
      <c r="C26" s="737" t="inlineStr">
        <is>
          <t>제품1</t>
        </is>
      </c>
      <c r="D26" s="733" t="inlineStr">
        <is>
          <t>VI율</t>
        </is>
      </c>
      <c r="E26" s="734" t="n"/>
      <c r="F26" s="83" t="inlineStr">
        <is>
          <t>목표</t>
        </is>
      </c>
      <c r="G26" s="929">
        <f>G28/G6</f>
        <v/>
      </c>
      <c r="H26" s="930">
        <f>H28/H6</f>
        <v/>
      </c>
      <c r="I26" s="930">
        <f>I28/I6</f>
        <v/>
      </c>
      <c r="J26" s="930">
        <f>J28/J6</f>
        <v/>
      </c>
      <c r="K26" s="930">
        <f>K28/K6</f>
        <v/>
      </c>
      <c r="L26" s="930">
        <f>L28/L6</f>
        <v/>
      </c>
      <c r="M26" s="929">
        <f>M28/M6</f>
        <v/>
      </c>
      <c r="N26" s="931">
        <f>N28/N6</f>
        <v/>
      </c>
      <c r="O26" s="931">
        <f>O28/O6</f>
        <v/>
      </c>
      <c r="P26" s="931">
        <f>P28/P6</f>
        <v/>
      </c>
      <c r="Q26" s="931">
        <f>Q28/Q6</f>
        <v/>
      </c>
      <c r="R26" s="932">
        <f>R28/R6</f>
        <v/>
      </c>
      <c r="S26" s="930">
        <f>S28/S6</f>
        <v/>
      </c>
      <c r="T26" s="930">
        <f>T28/T6</f>
        <v/>
      </c>
      <c r="U26" s="930">
        <f>U28/U6</f>
        <v/>
      </c>
      <c r="V26" s="930">
        <f>V28/V6</f>
        <v/>
      </c>
      <c r="W26" s="930">
        <f>W28/W6</f>
        <v/>
      </c>
      <c r="X26" s="932">
        <f>X28/X6</f>
        <v/>
      </c>
      <c r="Y26" s="930">
        <f>Y28/Y6</f>
        <v/>
      </c>
      <c r="Z26" s="930">
        <f>Z28/Z6</f>
        <v/>
      </c>
      <c r="AA26" s="930">
        <f>AA28/AA6</f>
        <v/>
      </c>
      <c r="AB26" s="930">
        <f>AB28/AB6</f>
        <v/>
      </c>
      <c r="AC26" s="930">
        <f>AC28/AC6</f>
        <v/>
      </c>
      <c r="AD26" s="932" t="n"/>
      <c r="AE26" s="930" t="n"/>
      <c r="AF26" s="930" t="n"/>
      <c r="AG26" s="930" t="n"/>
      <c r="AH26" s="930" t="n"/>
      <c r="AI26" s="930" t="n"/>
      <c r="AJ26" s="933" t="n"/>
      <c r="AK26" s="932" t="n"/>
      <c r="AL26" s="930" t="n"/>
      <c r="AM26" s="930" t="n"/>
      <c r="AN26" s="930" t="n"/>
      <c r="AO26" s="930" t="n"/>
      <c r="AP26" s="933" t="n"/>
      <c r="AQ26" s="932" t="n"/>
      <c r="AR26" s="930" t="n"/>
      <c r="AS26" s="930" t="n"/>
      <c r="AT26" s="930" t="n"/>
      <c r="AU26" s="930" t="n"/>
      <c r="AV26" s="933" t="n"/>
      <c r="AW26" s="932" t="n"/>
      <c r="AX26" s="930" t="n"/>
      <c r="AY26" s="930" t="n"/>
      <c r="AZ26" s="930" t="n"/>
      <c r="BA26" s="930" t="n"/>
      <c r="BB26" s="930" t="n"/>
      <c r="BC26" s="930" t="n"/>
      <c r="BD26" s="932" t="n"/>
      <c r="BE26" s="930" t="n"/>
      <c r="BF26" s="930" t="n"/>
      <c r="BG26" s="930" t="n"/>
      <c r="BH26" s="930" t="n"/>
      <c r="BI26" s="930" t="n"/>
      <c r="BJ26" s="932" t="n"/>
      <c r="BK26" s="930" t="n"/>
      <c r="BL26" s="930" t="n"/>
      <c r="BM26" s="930" t="n"/>
      <c r="BN26" s="930" t="n"/>
      <c r="BO26" s="933" t="n"/>
      <c r="BP26" s="932" t="n"/>
      <c r="BQ26" s="930" t="n"/>
      <c r="BR26" s="930" t="n"/>
      <c r="BS26" s="930" t="n"/>
      <c r="BT26" s="930" t="n"/>
      <c r="BU26" s="933" t="n"/>
      <c r="BV26" s="932" t="n"/>
      <c r="BW26" s="930" t="n"/>
      <c r="BX26" s="930" t="n"/>
      <c r="BY26" s="930" t="n"/>
      <c r="BZ26" s="930" t="n"/>
      <c r="CA26" s="934" t="n"/>
    </row>
    <row r="27" ht="16.5" customHeight="1" s="838">
      <c r="B27" s="756" t="n"/>
      <c r="C27" s="738" t="n"/>
      <c r="D27" s="735" t="n"/>
      <c r="E27" s="736" t="n"/>
      <c r="F27" s="754" t="inlineStr">
        <is>
          <t>실적</t>
        </is>
      </c>
      <c r="G27" s="929">
        <f>G29/G7</f>
        <v/>
      </c>
      <c r="H27" s="922">
        <f>H29/H7</f>
        <v/>
      </c>
      <c r="I27" s="922">
        <f>I29/I7</f>
        <v/>
      </c>
      <c r="J27" s="922">
        <f>J29/J7</f>
        <v/>
      </c>
      <c r="K27" s="922">
        <f>K29/K7</f>
        <v/>
      </c>
      <c r="L27" s="922">
        <f>L29/L7</f>
        <v/>
      </c>
      <c r="M27" s="929">
        <f>M29/M7</f>
        <v/>
      </c>
      <c r="N27" s="931">
        <f>N29/N7</f>
        <v/>
      </c>
      <c r="O27" s="931">
        <f>O29/O7</f>
        <v/>
      </c>
      <c r="P27" s="931">
        <f>P29/P7</f>
        <v/>
      </c>
      <c r="Q27" s="931">
        <f>Q29/Q7</f>
        <v/>
      </c>
      <c r="R27" s="921">
        <f>R29/R7</f>
        <v/>
      </c>
      <c r="S27" s="922">
        <f>S29/S7</f>
        <v/>
      </c>
      <c r="T27" s="922">
        <f>T29/T7</f>
        <v/>
      </c>
      <c r="U27" s="922">
        <f>U29/U7</f>
        <v/>
      </c>
      <c r="V27" s="922">
        <f>V29/V7</f>
        <v/>
      </c>
      <c r="W27" s="922">
        <f>W29/W7</f>
        <v/>
      </c>
      <c r="X27" s="921">
        <f>X29/X7</f>
        <v/>
      </c>
      <c r="Y27" s="922">
        <f>Y29/Y7</f>
        <v/>
      </c>
      <c r="Z27" s="922">
        <f>Z29/Z7</f>
        <v/>
      </c>
      <c r="AA27" s="922">
        <f>AA29/AA7</f>
        <v/>
      </c>
      <c r="AB27" s="922">
        <f>AB29/AB7</f>
        <v/>
      </c>
      <c r="AC27" s="922">
        <f>AC29/AC7</f>
        <v/>
      </c>
      <c r="AD27" s="921" t="n"/>
      <c r="AE27" s="922" t="n"/>
      <c r="AF27" s="922" t="n"/>
      <c r="AG27" s="922" t="n"/>
      <c r="AH27" s="922" t="n"/>
      <c r="AI27" s="922" t="n"/>
      <c r="AJ27" s="923" t="n"/>
      <c r="AK27" s="921" t="n"/>
      <c r="AL27" s="922" t="n"/>
      <c r="AM27" s="922" t="n"/>
      <c r="AN27" s="922" t="n"/>
      <c r="AO27" s="922" t="n"/>
      <c r="AP27" s="923" t="n"/>
      <c r="AQ27" s="132" t="n"/>
      <c r="AR27" s="133" t="n"/>
      <c r="AS27" s="133" t="n"/>
      <c r="AT27" s="133" t="n"/>
      <c r="AU27" s="133" t="n"/>
      <c r="AV27" s="134" t="n"/>
      <c r="AW27" s="132" t="n"/>
      <c r="AX27" s="133" t="n"/>
      <c r="AY27" s="133" t="n"/>
      <c r="AZ27" s="133" t="n"/>
      <c r="BA27" s="133" t="n"/>
      <c r="BB27" s="133" t="n"/>
      <c r="BC27" s="133" t="n"/>
      <c r="BD27" s="132" t="n"/>
      <c r="BE27" s="133" t="n"/>
      <c r="BF27" s="133" t="n"/>
      <c r="BG27" s="133" t="n"/>
      <c r="BH27" s="133" t="n"/>
      <c r="BI27" s="133" t="n"/>
      <c r="BJ27" s="132" t="n"/>
      <c r="BK27" s="133" t="n"/>
      <c r="BL27" s="133" t="n"/>
      <c r="BM27" s="133" t="n"/>
      <c r="BN27" s="133" t="n"/>
      <c r="BO27" s="134" t="n"/>
      <c r="BP27" s="132" t="n"/>
      <c r="BQ27" s="133" t="n"/>
      <c r="BR27" s="133" t="n"/>
      <c r="BS27" s="133" t="n"/>
      <c r="BT27" s="133" t="n"/>
      <c r="BU27" s="134" t="n"/>
      <c r="BV27" s="132" t="n"/>
      <c r="BW27" s="133" t="n"/>
      <c r="BX27" s="133" t="n"/>
      <c r="BY27" s="133" t="n"/>
      <c r="BZ27" s="133" t="n"/>
      <c r="CA27" s="135" t="n"/>
    </row>
    <row r="28" ht="16.5" customHeight="1" s="838">
      <c r="B28" s="756" t="n"/>
      <c r="C28" s="738" t="n"/>
      <c r="D28" s="733" t="inlineStr">
        <is>
          <t>VI 금액</t>
        </is>
      </c>
      <c r="E28" s="734" t="n"/>
      <c r="F28" s="83" t="inlineStr">
        <is>
          <t>목표</t>
        </is>
      </c>
      <c r="G28" s="903" t="n">
        <v>537.724093</v>
      </c>
      <c r="H28" s="904" t="n">
        <v>537.724093</v>
      </c>
      <c r="I28" s="904" t="n">
        <v>537.724093</v>
      </c>
      <c r="J28" s="904" t="n">
        <v>537.724093</v>
      </c>
      <c r="K28" s="904" t="n">
        <v>537.724093</v>
      </c>
      <c r="L28" s="904" t="n">
        <v>537.724093</v>
      </c>
      <c r="M28" s="903" t="n">
        <v>431.948859</v>
      </c>
      <c r="N28" s="904" t="n">
        <v>431.948859</v>
      </c>
      <c r="O28" s="904" t="n">
        <v>431.948859</v>
      </c>
      <c r="P28" s="904" t="n">
        <v>431.948859</v>
      </c>
      <c r="Q28" s="904" t="n">
        <v>431.948859</v>
      </c>
      <c r="R28" s="903" t="n">
        <v>455.074518</v>
      </c>
      <c r="S28" s="904" t="n">
        <v>455.074518</v>
      </c>
      <c r="T28" s="904" t="n">
        <v>455.074518</v>
      </c>
      <c r="U28" s="904" t="n">
        <v>455.074518</v>
      </c>
      <c r="V28" s="904" t="n">
        <v>455.074518</v>
      </c>
      <c r="W28" s="904" t="n">
        <v>455.074518</v>
      </c>
      <c r="X28" s="903" t="n">
        <v>757.732961</v>
      </c>
      <c r="Y28" s="904" t="n">
        <v>757.732961</v>
      </c>
      <c r="Z28" s="904" t="n">
        <v>757.732961</v>
      </c>
      <c r="AA28" s="904" t="n">
        <v>757.732961</v>
      </c>
      <c r="AB28" s="904" t="n">
        <v>757.732961</v>
      </c>
      <c r="AC28" s="904" t="n">
        <v>757.732961</v>
      </c>
      <c r="AD28" s="903" t="n"/>
      <c r="AE28" s="904" t="n"/>
      <c r="AF28" s="904" t="n"/>
      <c r="AG28" s="904" t="n"/>
      <c r="AH28" s="904" t="n"/>
      <c r="AI28" s="904" t="n"/>
      <c r="AJ28" s="905" t="n"/>
      <c r="AK28" s="903" t="n"/>
      <c r="AL28" s="904" t="n"/>
      <c r="AM28" s="904" t="n"/>
      <c r="AN28" s="904" t="n"/>
      <c r="AO28" s="904" t="n"/>
      <c r="AP28" s="905" t="n"/>
      <c r="AQ28" s="903" t="n"/>
      <c r="AR28" s="904" t="n"/>
      <c r="AS28" s="904" t="n"/>
      <c r="AT28" s="904" t="n"/>
      <c r="AU28" s="904" t="n"/>
      <c r="AV28" s="905" t="n"/>
      <c r="AW28" s="903" t="n"/>
      <c r="AX28" s="904" t="n"/>
      <c r="AY28" s="904" t="n"/>
      <c r="AZ28" s="904" t="n"/>
      <c r="BA28" s="904" t="n"/>
      <c r="BB28" s="904" t="n"/>
      <c r="BC28" s="904" t="n"/>
      <c r="BD28" s="903" t="n"/>
      <c r="BE28" s="904" t="n"/>
      <c r="BF28" s="904" t="n"/>
      <c r="BG28" s="904" t="n"/>
      <c r="BH28" s="904" t="n"/>
      <c r="BI28" s="904" t="n"/>
      <c r="BJ28" s="903" t="n"/>
      <c r="BK28" s="904" t="n"/>
      <c r="BL28" s="904" t="n"/>
      <c r="BM28" s="904" t="n"/>
      <c r="BN28" s="904" t="n"/>
      <c r="BO28" s="905" t="n"/>
      <c r="BP28" s="903" t="n"/>
      <c r="BQ28" s="904" t="n"/>
      <c r="BR28" s="904" t="n"/>
      <c r="BS28" s="904" t="n"/>
      <c r="BT28" s="904" t="n"/>
      <c r="BU28" s="905" t="n"/>
      <c r="BV28" s="903" t="n"/>
      <c r="BW28" s="904" t="n"/>
      <c r="BX28" s="904" t="n"/>
      <c r="BY28" s="904" t="n"/>
      <c r="BZ28" s="904" t="n"/>
      <c r="CA28" s="936" t="n"/>
    </row>
    <row r="29" ht="16.5" customHeight="1" s="838">
      <c r="B29" s="756" t="n"/>
      <c r="C29" s="739" t="n"/>
      <c r="D29" s="735" t="n"/>
      <c r="E29" s="736" t="n"/>
      <c r="F29" s="754" t="inlineStr">
        <is>
          <t>실적</t>
        </is>
      </c>
      <c r="G29" s="896" t="n">
        <v>312.524286</v>
      </c>
      <c r="H29" s="897" t="n">
        <v>607.142168</v>
      </c>
      <c r="I29" s="897" t="n">
        <v>607.142168</v>
      </c>
      <c r="J29" s="897" t="n">
        <v>304.136853</v>
      </c>
      <c r="K29" s="897" t="n">
        <v>304.136853</v>
      </c>
      <c r="L29" s="897" t="n">
        <v>607.142168</v>
      </c>
      <c r="M29" s="896" t="n">
        <v>361.349819</v>
      </c>
      <c r="N29" s="897" t="n">
        <v>483.686</v>
      </c>
      <c r="O29" s="897" t="n">
        <v>666.163534</v>
      </c>
      <c r="P29" s="897" t="n">
        <v>482.344</v>
      </c>
      <c r="Q29" s="897" t="n">
        <v>452.328857</v>
      </c>
      <c r="R29" s="896" t="n">
        <v>608.198993</v>
      </c>
      <c r="S29" s="897" t="n">
        <v>658.672561</v>
      </c>
      <c r="T29" s="897" t="n">
        <v>272.327506</v>
      </c>
      <c r="U29" s="897" t="n">
        <v>571.295387</v>
      </c>
      <c r="V29" s="897" t="n">
        <v>264.937</v>
      </c>
      <c r="W29" s="897" t="n">
        <v>264.937</v>
      </c>
      <c r="X29" s="896" t="n">
        <v>476.499031</v>
      </c>
      <c r="Y29" s="897" t="n">
        <v>213.043994</v>
      </c>
      <c r="Z29" s="897" t="n">
        <v>183.836617</v>
      </c>
      <c r="AA29" s="897" t="n">
        <v>183.836617</v>
      </c>
      <c r="AB29" s="897" t="n">
        <v>318.766415</v>
      </c>
      <c r="AC29" s="897" t="n">
        <v>183.836617</v>
      </c>
      <c r="AD29" s="896" t="n"/>
      <c r="AE29" s="897" t="n"/>
      <c r="AF29" s="897" t="n"/>
      <c r="AG29" s="897" t="n"/>
      <c r="AH29" s="897" t="n"/>
      <c r="AI29" s="897" t="n"/>
      <c r="AJ29" s="898" t="n"/>
      <c r="AK29" s="896" t="n"/>
      <c r="AL29" s="897" t="n"/>
      <c r="AM29" s="897" t="n"/>
      <c r="AN29" s="897" t="n"/>
      <c r="AO29" s="897" t="n"/>
      <c r="AP29" s="898" t="n"/>
      <c r="AQ29" s="896" t="n"/>
      <c r="AR29" s="897" t="n"/>
      <c r="AS29" s="897" t="n"/>
      <c r="AT29" s="897" t="n"/>
      <c r="AU29" s="897" t="n"/>
      <c r="AV29" s="898" t="n"/>
      <c r="AW29" s="896" t="n"/>
      <c r="AX29" s="897" t="n"/>
      <c r="AY29" s="897" t="n"/>
      <c r="AZ29" s="897" t="n"/>
      <c r="BA29" s="897" t="n"/>
      <c r="BB29" s="897" t="n"/>
      <c r="BC29" s="897" t="n"/>
      <c r="BD29" s="896" t="n"/>
      <c r="BE29" s="897" t="n"/>
      <c r="BF29" s="897" t="n"/>
      <c r="BG29" s="897" t="n"/>
      <c r="BH29" s="897" t="n"/>
      <c r="BI29" s="897" t="n"/>
      <c r="BJ29" s="896" t="n"/>
      <c r="BK29" s="897" t="n"/>
      <c r="BL29" s="897" t="n"/>
      <c r="BM29" s="897" t="n"/>
      <c r="BN29" s="897" t="n"/>
      <c r="BO29" s="898" t="n"/>
      <c r="BP29" s="896" t="n"/>
      <c r="BQ29" s="897" t="n"/>
      <c r="BR29" s="897" t="n"/>
      <c r="BS29" s="897" t="n"/>
      <c r="BT29" s="897" t="n"/>
      <c r="BU29" s="898" t="n"/>
      <c r="BV29" s="896" t="n"/>
      <c r="BW29" s="897" t="n"/>
      <c r="BX29" s="897" t="n"/>
      <c r="BY29" s="897" t="n"/>
      <c r="BZ29" s="897" t="n"/>
      <c r="CA29" s="924" t="n"/>
    </row>
    <row r="30" ht="16.5" customHeight="1" s="838">
      <c r="B30" s="756" t="n"/>
      <c r="C30" s="823" t="inlineStr">
        <is>
          <t>제품2</t>
        </is>
      </c>
      <c r="D30" s="733" t="inlineStr">
        <is>
          <t>VI율</t>
        </is>
      </c>
      <c r="E30" s="734" t="n"/>
      <c r="F30" s="83" t="inlineStr">
        <is>
          <t>목표</t>
        </is>
      </c>
      <c r="G30" s="929">
        <f>G32/G8</f>
        <v/>
      </c>
      <c r="H30" s="930">
        <f>H32/H8</f>
        <v/>
      </c>
      <c r="I30" s="930">
        <f>I32/I8</f>
        <v/>
      </c>
      <c r="J30" s="930">
        <f>J32/J8</f>
        <v/>
      </c>
      <c r="K30" s="930">
        <f>K32/K8</f>
        <v/>
      </c>
      <c r="L30" s="930">
        <f>L32/L8</f>
        <v/>
      </c>
      <c r="M30" s="929">
        <f>M32/M8</f>
        <v/>
      </c>
      <c r="N30" s="931">
        <f>N32/N8</f>
        <v/>
      </c>
      <c r="O30" s="931">
        <f>O32/O8</f>
        <v/>
      </c>
      <c r="P30" s="931">
        <f>P32/P8</f>
        <v/>
      </c>
      <c r="Q30" s="931">
        <f>Q32/Q8</f>
        <v/>
      </c>
      <c r="R30" s="932">
        <f>R32/R8</f>
        <v/>
      </c>
      <c r="S30" s="930">
        <f>S32/S8</f>
        <v/>
      </c>
      <c r="T30" s="930">
        <f>T32/T8</f>
        <v/>
      </c>
      <c r="U30" s="930">
        <f>U32/U8</f>
        <v/>
      </c>
      <c r="V30" s="930">
        <f>V32/V8</f>
        <v/>
      </c>
      <c r="W30" s="930">
        <f>W32/W8</f>
        <v/>
      </c>
      <c r="X30" s="932">
        <f>X32/X8</f>
        <v/>
      </c>
      <c r="Y30" s="930">
        <f>Y32/Y8</f>
        <v/>
      </c>
      <c r="Z30" s="930">
        <f>Z32/Z8</f>
        <v/>
      </c>
      <c r="AA30" s="930">
        <f>AA32/AA8</f>
        <v/>
      </c>
      <c r="AB30" s="930">
        <f>AB32/AB8</f>
        <v/>
      </c>
      <c r="AC30" s="930">
        <f>AC32/AC8</f>
        <v/>
      </c>
      <c r="AD30" s="932" t="n"/>
      <c r="AE30" s="930" t="n"/>
      <c r="AF30" s="930" t="n"/>
      <c r="AG30" s="930" t="n"/>
      <c r="AH30" s="930" t="n"/>
      <c r="AI30" s="930" t="n"/>
      <c r="AJ30" s="933" t="n"/>
      <c r="AK30" s="932" t="n"/>
      <c r="AL30" s="930" t="n"/>
      <c r="AM30" s="930" t="n"/>
      <c r="AN30" s="930" t="n"/>
      <c r="AO30" s="930" t="n"/>
      <c r="AP30" s="933" t="n"/>
      <c r="AQ30" s="932" t="n"/>
      <c r="AR30" s="930" t="n"/>
      <c r="AS30" s="930" t="n"/>
      <c r="AT30" s="930" t="n"/>
      <c r="AU30" s="930" t="n"/>
      <c r="AV30" s="933" t="n"/>
      <c r="AW30" s="932" t="n"/>
      <c r="AX30" s="930" t="n"/>
      <c r="AY30" s="930" t="n"/>
      <c r="AZ30" s="930" t="n"/>
      <c r="BA30" s="930" t="n"/>
      <c r="BB30" s="930" t="n"/>
      <c r="BC30" s="930" t="n"/>
      <c r="BD30" s="932" t="n"/>
      <c r="BE30" s="930" t="n"/>
      <c r="BF30" s="930" t="n"/>
      <c r="BG30" s="930" t="n"/>
      <c r="BH30" s="930" t="n"/>
      <c r="BI30" s="930" t="n"/>
      <c r="BJ30" s="932" t="n"/>
      <c r="BK30" s="930" t="n"/>
      <c r="BL30" s="930" t="n"/>
      <c r="BM30" s="930" t="n"/>
      <c r="BN30" s="930" t="n"/>
      <c r="BO30" s="933" t="n"/>
      <c r="BP30" s="932" t="n"/>
      <c r="BQ30" s="930" t="n"/>
      <c r="BR30" s="930" t="n"/>
      <c r="BS30" s="930" t="n"/>
      <c r="BT30" s="930" t="n"/>
      <c r="BU30" s="933" t="n"/>
      <c r="BV30" s="932" t="n"/>
      <c r="BW30" s="930" t="n"/>
      <c r="BX30" s="930" t="n"/>
      <c r="BY30" s="930" t="n"/>
      <c r="BZ30" s="930" t="n"/>
      <c r="CA30" s="934" t="n"/>
    </row>
    <row r="31" ht="16.5" customHeight="1" s="838">
      <c r="B31" s="756" t="n"/>
      <c r="C31" s="738" t="n"/>
      <c r="D31" s="735" t="n"/>
      <c r="E31" s="736" t="n"/>
      <c r="F31" s="754" t="inlineStr">
        <is>
          <t>실적</t>
        </is>
      </c>
      <c r="G31" s="929">
        <f>G33/G9</f>
        <v/>
      </c>
      <c r="H31" s="922">
        <f>H33/H9</f>
        <v/>
      </c>
      <c r="I31" s="922">
        <f>I33/I9</f>
        <v/>
      </c>
      <c r="J31" s="922">
        <f>J33/J9</f>
        <v/>
      </c>
      <c r="K31" s="922">
        <f>K33/K9</f>
        <v/>
      </c>
      <c r="L31" s="922">
        <f>L33/L9</f>
        <v/>
      </c>
      <c r="M31" s="929">
        <f>M33/M9</f>
        <v/>
      </c>
      <c r="N31" s="931">
        <f>N33/N9</f>
        <v/>
      </c>
      <c r="O31" s="931">
        <f>O33/O9</f>
        <v/>
      </c>
      <c r="P31" s="931">
        <f>P33/P9</f>
        <v/>
      </c>
      <c r="Q31" s="931">
        <f>Q33/Q9</f>
        <v/>
      </c>
      <c r="R31" s="921">
        <f>R33/R9</f>
        <v/>
      </c>
      <c r="S31" s="922">
        <f>S33/S9</f>
        <v/>
      </c>
      <c r="T31" s="922">
        <f>T33/T9</f>
        <v/>
      </c>
      <c r="U31" s="922">
        <f>U33/U9</f>
        <v/>
      </c>
      <c r="V31" s="922">
        <f>V33/V9</f>
        <v/>
      </c>
      <c r="W31" s="922">
        <f>W33/W9</f>
        <v/>
      </c>
      <c r="X31" s="921">
        <f>X33/X9</f>
        <v/>
      </c>
      <c r="Y31" s="922">
        <f>Y33/Y9</f>
        <v/>
      </c>
      <c r="Z31" s="922">
        <f>Z33/Z9</f>
        <v/>
      </c>
      <c r="AA31" s="922">
        <f>AA33/AA9</f>
        <v/>
      </c>
      <c r="AB31" s="922">
        <f>AB33/AB9</f>
        <v/>
      </c>
      <c r="AC31" s="922">
        <f>AC33/AC9</f>
        <v/>
      </c>
      <c r="AD31" s="921" t="n"/>
      <c r="AE31" s="922" t="n"/>
      <c r="AF31" s="922" t="n"/>
      <c r="AG31" s="922" t="n"/>
      <c r="AH31" s="922" t="n"/>
      <c r="AI31" s="922" t="n"/>
      <c r="AJ31" s="923" t="n"/>
      <c r="AK31" s="921" t="n"/>
      <c r="AL31" s="922" t="n"/>
      <c r="AM31" s="922" t="n"/>
      <c r="AN31" s="922" t="n"/>
      <c r="AO31" s="922" t="n"/>
      <c r="AP31" s="923" t="n"/>
      <c r="AQ31" s="896" t="n"/>
      <c r="AR31" s="897" t="n"/>
      <c r="AS31" s="897" t="n"/>
      <c r="AT31" s="897" t="n"/>
      <c r="AU31" s="897" t="n"/>
      <c r="AV31" s="898" t="n"/>
      <c r="AW31" s="896" t="n"/>
      <c r="AX31" s="897" t="n"/>
      <c r="AY31" s="897" t="n"/>
      <c r="AZ31" s="897" t="n"/>
      <c r="BA31" s="897" t="n"/>
      <c r="BB31" s="897" t="n"/>
      <c r="BC31" s="897" t="n"/>
      <c r="BD31" s="896" t="n"/>
      <c r="BE31" s="897" t="n"/>
      <c r="BF31" s="897" t="n"/>
      <c r="BG31" s="897" t="n"/>
      <c r="BH31" s="897" t="n"/>
      <c r="BI31" s="897" t="n"/>
      <c r="BJ31" s="896" t="n"/>
      <c r="BK31" s="897" t="n"/>
      <c r="BL31" s="897" t="n"/>
      <c r="BM31" s="897" t="n"/>
      <c r="BN31" s="897" t="n"/>
      <c r="BO31" s="898" t="n"/>
      <c r="BP31" s="896" t="n"/>
      <c r="BQ31" s="897" t="n"/>
      <c r="BR31" s="897" t="n"/>
      <c r="BS31" s="897" t="n"/>
      <c r="BT31" s="897" t="n"/>
      <c r="BU31" s="898" t="n"/>
      <c r="BV31" s="896" t="n"/>
      <c r="BW31" s="897" t="n"/>
      <c r="BX31" s="897" t="n"/>
      <c r="BY31" s="897" t="n"/>
      <c r="BZ31" s="897" t="n"/>
      <c r="CA31" s="924" t="n"/>
    </row>
    <row r="32" ht="16.5" customHeight="1" s="838">
      <c r="B32" s="756" t="n"/>
      <c r="C32" s="738" t="n"/>
      <c r="D32" s="744" t="inlineStr">
        <is>
          <t>VI 금액</t>
        </is>
      </c>
      <c r="E32" s="734" t="n"/>
      <c r="F32" s="83" t="inlineStr">
        <is>
          <t>목표</t>
        </is>
      </c>
      <c r="G32" s="903" t="n">
        <v>21.851122</v>
      </c>
      <c r="H32" s="904" t="n">
        <v>21.851122</v>
      </c>
      <c r="I32" s="904" t="n">
        <v>21.851122</v>
      </c>
      <c r="J32" s="904" t="n">
        <v>21.851122</v>
      </c>
      <c r="K32" s="904" t="n">
        <v>21.851122</v>
      </c>
      <c r="L32" s="904" t="n">
        <v>21.851122</v>
      </c>
      <c r="M32" s="903" t="n">
        <v>32.390966</v>
      </c>
      <c r="N32" s="904" t="n">
        <v>32.390966</v>
      </c>
      <c r="O32" s="904" t="n">
        <v>32.390966</v>
      </c>
      <c r="P32" s="904" t="n">
        <v>32.390966</v>
      </c>
      <c r="Q32" s="904" t="n">
        <v>32.390966</v>
      </c>
      <c r="R32" s="903" t="n">
        <v>24.993993</v>
      </c>
      <c r="S32" s="904" t="n">
        <v>24.993993</v>
      </c>
      <c r="T32" s="904" t="n">
        <v>24.993993</v>
      </c>
      <c r="U32" s="904" t="n">
        <v>24.993993</v>
      </c>
      <c r="V32" s="904" t="n">
        <v>24.993993</v>
      </c>
      <c r="W32" s="904" t="n">
        <v>24.993993</v>
      </c>
      <c r="X32" s="903" t="n">
        <v>21.909611</v>
      </c>
      <c r="Y32" s="904" t="n">
        <v>21.909611</v>
      </c>
      <c r="Z32" s="904" t="n">
        <v>21.909611</v>
      </c>
      <c r="AA32" s="904" t="n">
        <v>21.909611</v>
      </c>
      <c r="AB32" s="904" t="n">
        <v>21.909611</v>
      </c>
      <c r="AC32" s="904" t="n">
        <v>21.909611</v>
      </c>
      <c r="AD32" s="903" t="n"/>
      <c r="AE32" s="904" t="n"/>
      <c r="AF32" s="904" t="n"/>
      <c r="AG32" s="904" t="n"/>
      <c r="AH32" s="904" t="n"/>
      <c r="AI32" s="904" t="n"/>
      <c r="AJ32" s="905" t="n"/>
      <c r="AK32" s="903" t="n"/>
      <c r="AL32" s="904" t="n"/>
      <c r="AM32" s="904" t="n"/>
      <c r="AN32" s="904" t="n"/>
      <c r="AO32" s="904" t="n"/>
      <c r="AP32" s="905" t="n"/>
      <c r="AQ32" s="903" t="n"/>
      <c r="AR32" s="904" t="n"/>
      <c r="AS32" s="904" t="n"/>
      <c r="AT32" s="904" t="n"/>
      <c r="AU32" s="904" t="n"/>
      <c r="AV32" s="905" t="n"/>
      <c r="AW32" s="903" t="n"/>
      <c r="AX32" s="904" t="n"/>
      <c r="AY32" s="904" t="n"/>
      <c r="AZ32" s="904" t="n"/>
      <c r="BA32" s="904" t="n"/>
      <c r="BB32" s="904" t="n"/>
      <c r="BC32" s="904" t="n"/>
      <c r="BD32" s="903" t="n"/>
      <c r="BE32" s="904" t="n"/>
      <c r="BF32" s="904" t="n"/>
      <c r="BG32" s="904" t="n"/>
      <c r="BH32" s="904" t="n"/>
      <c r="BI32" s="904" t="n"/>
      <c r="BJ32" s="903" t="n"/>
      <c r="BK32" s="904" t="n"/>
      <c r="BL32" s="904" t="n"/>
      <c r="BM32" s="904" t="n"/>
      <c r="BN32" s="904" t="n"/>
      <c r="BO32" s="905" t="n"/>
      <c r="BP32" s="903" t="n"/>
      <c r="BQ32" s="904" t="n"/>
      <c r="BR32" s="904" t="n"/>
      <c r="BS32" s="904" t="n"/>
      <c r="BT32" s="904" t="n"/>
      <c r="BU32" s="905" t="n"/>
      <c r="BV32" s="903" t="n"/>
      <c r="BW32" s="904" t="n"/>
      <c r="BX32" s="904" t="n"/>
      <c r="BY32" s="904" t="n"/>
      <c r="BZ32" s="904" t="n"/>
      <c r="CA32" s="936" t="n"/>
    </row>
    <row r="33" ht="17.25" customHeight="1" s="838">
      <c r="B33" s="757" t="n"/>
      <c r="C33" s="753" t="n"/>
      <c r="D33" s="746" t="n"/>
      <c r="E33" s="748" t="n"/>
      <c r="F33" s="781" t="inlineStr">
        <is>
          <t>실적</t>
        </is>
      </c>
      <c r="G33" s="910" t="n">
        <v>21.4221717</v>
      </c>
      <c r="H33" s="911" t="n">
        <v>21.11276031</v>
      </c>
      <c r="I33" s="911" t="n">
        <v>21.11276031</v>
      </c>
      <c r="J33" s="911" t="n">
        <v>17.87058541</v>
      </c>
      <c r="K33" s="911" t="n">
        <v>17.87058541</v>
      </c>
      <c r="L33" s="911" t="n">
        <v>21.11276031</v>
      </c>
      <c r="M33" s="910" t="n">
        <v>21.22120327</v>
      </c>
      <c r="N33" s="911" t="n">
        <v>8.516</v>
      </c>
      <c r="O33" s="911" t="n">
        <v>15.64874812</v>
      </c>
      <c r="P33" s="911" t="n">
        <v>13.372</v>
      </c>
      <c r="Q33" s="911" t="n">
        <v>12.57294743</v>
      </c>
      <c r="R33" s="910" t="n">
        <v>17.523932</v>
      </c>
      <c r="S33" s="911" t="n">
        <v>24.473598</v>
      </c>
      <c r="T33" s="911" t="n">
        <v>32.291734</v>
      </c>
      <c r="U33" s="911" t="n">
        <v>27.145505</v>
      </c>
      <c r="V33" s="911" t="n">
        <v>16.647</v>
      </c>
      <c r="W33" s="911" t="n">
        <v>16.647</v>
      </c>
      <c r="X33" s="910" t="n">
        <v>9.06391449</v>
      </c>
      <c r="Y33" s="911" t="n">
        <v>12.3890319</v>
      </c>
      <c r="Z33" s="911" t="n">
        <v>6.64624952</v>
      </c>
      <c r="AA33" s="911" t="n">
        <v>6.64624952</v>
      </c>
      <c r="AB33" s="911" t="n">
        <v>17.44816015</v>
      </c>
      <c r="AC33" s="911" t="n">
        <v>6.64624952</v>
      </c>
      <c r="AD33" s="910" t="n"/>
      <c r="AE33" s="911" t="n"/>
      <c r="AF33" s="911" t="n"/>
      <c r="AG33" s="911" t="n"/>
      <c r="AH33" s="911" t="n"/>
      <c r="AI33" s="911" t="n"/>
      <c r="AJ33" s="912" t="n"/>
      <c r="AK33" s="910" t="n"/>
      <c r="AL33" s="911" t="n"/>
      <c r="AM33" s="911" t="n"/>
      <c r="AN33" s="911" t="n"/>
      <c r="AO33" s="911" t="n"/>
      <c r="AP33" s="912" t="n"/>
      <c r="AQ33" s="910" t="n"/>
      <c r="AR33" s="911" t="n"/>
      <c r="AS33" s="911" t="n"/>
      <c r="AT33" s="911" t="n"/>
      <c r="AU33" s="911" t="n"/>
      <c r="AV33" s="912" t="n"/>
      <c r="AW33" s="910" t="n"/>
      <c r="AX33" s="911" t="n"/>
      <c r="AY33" s="911" t="n"/>
      <c r="AZ33" s="911" t="n"/>
      <c r="BA33" s="911" t="n"/>
      <c r="BB33" s="911" t="n"/>
      <c r="BC33" s="911" t="n"/>
      <c r="BD33" s="910" t="n"/>
      <c r="BE33" s="911" t="n"/>
      <c r="BF33" s="911" t="n"/>
      <c r="BG33" s="911" t="n"/>
      <c r="BH33" s="911" t="n"/>
      <c r="BI33" s="911" t="n"/>
      <c r="BJ33" s="910" t="n"/>
      <c r="BK33" s="911" t="n"/>
      <c r="BL33" s="911" t="n"/>
      <c r="BM33" s="911" t="n"/>
      <c r="BN33" s="911" t="n"/>
      <c r="BO33" s="912" t="n"/>
      <c r="BP33" s="910" t="n"/>
      <c r="BQ33" s="911" t="n"/>
      <c r="BR33" s="911" t="n"/>
      <c r="BS33" s="911" t="n"/>
      <c r="BT33" s="911" t="n"/>
      <c r="BU33" s="912" t="n"/>
      <c r="BV33" s="910" t="n"/>
      <c r="BW33" s="911" t="n"/>
      <c r="BX33" s="911" t="n"/>
      <c r="BY33" s="911" t="n"/>
      <c r="BZ33" s="911" t="n"/>
      <c r="CA33" s="937" t="n"/>
    </row>
    <row r="34" ht="16.5" customHeight="1" s="838">
      <c r="B34" s="758" t="inlineStr">
        <is>
          <t>시스템 미반영</t>
        </is>
      </c>
      <c r="C34" s="750" t="inlineStr">
        <is>
          <t>키친솔루션</t>
        </is>
      </c>
      <c r="D34" s="742" t="inlineStr">
        <is>
          <t>VI율</t>
        </is>
      </c>
      <c r="E34" s="743" t="n"/>
      <c r="F34" s="798" t="inlineStr">
        <is>
          <t>목표</t>
        </is>
      </c>
      <c r="G34" s="917">
        <f>G36/G4</f>
        <v/>
      </c>
      <c r="H34" s="918">
        <f>H36/H4</f>
        <v/>
      </c>
      <c r="I34" s="918">
        <f>I36/I4</f>
        <v/>
      </c>
      <c r="J34" s="918">
        <f>J36/J4</f>
        <v/>
      </c>
      <c r="K34" s="918">
        <f>K36/K4</f>
        <v/>
      </c>
      <c r="L34" s="918">
        <f>L36/L4</f>
        <v/>
      </c>
      <c r="M34" s="917">
        <f>M36/M4</f>
        <v/>
      </c>
      <c r="N34" s="918">
        <f>N36/N4</f>
        <v/>
      </c>
      <c r="O34" s="918">
        <f>O36/O4</f>
        <v/>
      </c>
      <c r="P34" s="918">
        <f>P36/P4</f>
        <v/>
      </c>
      <c r="Q34" s="918">
        <f>Q36/Q4</f>
        <v/>
      </c>
      <c r="R34" s="917">
        <f>R36/R4</f>
        <v/>
      </c>
      <c r="S34" s="918">
        <f>S36/S4</f>
        <v/>
      </c>
      <c r="T34" s="918">
        <f>T36/T4</f>
        <v/>
      </c>
      <c r="U34" s="918">
        <f>U36/U4</f>
        <v/>
      </c>
      <c r="V34" s="918">
        <f>V36/V4</f>
        <v/>
      </c>
      <c r="W34" s="918">
        <f>W36/W4</f>
        <v/>
      </c>
      <c r="X34" s="917">
        <f>X36/X4</f>
        <v/>
      </c>
      <c r="Y34" s="918">
        <f>Y36/Y4</f>
        <v/>
      </c>
      <c r="Z34" s="918">
        <f>Z36/Z4</f>
        <v/>
      </c>
      <c r="AA34" s="918">
        <f>AA36/AA4</f>
        <v/>
      </c>
      <c r="AB34" s="918">
        <f>AB36/AB4</f>
        <v/>
      </c>
      <c r="AC34" s="918">
        <f>AC36/AC4</f>
        <v/>
      </c>
      <c r="AD34" s="917" t="n"/>
      <c r="AE34" s="918" t="n"/>
      <c r="AF34" s="918" t="n"/>
      <c r="AG34" s="918" t="n"/>
      <c r="AH34" s="918" t="n"/>
      <c r="AI34" s="918" t="n"/>
      <c r="AJ34" s="919" t="n"/>
      <c r="AK34" s="917" t="n"/>
      <c r="AL34" s="918" t="n"/>
      <c r="AM34" s="918" t="n"/>
      <c r="AN34" s="918" t="n"/>
      <c r="AO34" s="918" t="n"/>
      <c r="AP34" s="919" t="n"/>
      <c r="AQ34" s="917" t="n"/>
      <c r="AR34" s="918" t="n"/>
      <c r="AS34" s="918" t="n"/>
      <c r="AT34" s="918" t="n"/>
      <c r="AU34" s="918" t="n"/>
      <c r="AV34" s="919" t="n"/>
      <c r="AW34" s="917" t="n"/>
      <c r="AX34" s="918" t="n"/>
      <c r="AY34" s="918" t="n"/>
      <c r="AZ34" s="918" t="n"/>
      <c r="BA34" s="918" t="n"/>
      <c r="BB34" s="918" t="n"/>
      <c r="BC34" s="918" t="n"/>
      <c r="BD34" s="917" t="n"/>
      <c r="BE34" s="918" t="n"/>
      <c r="BF34" s="918" t="n"/>
      <c r="BG34" s="918" t="n"/>
      <c r="BH34" s="918" t="n"/>
      <c r="BI34" s="918" t="n"/>
      <c r="BJ34" s="917" t="n"/>
      <c r="BK34" s="918" t="n"/>
      <c r="BL34" s="918" t="n"/>
      <c r="BM34" s="918" t="n"/>
      <c r="BN34" s="918" t="n"/>
      <c r="BO34" s="919" t="n"/>
      <c r="BP34" s="917" t="n"/>
      <c r="BQ34" s="918" t="n"/>
      <c r="BR34" s="918" t="n"/>
      <c r="BS34" s="918" t="n"/>
      <c r="BT34" s="918" t="n"/>
      <c r="BU34" s="919" t="n"/>
      <c r="BV34" s="917" t="n"/>
      <c r="BW34" s="918" t="n"/>
      <c r="BX34" s="918" t="n"/>
      <c r="BY34" s="918" t="n"/>
      <c r="BZ34" s="918" t="n"/>
      <c r="CA34" s="920" t="n"/>
    </row>
    <row r="35" ht="16.5" customHeight="1" s="838">
      <c r="B35" s="756" t="n"/>
      <c r="C35" s="738" t="n"/>
      <c r="D35" s="735" t="n"/>
      <c r="E35" s="736" t="n"/>
      <c r="F35" s="754" t="inlineStr">
        <is>
          <t>실적</t>
        </is>
      </c>
      <c r="G35" s="929">
        <f>G37/G5</f>
        <v/>
      </c>
      <c r="H35" s="922">
        <f>H37/H5</f>
        <v/>
      </c>
      <c r="I35" s="922">
        <f>I37/I5</f>
        <v/>
      </c>
      <c r="J35" s="922">
        <f>J37/J5</f>
        <v/>
      </c>
      <c r="K35" s="922">
        <f>K37/K5</f>
        <v/>
      </c>
      <c r="L35" s="922">
        <f>L37/L5</f>
        <v/>
      </c>
      <c r="M35" s="929">
        <f>M37/M5</f>
        <v/>
      </c>
      <c r="N35" s="931">
        <f>N37/N5</f>
        <v/>
      </c>
      <c r="O35" s="931">
        <f>O37/O5</f>
        <v/>
      </c>
      <c r="P35" s="931">
        <f>P37/P5</f>
        <v/>
      </c>
      <c r="Q35" s="931">
        <f>Q37/Q5</f>
        <v/>
      </c>
      <c r="R35" s="921">
        <f>R37/R5</f>
        <v/>
      </c>
      <c r="S35" s="922">
        <f>S37/S5</f>
        <v/>
      </c>
      <c r="T35" s="922">
        <f>T37/T5</f>
        <v/>
      </c>
      <c r="U35" s="922">
        <f>U37/U5</f>
        <v/>
      </c>
      <c r="V35" s="922">
        <f>V37/V5</f>
        <v/>
      </c>
      <c r="W35" s="922">
        <f>W37/W5</f>
        <v/>
      </c>
      <c r="X35" s="921">
        <f>X37/X5</f>
        <v/>
      </c>
      <c r="Y35" s="922">
        <f>Y37/Y5</f>
        <v/>
      </c>
      <c r="Z35" s="922">
        <f>Z37/Z5</f>
        <v/>
      </c>
      <c r="AA35" s="922">
        <f>AA37/AA5</f>
        <v/>
      </c>
      <c r="AB35" s="922">
        <f>AB37/AB5</f>
        <v/>
      </c>
      <c r="AC35" s="922">
        <f>AC37/AC5</f>
        <v/>
      </c>
      <c r="AD35" s="921" t="n"/>
      <c r="AE35" s="922" t="n"/>
      <c r="AF35" s="922" t="n"/>
      <c r="AG35" s="922" t="n"/>
      <c r="AH35" s="922" t="n"/>
      <c r="AI35" s="922" t="n"/>
      <c r="AJ35" s="923" t="n"/>
      <c r="AK35" s="921" t="n"/>
      <c r="AL35" s="922" t="n"/>
      <c r="AM35" s="922" t="n"/>
      <c r="AN35" s="922" t="n"/>
      <c r="AO35" s="922" t="n"/>
      <c r="AP35" s="923" t="n"/>
      <c r="AQ35" s="921" t="n"/>
      <c r="AR35" s="922" t="n"/>
      <c r="AS35" s="922" t="n"/>
      <c r="AT35" s="922" t="n"/>
      <c r="AU35" s="922" t="n"/>
      <c r="AV35" s="923" t="n"/>
      <c r="AW35" s="896" t="n"/>
      <c r="AX35" s="897" t="n"/>
      <c r="AY35" s="897" t="n"/>
      <c r="AZ35" s="897" t="n"/>
      <c r="BA35" s="897" t="n"/>
      <c r="BB35" s="897" t="n"/>
      <c r="BC35" s="897" t="n"/>
      <c r="BD35" s="896" t="n"/>
      <c r="BE35" s="897" t="n"/>
      <c r="BF35" s="897" t="n"/>
      <c r="BG35" s="897" t="n"/>
      <c r="BH35" s="897" t="n"/>
      <c r="BI35" s="897" t="n"/>
      <c r="BJ35" s="896" t="n"/>
      <c r="BK35" s="897" t="n"/>
      <c r="BL35" s="897" t="n"/>
      <c r="BM35" s="897" t="n"/>
      <c r="BN35" s="897" t="n"/>
      <c r="BO35" s="898" t="n"/>
      <c r="BP35" s="896" t="n"/>
      <c r="BQ35" s="897" t="n"/>
      <c r="BR35" s="897" t="n"/>
      <c r="BS35" s="897" t="n"/>
      <c r="BT35" s="897" t="n"/>
      <c r="BU35" s="898" t="n"/>
      <c r="BV35" s="896" t="n"/>
      <c r="BW35" s="897" t="n"/>
      <c r="BX35" s="897" t="n"/>
      <c r="BY35" s="897" t="n"/>
      <c r="BZ35" s="897" t="n"/>
      <c r="CA35" s="924" t="n"/>
    </row>
    <row r="36" ht="16.5" customHeight="1" s="838">
      <c r="B36" s="756" t="n"/>
      <c r="C36" s="738" t="n"/>
      <c r="D36" s="733" t="inlineStr">
        <is>
          <t>VI 금액</t>
        </is>
      </c>
      <c r="E36" s="737" t="inlineStr">
        <is>
          <t>합계</t>
        </is>
      </c>
      <c r="F36" s="83" t="inlineStr">
        <is>
          <t>목표</t>
        </is>
      </c>
      <c r="G36" s="903">
        <f>SUM(G46,G56)</f>
        <v/>
      </c>
      <c r="H36" s="904">
        <f>SUM(H46,H56)</f>
        <v/>
      </c>
      <c r="I36" s="904">
        <f>SUM(I46,I56)</f>
        <v/>
      </c>
      <c r="J36" s="904">
        <f>SUM(J46,J56)</f>
        <v/>
      </c>
      <c r="K36" s="904">
        <f>SUM(K46,K56)</f>
        <v/>
      </c>
      <c r="L36" s="904">
        <f>SUM(L46,L56)</f>
        <v/>
      </c>
      <c r="M36" s="903">
        <f>SUM(M46,M56)</f>
        <v/>
      </c>
      <c r="N36" s="904">
        <f>SUM(N46,N56)</f>
        <v/>
      </c>
      <c r="O36" s="904">
        <f>SUM(O46,O56)</f>
        <v/>
      </c>
      <c r="P36" s="904">
        <f>SUM(P46,P56)</f>
        <v/>
      </c>
      <c r="Q36" s="904">
        <f>SUM(Q46,Q56)</f>
        <v/>
      </c>
      <c r="R36" s="903">
        <f>SUM(R46,R56)</f>
        <v/>
      </c>
      <c r="S36" s="904" t="n">
        <v>189.894784</v>
      </c>
      <c r="T36" s="904">
        <f>SUM(T46,T56)</f>
        <v/>
      </c>
      <c r="U36" s="904">
        <f>SUM(U46,U56)</f>
        <v/>
      </c>
      <c r="V36" s="904">
        <f>SUM(V46,V56)</f>
        <v/>
      </c>
      <c r="W36" s="904">
        <f>SUM(W46,W56)</f>
        <v/>
      </c>
      <c r="X36" s="903">
        <f>SUM(X46,X56)</f>
        <v/>
      </c>
      <c r="Y36" s="904">
        <f>SUM(Y46,Y56)</f>
        <v/>
      </c>
      <c r="Z36" s="904">
        <f>SUM(Z46,Z56)</f>
        <v/>
      </c>
      <c r="AA36" s="904">
        <f>SUM(AA46,AA56)</f>
        <v/>
      </c>
      <c r="AB36" s="904">
        <f>SUM(AB46,AB56)</f>
        <v/>
      </c>
      <c r="AC36" s="904">
        <f>SUM(AC46,AC56)</f>
        <v/>
      </c>
      <c r="AD36" s="903" t="n"/>
      <c r="AE36" s="904" t="n"/>
      <c r="AF36" s="904" t="n"/>
      <c r="AG36" s="904" t="n"/>
      <c r="AH36" s="904" t="n"/>
      <c r="AI36" s="904" t="n"/>
      <c r="AJ36" s="905" t="n"/>
      <c r="AK36" s="903" t="n"/>
      <c r="AL36" s="904" t="n"/>
      <c r="AM36" s="904" t="n"/>
      <c r="AN36" s="904" t="n"/>
      <c r="AO36" s="904" t="n"/>
      <c r="AP36" s="905" t="n"/>
      <c r="AQ36" s="903" t="n"/>
      <c r="AR36" s="904" t="n"/>
      <c r="AS36" s="904" t="n"/>
      <c r="AT36" s="904" t="n"/>
      <c r="AU36" s="904" t="n"/>
      <c r="AV36" s="905" t="n"/>
      <c r="AW36" s="903" t="n"/>
      <c r="AX36" s="904" t="n"/>
      <c r="AY36" s="904" t="n"/>
      <c r="AZ36" s="904" t="n"/>
      <c r="BA36" s="904" t="n"/>
      <c r="BB36" s="904" t="n"/>
      <c r="BC36" s="904" t="n"/>
      <c r="BD36" s="903" t="n"/>
      <c r="BE36" s="904" t="n"/>
      <c r="BF36" s="904" t="n"/>
      <c r="BG36" s="904" t="n"/>
      <c r="BH36" s="904" t="n"/>
      <c r="BI36" s="904" t="n"/>
      <c r="BJ36" s="903" t="n"/>
      <c r="BK36" s="904" t="n"/>
      <c r="BL36" s="904" t="n"/>
      <c r="BM36" s="904" t="n"/>
      <c r="BN36" s="904" t="n"/>
      <c r="BO36" s="905" t="n"/>
      <c r="BP36" s="903" t="n"/>
      <c r="BQ36" s="904" t="n"/>
      <c r="BR36" s="904" t="n"/>
      <c r="BS36" s="904" t="n"/>
      <c r="BT36" s="904" t="n"/>
      <c r="BU36" s="905" t="n"/>
      <c r="BV36" s="903" t="n"/>
      <c r="BW36" s="904" t="n"/>
      <c r="BX36" s="904" t="n"/>
      <c r="BY36" s="904" t="n"/>
      <c r="BZ36" s="904" t="n"/>
      <c r="CA36" s="936" t="n"/>
    </row>
    <row r="37" ht="16.5" customHeight="1" s="838">
      <c r="B37" s="756" t="n"/>
      <c r="C37" s="738" t="n"/>
      <c r="D37" s="738" t="n"/>
      <c r="E37" s="739" t="n"/>
      <c r="F37" s="782" t="inlineStr">
        <is>
          <t>실적</t>
        </is>
      </c>
      <c r="G37" s="925">
        <f>SUM(G47,G57)</f>
        <v/>
      </c>
      <c r="H37" s="926">
        <f>SUM(H47,H57)</f>
        <v/>
      </c>
      <c r="I37" s="926">
        <f>SUM(I47,I57)</f>
        <v/>
      </c>
      <c r="J37" s="926">
        <f>SUM(J47,J57)</f>
        <v/>
      </c>
      <c r="K37" s="926">
        <f>SUM(K47,K57)</f>
        <v/>
      </c>
      <c r="L37" s="926">
        <f>SUM(L47,L57)</f>
        <v/>
      </c>
      <c r="M37" s="925">
        <f>SUM(M47,M57)</f>
        <v/>
      </c>
      <c r="N37" s="926">
        <f>SUM(N47,N57)</f>
        <v/>
      </c>
      <c r="O37" s="926">
        <f>SUM(O47,O57)</f>
        <v/>
      </c>
      <c r="P37" s="926">
        <f>SUM(P47,P57)</f>
        <v/>
      </c>
      <c r="Q37" s="926">
        <f>SUM(Q47,Q57)</f>
        <v/>
      </c>
      <c r="R37" s="925">
        <f>SUM(R47,R57)</f>
        <v/>
      </c>
      <c r="S37" s="926">
        <f>SUM(S47,S57)</f>
        <v/>
      </c>
      <c r="T37" s="926">
        <f>SUM(T47,T57)</f>
        <v/>
      </c>
      <c r="U37" s="926">
        <f>SUM(U47,U57)</f>
        <v/>
      </c>
      <c r="V37" s="926">
        <f>SUM(V47,V57)</f>
        <v/>
      </c>
      <c r="W37" s="926">
        <f>SUM(W47,W57)</f>
        <v/>
      </c>
      <c r="X37" s="925">
        <f>SUM(X47,X57)</f>
        <v/>
      </c>
      <c r="Y37" s="926">
        <f>SUM(Y47,Y57)</f>
        <v/>
      </c>
      <c r="Z37" s="926">
        <f>SUM(Z47,Z57)</f>
        <v/>
      </c>
      <c r="AA37" s="926">
        <f>SUM(AA47,AA57)</f>
        <v/>
      </c>
      <c r="AB37" s="926">
        <f>SUM(AB47,AB57)</f>
        <v/>
      </c>
      <c r="AC37" s="926">
        <f>SUM(AC47,AC57)</f>
        <v/>
      </c>
      <c r="AD37" s="925" t="n"/>
      <c r="AE37" s="926" t="n"/>
      <c r="AF37" s="926" t="n"/>
      <c r="AG37" s="926" t="n"/>
      <c r="AH37" s="926" t="n"/>
      <c r="AI37" s="926" t="n"/>
      <c r="AJ37" s="927" t="n"/>
      <c r="AK37" s="925" t="n"/>
      <c r="AL37" s="926" t="n"/>
      <c r="AM37" s="926" t="n"/>
      <c r="AN37" s="926" t="n"/>
      <c r="AO37" s="926" t="n"/>
      <c r="AP37" s="927" t="n"/>
      <c r="AQ37" s="925" t="n"/>
      <c r="AR37" s="926" t="n"/>
      <c r="AS37" s="926" t="n"/>
      <c r="AT37" s="926" t="n"/>
      <c r="AU37" s="926" t="n"/>
      <c r="AV37" s="927" t="n"/>
      <c r="AW37" s="925" t="n"/>
      <c r="AX37" s="926" t="n"/>
      <c r="AY37" s="926" t="n"/>
      <c r="AZ37" s="926" t="n"/>
      <c r="BA37" s="926" t="n"/>
      <c r="BB37" s="926" t="n"/>
      <c r="BC37" s="926" t="n"/>
      <c r="BD37" s="925" t="n"/>
      <c r="BE37" s="926" t="n"/>
      <c r="BF37" s="926" t="n"/>
      <c r="BG37" s="926" t="n"/>
      <c r="BH37" s="926" t="n"/>
      <c r="BI37" s="926" t="n"/>
      <c r="BJ37" s="150" t="n"/>
      <c r="BO37" s="151" t="n"/>
      <c r="BP37" s="150" t="n"/>
      <c r="BU37" s="151" t="n"/>
      <c r="BV37" s="150" t="n"/>
      <c r="CA37" s="152" t="n"/>
    </row>
    <row r="38" ht="16.5" customHeight="1" s="838">
      <c r="B38" s="756" t="n"/>
      <c r="C38" s="738" t="n"/>
      <c r="D38" s="738" t="n"/>
      <c r="E38" s="737" t="inlineStr">
        <is>
          <t>양산부품</t>
        </is>
      </c>
      <c r="F38" s="83" t="inlineStr">
        <is>
          <t>목표</t>
        </is>
      </c>
      <c r="G38" s="903">
        <f>G48+G58</f>
        <v/>
      </c>
      <c r="H38" s="904">
        <f>H48+H58</f>
        <v/>
      </c>
      <c r="I38" s="904">
        <f>I48+I58</f>
        <v/>
      </c>
      <c r="J38" s="904">
        <f>J48+J58</f>
        <v/>
      </c>
      <c r="K38" s="904">
        <f>K48+K58</f>
        <v/>
      </c>
      <c r="L38" s="904">
        <f>L48+L58</f>
        <v/>
      </c>
      <c r="M38" s="903">
        <f>M48+M58</f>
        <v/>
      </c>
      <c r="N38" s="904">
        <f>N48+N58</f>
        <v/>
      </c>
      <c r="O38" s="904">
        <f>O48+O58</f>
        <v/>
      </c>
      <c r="P38" s="904">
        <f>P48+P58</f>
        <v/>
      </c>
      <c r="Q38" s="904">
        <f>Q48+Q58</f>
        <v/>
      </c>
      <c r="R38" s="903">
        <f>R48+R58</f>
        <v/>
      </c>
      <c r="S38" s="904">
        <f>S48+S58</f>
        <v/>
      </c>
      <c r="T38" s="904">
        <f>T48+T58</f>
        <v/>
      </c>
      <c r="U38" s="904">
        <f>U48+U58</f>
        <v/>
      </c>
      <c r="V38" s="904">
        <f>V48+V58</f>
        <v/>
      </c>
      <c r="W38" s="904">
        <f>W48+W58</f>
        <v/>
      </c>
      <c r="X38" s="903">
        <f>X48+X58</f>
        <v/>
      </c>
      <c r="Y38" s="904">
        <f>Y48+Y58</f>
        <v/>
      </c>
      <c r="Z38" s="904">
        <f>Z48+Z58</f>
        <v/>
      </c>
      <c r="AA38" s="904">
        <f>AA48+AA58</f>
        <v/>
      </c>
      <c r="AB38" s="904">
        <f>AB48+AB58</f>
        <v/>
      </c>
      <c r="AC38" s="904">
        <f>AC48+AC58</f>
        <v/>
      </c>
      <c r="AD38" s="903" t="n"/>
      <c r="AE38" s="904" t="n"/>
      <c r="AF38" s="904" t="n"/>
      <c r="AG38" s="904" t="n"/>
      <c r="AH38" s="904" t="n"/>
      <c r="AI38" s="904" t="n"/>
      <c r="AJ38" s="905" t="n"/>
      <c r="AK38" s="903" t="n"/>
      <c r="AL38" s="904" t="n"/>
      <c r="AM38" s="904" t="n"/>
      <c r="AN38" s="904" t="n"/>
      <c r="AO38" s="904" t="n"/>
      <c r="AP38" s="905" t="n"/>
      <c r="AQ38" s="903" t="n"/>
      <c r="AR38" s="904" t="n"/>
      <c r="AS38" s="904" t="n"/>
      <c r="AT38" s="904" t="n"/>
      <c r="AU38" s="904" t="n"/>
      <c r="AV38" s="905" t="n"/>
      <c r="AW38" s="903" t="n"/>
      <c r="AX38" s="904" t="n"/>
      <c r="AY38" s="904" t="n"/>
      <c r="AZ38" s="904" t="n"/>
      <c r="BA38" s="904" t="n"/>
      <c r="BB38" s="904" t="n"/>
      <c r="BC38" s="904" t="n"/>
      <c r="BD38" s="903" t="n"/>
      <c r="BE38" s="904" t="n"/>
      <c r="BF38" s="904" t="n"/>
      <c r="BG38" s="904" t="n"/>
      <c r="BH38" s="904" t="n"/>
      <c r="BI38" s="904" t="n"/>
      <c r="BJ38" s="153" t="n"/>
      <c r="BK38" s="154" t="n"/>
      <c r="BL38" s="154" t="n"/>
      <c r="BM38" s="154" t="n"/>
      <c r="BN38" s="154" t="n"/>
      <c r="BO38" s="155" t="n"/>
      <c r="BP38" s="153" t="n"/>
      <c r="BQ38" s="154" t="n"/>
      <c r="BR38" s="154" t="n"/>
      <c r="BS38" s="154" t="n"/>
      <c r="BT38" s="154" t="n"/>
      <c r="BU38" s="155" t="n"/>
      <c r="BV38" s="153" t="n"/>
      <c r="BW38" s="154" t="n"/>
      <c r="BX38" s="154" t="n"/>
      <c r="BY38" s="154" t="n"/>
      <c r="BZ38" s="154" t="n"/>
      <c r="CA38" s="156" t="n"/>
    </row>
    <row r="39" ht="16.5" customHeight="1" s="838">
      <c r="B39" s="756" t="n"/>
      <c r="C39" s="738" t="n"/>
      <c r="D39" s="738" t="n"/>
      <c r="E39" s="739" t="n"/>
      <c r="F39" s="754" t="inlineStr">
        <is>
          <t>실적</t>
        </is>
      </c>
      <c r="G39" s="896">
        <f>G49+G59</f>
        <v/>
      </c>
      <c r="H39" s="897">
        <f>H49+H59</f>
        <v/>
      </c>
      <c r="I39" s="897">
        <f>I49+I59</f>
        <v/>
      </c>
      <c r="J39" s="897">
        <f>J49+J59</f>
        <v/>
      </c>
      <c r="K39" s="897">
        <f>K49+K59</f>
        <v/>
      </c>
      <c r="L39" s="897">
        <f>L49+L59</f>
        <v/>
      </c>
      <c r="M39" s="896">
        <f>M49+M59</f>
        <v/>
      </c>
      <c r="N39" s="897">
        <f>N49+N59</f>
        <v/>
      </c>
      <c r="O39" s="897">
        <f>O49+O59</f>
        <v/>
      </c>
      <c r="P39" s="897">
        <f>P49+P59</f>
        <v/>
      </c>
      <c r="Q39" s="897">
        <f>Q49+Q59</f>
        <v/>
      </c>
      <c r="R39" s="896">
        <f>R49+R59</f>
        <v/>
      </c>
      <c r="S39" s="897">
        <f>S49+S59</f>
        <v/>
      </c>
      <c r="T39" s="897">
        <f>T49+T59</f>
        <v/>
      </c>
      <c r="U39" s="897">
        <f>U49+U59</f>
        <v/>
      </c>
      <c r="V39" s="897">
        <f>V49+V59</f>
        <v/>
      </c>
      <c r="W39" s="897">
        <f>W49+W59</f>
        <v/>
      </c>
      <c r="X39" s="896">
        <f>X49+X59</f>
        <v/>
      </c>
      <c r="Y39" s="897">
        <f>Y49+Y59</f>
        <v/>
      </c>
      <c r="Z39" s="897">
        <f>Z49+Z59</f>
        <v/>
      </c>
      <c r="AA39" s="897">
        <f>AA49+AA59</f>
        <v/>
      </c>
      <c r="AB39" s="897">
        <f>AB49+AB59</f>
        <v/>
      </c>
      <c r="AC39" s="897">
        <f>AC49+AC59</f>
        <v/>
      </c>
      <c r="AD39" s="896" t="n"/>
      <c r="AE39" s="897" t="n"/>
      <c r="AF39" s="897" t="n"/>
      <c r="AG39" s="897" t="n"/>
      <c r="AH39" s="897" t="n"/>
      <c r="AI39" s="897" t="n"/>
      <c r="AJ39" s="898" t="n"/>
      <c r="AK39" s="896" t="n"/>
      <c r="AL39" s="897" t="n"/>
      <c r="AM39" s="897" t="n"/>
      <c r="AN39" s="897" t="n"/>
      <c r="AO39" s="897" t="n"/>
      <c r="AP39" s="898" t="n"/>
      <c r="AQ39" s="896" t="n"/>
      <c r="AR39" s="897" t="n"/>
      <c r="AS39" s="897" t="n"/>
      <c r="AT39" s="897" t="n"/>
      <c r="AU39" s="897" t="n"/>
      <c r="AV39" s="898" t="n"/>
      <c r="AW39" s="896" t="n"/>
      <c r="AX39" s="897" t="n"/>
      <c r="AY39" s="897" t="n"/>
      <c r="AZ39" s="897" t="n"/>
      <c r="BA39" s="897" t="n"/>
      <c r="BB39" s="897" t="n"/>
      <c r="BC39" s="897" t="n"/>
      <c r="BD39" s="896" t="n"/>
      <c r="BE39" s="897" t="n"/>
      <c r="BF39" s="897" t="n"/>
      <c r="BG39" s="897" t="n"/>
      <c r="BH39" s="897" t="n"/>
      <c r="BI39" s="897" t="n"/>
      <c r="BJ39" s="157" t="n"/>
      <c r="BK39" s="158" t="n"/>
      <c r="BL39" s="158" t="n"/>
      <c r="BM39" s="158" t="n"/>
      <c r="BN39" s="158" t="n"/>
      <c r="BO39" s="159" t="n"/>
      <c r="BP39" s="157" t="n"/>
      <c r="BQ39" s="158" t="n"/>
      <c r="BR39" s="158" t="n"/>
      <c r="BS39" s="158" t="n"/>
      <c r="BT39" s="158" t="n"/>
      <c r="BU39" s="159" t="n"/>
      <c r="BV39" s="157" t="n"/>
      <c r="BW39" s="158" t="n"/>
      <c r="BX39" s="158" t="n"/>
      <c r="BY39" s="158" t="n"/>
      <c r="BZ39" s="158" t="n"/>
      <c r="CA39" s="160" t="n"/>
    </row>
    <row r="40" ht="16.5" customHeight="1" s="838">
      <c r="B40" s="756" t="n"/>
      <c r="C40" s="738" t="n"/>
      <c r="D40" s="738" t="n"/>
      <c r="E40" s="737" t="inlineStr">
        <is>
          <t>개발모델</t>
        </is>
      </c>
      <c r="F40" s="83" t="inlineStr">
        <is>
          <t>목표</t>
        </is>
      </c>
      <c r="G40" s="903">
        <f>G50+G60</f>
        <v/>
      </c>
      <c r="H40" s="904">
        <f>H50+H60</f>
        <v/>
      </c>
      <c r="I40" s="904">
        <f>I50+I60</f>
        <v/>
      </c>
      <c r="J40" s="904">
        <f>J50+J60</f>
        <v/>
      </c>
      <c r="K40" s="904">
        <f>K50+K60</f>
        <v/>
      </c>
      <c r="L40" s="904">
        <f>L50+L60</f>
        <v/>
      </c>
      <c r="M40" s="903">
        <f>M50+M60</f>
        <v/>
      </c>
      <c r="N40" s="904">
        <f>N50+N60</f>
        <v/>
      </c>
      <c r="O40" s="904">
        <f>O50+O60</f>
        <v/>
      </c>
      <c r="P40" s="904">
        <f>P50+P60</f>
        <v/>
      </c>
      <c r="Q40" s="904">
        <f>Q50+Q60</f>
        <v/>
      </c>
      <c r="R40" s="903">
        <f>R50+R60</f>
        <v/>
      </c>
      <c r="S40" s="904">
        <f>S50+S60</f>
        <v/>
      </c>
      <c r="T40" s="904">
        <f>T50+T60</f>
        <v/>
      </c>
      <c r="U40" s="904">
        <f>U50+U60</f>
        <v/>
      </c>
      <c r="V40" s="904">
        <f>V50+V60</f>
        <v/>
      </c>
      <c r="W40" s="904">
        <f>W50+W60</f>
        <v/>
      </c>
      <c r="X40" s="903">
        <f>X50+X60</f>
        <v/>
      </c>
      <c r="Y40" s="904">
        <f>Y50+Y60</f>
        <v/>
      </c>
      <c r="Z40" s="904">
        <f>Z50+Z60</f>
        <v/>
      </c>
      <c r="AA40" s="904">
        <f>AA50+AA60</f>
        <v/>
      </c>
      <c r="AB40" s="904">
        <f>AB50+AB60</f>
        <v/>
      </c>
      <c r="AC40" s="904">
        <f>AC50+AC60</f>
        <v/>
      </c>
      <c r="AD40" s="903" t="n"/>
      <c r="AE40" s="904" t="n"/>
      <c r="AF40" s="904" t="n"/>
      <c r="AG40" s="904" t="n"/>
      <c r="AH40" s="904" t="n"/>
      <c r="AI40" s="904" t="n"/>
      <c r="AJ40" s="905" t="n"/>
      <c r="AK40" s="903" t="n"/>
      <c r="AL40" s="904" t="n"/>
      <c r="AM40" s="904" t="n"/>
      <c r="AN40" s="904" t="n"/>
      <c r="AO40" s="904" t="n"/>
      <c r="AP40" s="905" t="n"/>
      <c r="AQ40" s="903" t="n"/>
      <c r="AR40" s="904" t="n"/>
      <c r="AS40" s="904" t="n"/>
      <c r="AT40" s="904" t="n"/>
      <c r="AU40" s="904" t="n"/>
      <c r="AV40" s="905" t="n"/>
      <c r="AW40" s="903" t="n"/>
      <c r="AX40" s="904" t="n"/>
      <c r="AY40" s="904" t="n"/>
      <c r="AZ40" s="904" t="n"/>
      <c r="BA40" s="904" t="n"/>
      <c r="BB40" s="904" t="n"/>
      <c r="BC40" s="904" t="n"/>
      <c r="BD40" s="903" t="n"/>
      <c r="BE40" s="904" t="n"/>
      <c r="BF40" s="904" t="n"/>
      <c r="BG40" s="904" t="n"/>
      <c r="BH40" s="904" t="n"/>
      <c r="BI40" s="904" t="n"/>
      <c r="BJ40" s="153" t="n"/>
      <c r="BK40" s="154" t="n"/>
      <c r="BL40" s="154" t="n"/>
      <c r="BM40" s="154" t="n"/>
      <c r="BN40" s="154" t="n"/>
      <c r="BO40" s="155" t="n"/>
      <c r="BP40" s="153" t="n"/>
      <c r="BQ40" s="154" t="n"/>
      <c r="BR40" s="154" t="n"/>
      <c r="BS40" s="154" t="n"/>
      <c r="BT40" s="154" t="n"/>
      <c r="BU40" s="155" t="n"/>
      <c r="BV40" s="153" t="n"/>
      <c r="BW40" s="154" t="n"/>
      <c r="BX40" s="154" t="n"/>
      <c r="BY40" s="154" t="n"/>
      <c r="BZ40" s="154" t="n"/>
      <c r="CA40" s="156" t="n"/>
    </row>
    <row r="41" ht="16.5" customHeight="1" s="838">
      <c r="B41" s="756" t="n"/>
      <c r="C41" s="738" t="n"/>
      <c r="D41" s="738" t="n"/>
      <c r="E41" s="739" t="n"/>
      <c r="F41" s="754" t="inlineStr">
        <is>
          <t>실적</t>
        </is>
      </c>
      <c r="G41" s="896">
        <f>G51+G61</f>
        <v/>
      </c>
      <c r="H41" s="897">
        <f>H51+H61</f>
        <v/>
      </c>
      <c r="I41" s="897">
        <f>I51+I61</f>
        <v/>
      </c>
      <c r="J41" s="897">
        <f>J51+J61</f>
        <v/>
      </c>
      <c r="K41" s="897">
        <f>K51+K61</f>
        <v/>
      </c>
      <c r="L41" s="897">
        <f>L51+L61</f>
        <v/>
      </c>
      <c r="M41" s="896">
        <f>M51+M61</f>
        <v/>
      </c>
      <c r="N41" s="897">
        <f>N51+N61</f>
        <v/>
      </c>
      <c r="O41" s="897">
        <f>O51+O61</f>
        <v/>
      </c>
      <c r="P41" s="897">
        <f>P51+P61</f>
        <v/>
      </c>
      <c r="Q41" s="897">
        <f>Q51+Q61</f>
        <v/>
      </c>
      <c r="R41" s="896">
        <f>R51+R61</f>
        <v/>
      </c>
      <c r="S41" s="897">
        <f>S51+S61</f>
        <v/>
      </c>
      <c r="T41" s="897">
        <f>T51+T61</f>
        <v/>
      </c>
      <c r="U41" s="897">
        <f>U51+U61</f>
        <v/>
      </c>
      <c r="V41" s="897">
        <f>V51+V61</f>
        <v/>
      </c>
      <c r="W41" s="897">
        <f>W51+W61</f>
        <v/>
      </c>
      <c r="X41" s="896">
        <f>X51+X61</f>
        <v/>
      </c>
      <c r="Y41" s="897">
        <f>Y51+Y61</f>
        <v/>
      </c>
      <c r="Z41" s="897">
        <f>Z51+Z61</f>
        <v/>
      </c>
      <c r="AA41" s="897">
        <f>AA51+AA61</f>
        <v/>
      </c>
      <c r="AB41" s="897">
        <f>AB51+AB61</f>
        <v/>
      </c>
      <c r="AC41" s="897">
        <f>AC51+AC61</f>
        <v/>
      </c>
      <c r="AD41" s="896" t="n"/>
      <c r="AE41" s="897" t="n"/>
      <c r="AF41" s="897" t="n"/>
      <c r="AG41" s="897" t="n"/>
      <c r="AH41" s="897" t="n"/>
      <c r="AI41" s="897" t="n"/>
      <c r="AJ41" s="898" t="n"/>
      <c r="AK41" s="896" t="n"/>
      <c r="AL41" s="897" t="n"/>
      <c r="AM41" s="897" t="n"/>
      <c r="AN41" s="897" t="n"/>
      <c r="AO41" s="897" t="n"/>
      <c r="AP41" s="898" t="n"/>
      <c r="AQ41" s="896" t="n"/>
      <c r="AR41" s="897" t="n"/>
      <c r="AS41" s="897" t="n"/>
      <c r="AT41" s="897" t="n"/>
      <c r="AU41" s="897" t="n"/>
      <c r="AV41" s="898" t="n"/>
      <c r="AW41" s="896" t="n"/>
      <c r="AX41" s="897" t="n"/>
      <c r="AY41" s="897" t="n"/>
      <c r="AZ41" s="897" t="n"/>
      <c r="BA41" s="897" t="n"/>
      <c r="BB41" s="897" t="n"/>
      <c r="BC41" s="897" t="n"/>
      <c r="BD41" s="896" t="n"/>
      <c r="BE41" s="897" t="n"/>
      <c r="BF41" s="897" t="n"/>
      <c r="BG41" s="897" t="n"/>
      <c r="BH41" s="897" t="n"/>
      <c r="BI41" s="897" t="n"/>
      <c r="BJ41" s="157" t="n"/>
      <c r="BK41" s="158" t="n"/>
      <c r="BL41" s="158" t="n"/>
      <c r="BM41" s="158" t="n"/>
      <c r="BN41" s="158" t="n"/>
      <c r="BO41" s="159" t="n"/>
      <c r="BP41" s="157" t="n"/>
      <c r="BQ41" s="158" t="n"/>
      <c r="BR41" s="158" t="n"/>
      <c r="BS41" s="158" t="n"/>
      <c r="BT41" s="158" t="n"/>
      <c r="BU41" s="159" t="n"/>
      <c r="BV41" s="157" t="n"/>
      <c r="BW41" s="158" t="n"/>
      <c r="BX41" s="158" t="n"/>
      <c r="BY41" s="158" t="n"/>
      <c r="BZ41" s="158" t="n"/>
      <c r="CA41" s="160" t="n"/>
    </row>
    <row r="42" ht="16.5" customHeight="1" s="838">
      <c r="B42" s="756" t="n"/>
      <c r="C42" s="738" t="n"/>
      <c r="D42" s="738" t="n"/>
      <c r="E42" s="754" t="inlineStr">
        <is>
          <t>아웃소싱</t>
        </is>
      </c>
      <c r="F42" s="782" t="inlineStr">
        <is>
          <t>목표</t>
        </is>
      </c>
      <c r="G42" s="925">
        <f>G52+G62</f>
        <v/>
      </c>
      <c r="H42" s="926">
        <f>H52+H62</f>
        <v/>
      </c>
      <c r="I42" s="926">
        <f>I52+I62</f>
        <v/>
      </c>
      <c r="J42" s="926">
        <f>J52+J62</f>
        <v/>
      </c>
      <c r="K42" s="926">
        <f>K52+K62</f>
        <v/>
      </c>
      <c r="L42" s="926">
        <f>L52+L62</f>
        <v/>
      </c>
      <c r="M42" s="925">
        <f>M52+M62</f>
        <v/>
      </c>
      <c r="N42" s="926">
        <f>N52+N62</f>
        <v/>
      </c>
      <c r="O42" s="926">
        <f>O52+O62</f>
        <v/>
      </c>
      <c r="P42" s="926">
        <f>P52+P62</f>
        <v/>
      </c>
      <c r="Q42" s="926">
        <f>Q52+Q62</f>
        <v/>
      </c>
      <c r="R42" s="925">
        <f>R52+R62</f>
        <v/>
      </c>
      <c r="S42" s="926">
        <f>S52+S62</f>
        <v/>
      </c>
      <c r="T42" s="926">
        <f>T52+T62</f>
        <v/>
      </c>
      <c r="U42" s="926">
        <f>U52+U62</f>
        <v/>
      </c>
      <c r="V42" s="926">
        <f>V52+V62</f>
        <v/>
      </c>
      <c r="W42" s="926">
        <f>W52+W62</f>
        <v/>
      </c>
      <c r="X42" s="925">
        <f>X52+X62</f>
        <v/>
      </c>
      <c r="Y42" s="926">
        <f>Y52+Y62</f>
        <v/>
      </c>
      <c r="Z42" s="926">
        <f>Z52+Z62</f>
        <v/>
      </c>
      <c r="AA42" s="926">
        <f>AA52+AA62</f>
        <v/>
      </c>
      <c r="AB42" s="926">
        <f>AB52+AB62</f>
        <v/>
      </c>
      <c r="AC42" s="926">
        <f>AC52+AC62</f>
        <v/>
      </c>
      <c r="AD42" s="925" t="n"/>
      <c r="AE42" s="926" t="n"/>
      <c r="AF42" s="926" t="n"/>
      <c r="AG42" s="926" t="n"/>
      <c r="AH42" s="926" t="n"/>
      <c r="AI42" s="926" t="n"/>
      <c r="AJ42" s="927" t="n"/>
      <c r="AK42" s="925" t="n"/>
      <c r="AL42" s="926" t="n"/>
      <c r="AM42" s="926" t="n"/>
      <c r="AN42" s="926" t="n"/>
      <c r="AO42" s="926" t="n"/>
      <c r="AP42" s="927" t="n"/>
      <c r="AQ42" s="925" t="n"/>
      <c r="AR42" s="926" t="n"/>
      <c r="AS42" s="926" t="n"/>
      <c r="AT42" s="926" t="n"/>
      <c r="AU42" s="926" t="n"/>
      <c r="AV42" s="927" t="n"/>
      <c r="AW42" s="925" t="n"/>
      <c r="AX42" s="926" t="n"/>
      <c r="AY42" s="926" t="n"/>
      <c r="AZ42" s="926" t="n"/>
      <c r="BA42" s="926" t="n"/>
      <c r="BB42" s="926" t="n"/>
      <c r="BC42" s="926" t="n"/>
      <c r="BD42" s="925" t="n"/>
      <c r="BE42" s="926" t="n"/>
      <c r="BF42" s="926" t="n"/>
      <c r="BG42" s="926" t="n"/>
      <c r="BH42" s="926" t="n"/>
      <c r="BI42" s="926" t="n"/>
      <c r="BJ42" s="161" t="n"/>
      <c r="BK42" s="162" t="n"/>
      <c r="BL42" s="162" t="n"/>
      <c r="BM42" s="162" t="n"/>
      <c r="BN42" s="162" t="n"/>
      <c r="BO42" s="163" t="n"/>
      <c r="BP42" s="161" t="n"/>
      <c r="BQ42" s="162" t="n"/>
      <c r="BR42" s="162" t="n"/>
      <c r="BS42" s="162" t="n"/>
      <c r="BT42" s="162" t="n"/>
      <c r="BU42" s="163" t="n"/>
      <c r="BV42" s="161" t="n"/>
      <c r="BW42" s="162" t="n"/>
      <c r="BX42" s="162" t="n"/>
      <c r="BY42" s="162" t="n"/>
      <c r="BZ42" s="162" t="n"/>
      <c r="CA42" s="164" t="n"/>
    </row>
    <row r="43" ht="16.5" customHeight="1" s="838">
      <c r="B43" s="756" t="n"/>
      <c r="C43" s="739" t="n"/>
      <c r="D43" s="739" t="n"/>
      <c r="E43" s="739" t="n"/>
      <c r="F43" s="754" t="inlineStr">
        <is>
          <t>실적</t>
        </is>
      </c>
      <c r="G43" s="896">
        <f>G53+G63</f>
        <v/>
      </c>
      <c r="H43" s="897">
        <f>H53+H63</f>
        <v/>
      </c>
      <c r="I43" s="897">
        <f>I53+I63</f>
        <v/>
      </c>
      <c r="J43" s="897">
        <f>J53+J63</f>
        <v/>
      </c>
      <c r="K43" s="897">
        <f>K53+K63</f>
        <v/>
      </c>
      <c r="L43" s="897">
        <f>L53+L63</f>
        <v/>
      </c>
      <c r="M43" s="896">
        <f>M53+M63</f>
        <v/>
      </c>
      <c r="N43" s="897">
        <f>N53+N63</f>
        <v/>
      </c>
      <c r="O43" s="897">
        <f>O53+O63</f>
        <v/>
      </c>
      <c r="P43" s="897">
        <f>P53+P63</f>
        <v/>
      </c>
      <c r="Q43" s="897">
        <f>Q53+Q63</f>
        <v/>
      </c>
      <c r="R43" s="896">
        <f>R53+R63</f>
        <v/>
      </c>
      <c r="S43" s="897">
        <f>S53+S63</f>
        <v/>
      </c>
      <c r="T43" s="897">
        <f>T53+T63</f>
        <v/>
      </c>
      <c r="U43" s="897">
        <f>U53+U63</f>
        <v/>
      </c>
      <c r="V43" s="897">
        <f>V53+V63</f>
        <v/>
      </c>
      <c r="W43" s="897">
        <f>W53+W63</f>
        <v/>
      </c>
      <c r="X43" s="896">
        <f>X53+X63</f>
        <v/>
      </c>
      <c r="Y43" s="897">
        <f>Y53+Y63</f>
        <v/>
      </c>
      <c r="Z43" s="897">
        <f>Z53+Z63</f>
        <v/>
      </c>
      <c r="AA43" s="897">
        <f>AA53+AA63</f>
        <v/>
      </c>
      <c r="AB43" s="897">
        <f>AB53+AB63</f>
        <v/>
      </c>
      <c r="AC43" s="897">
        <f>AC53+AC63</f>
        <v/>
      </c>
      <c r="AD43" s="896" t="n"/>
      <c r="AE43" s="897" t="n"/>
      <c r="AF43" s="897" t="n"/>
      <c r="AG43" s="897" t="n"/>
      <c r="AH43" s="897" t="n"/>
      <c r="AI43" s="897" t="n"/>
      <c r="AJ43" s="898" t="n"/>
      <c r="AK43" s="896" t="n"/>
      <c r="AL43" s="897" t="n"/>
      <c r="AM43" s="897" t="n"/>
      <c r="AN43" s="897" t="n"/>
      <c r="AO43" s="897" t="n"/>
      <c r="AP43" s="898" t="n"/>
      <c r="AQ43" s="896" t="n"/>
      <c r="AR43" s="897" t="n"/>
      <c r="AS43" s="897" t="n"/>
      <c r="AT43" s="897" t="n"/>
      <c r="AU43" s="897" t="n"/>
      <c r="AV43" s="898" t="n"/>
      <c r="AW43" s="896" t="n"/>
      <c r="AX43" s="897" t="n"/>
      <c r="AY43" s="897" t="n"/>
      <c r="AZ43" s="897" t="n"/>
      <c r="BA43" s="897" t="n"/>
      <c r="BB43" s="897" t="n"/>
      <c r="BC43" s="897" t="n"/>
      <c r="BD43" s="896" t="n"/>
      <c r="BE43" s="897" t="n"/>
      <c r="BF43" s="897" t="n"/>
      <c r="BG43" s="897" t="n"/>
      <c r="BH43" s="897" t="n"/>
      <c r="BI43" s="897" t="n"/>
      <c r="BJ43" s="157" t="n"/>
      <c r="BK43" s="158" t="n"/>
      <c r="BL43" s="158" t="n"/>
      <c r="BM43" s="158" t="n"/>
      <c r="BN43" s="158" t="n"/>
      <c r="BO43" s="159" t="n"/>
      <c r="BP43" s="157" t="n"/>
      <c r="BQ43" s="158" t="n"/>
      <c r="BR43" s="158" t="n"/>
      <c r="BS43" s="158" t="n"/>
      <c r="BT43" s="158" t="n"/>
      <c r="BU43" s="159" t="n"/>
      <c r="BV43" s="157" t="n"/>
      <c r="BW43" s="158" t="n"/>
      <c r="BX43" s="158" t="n"/>
      <c r="BY43" s="158" t="n"/>
      <c r="BZ43" s="158" t="n"/>
      <c r="CA43" s="160" t="n"/>
    </row>
    <row r="44" ht="16.5" customHeight="1" s="838">
      <c r="B44" s="756" t="n"/>
      <c r="C44" s="737" t="inlineStr">
        <is>
          <t>제품1</t>
        </is>
      </c>
      <c r="D44" s="733" t="inlineStr">
        <is>
          <t>VI율</t>
        </is>
      </c>
      <c r="E44" s="734" t="n"/>
      <c r="F44" s="782" t="inlineStr">
        <is>
          <t>목표</t>
        </is>
      </c>
      <c r="G44" s="929">
        <f>G46/G6</f>
        <v/>
      </c>
      <c r="H44" s="931">
        <f>H46/H6</f>
        <v/>
      </c>
      <c r="I44" s="931">
        <f>I46/I6</f>
        <v/>
      </c>
      <c r="J44" s="931">
        <f>J46/J6</f>
        <v/>
      </c>
      <c r="K44" s="931">
        <f>K46/K6</f>
        <v/>
      </c>
      <c r="L44" s="931">
        <f>L46/L6</f>
        <v/>
      </c>
      <c r="M44" s="929">
        <f>M46/M6</f>
        <v/>
      </c>
      <c r="N44" s="931">
        <f>N46/N6</f>
        <v/>
      </c>
      <c r="O44" s="931">
        <f>O46/O6</f>
        <v/>
      </c>
      <c r="P44" s="931">
        <f>P46/P6</f>
        <v/>
      </c>
      <c r="Q44" s="931">
        <f>Q46/Q6</f>
        <v/>
      </c>
      <c r="R44" s="929">
        <f>R46/R6</f>
        <v/>
      </c>
      <c r="S44" s="931">
        <f>S46/S6</f>
        <v/>
      </c>
      <c r="T44" s="931">
        <f>T46/T6</f>
        <v/>
      </c>
      <c r="U44" s="931">
        <f>U46/U6</f>
        <v/>
      </c>
      <c r="V44" s="931">
        <f>V46/V6</f>
        <v/>
      </c>
      <c r="W44" s="931">
        <f>W46/W6</f>
        <v/>
      </c>
      <c r="X44" s="929">
        <f>X46/X6</f>
        <v/>
      </c>
      <c r="Y44" s="931">
        <f>Y46/Y6</f>
        <v/>
      </c>
      <c r="Z44" s="931">
        <f>Z46/Z6</f>
        <v/>
      </c>
      <c r="AA44" s="931">
        <f>AA46/AA6</f>
        <v/>
      </c>
      <c r="AB44" s="931">
        <f>AB46/AB6</f>
        <v/>
      </c>
      <c r="AC44" s="931">
        <f>AC46/AC6</f>
        <v/>
      </c>
      <c r="AD44" s="929" t="n"/>
      <c r="AE44" s="931" t="n"/>
      <c r="AF44" s="931" t="n"/>
      <c r="AG44" s="931" t="n"/>
      <c r="AH44" s="931" t="n"/>
      <c r="AI44" s="931" t="n"/>
      <c r="AJ44" s="938" t="n"/>
      <c r="AK44" s="929" t="n"/>
      <c r="AL44" s="931" t="n"/>
      <c r="AM44" s="931" t="n"/>
      <c r="AN44" s="931" t="n"/>
      <c r="AO44" s="931" t="n"/>
      <c r="AP44" s="938" t="n"/>
      <c r="AQ44" s="929" t="n"/>
      <c r="AR44" s="931" t="n"/>
      <c r="AS44" s="931" t="n"/>
      <c r="AT44" s="931" t="n"/>
      <c r="AU44" s="931" t="n"/>
      <c r="AV44" s="938" t="n"/>
      <c r="AW44" s="929" t="n"/>
      <c r="AX44" s="931" t="n"/>
      <c r="AY44" s="931" t="n"/>
      <c r="AZ44" s="931" t="n"/>
      <c r="BA44" s="931" t="n"/>
      <c r="BB44" s="931" t="n"/>
      <c r="BC44" s="931" t="n"/>
      <c r="BD44" s="929" t="n"/>
      <c r="BE44" s="931" t="n"/>
      <c r="BF44" s="931" t="n"/>
      <c r="BG44" s="931" t="n"/>
      <c r="BH44" s="931" t="n"/>
      <c r="BI44" s="931" t="n"/>
      <c r="BJ44" s="929" t="n"/>
      <c r="BK44" s="931" t="n"/>
      <c r="BL44" s="931" t="n"/>
      <c r="BM44" s="931" t="n"/>
      <c r="BN44" s="931" t="n"/>
      <c r="BO44" s="938" t="n"/>
      <c r="BP44" s="929" t="n"/>
      <c r="BQ44" s="931" t="n"/>
      <c r="BR44" s="931" t="n"/>
      <c r="BS44" s="931" t="n"/>
      <c r="BT44" s="931" t="n"/>
      <c r="BU44" s="938" t="n"/>
      <c r="BV44" s="929" t="n"/>
      <c r="BW44" s="931" t="n"/>
      <c r="BX44" s="931" t="n"/>
      <c r="BY44" s="931" t="n"/>
      <c r="BZ44" s="931" t="n"/>
      <c r="CA44" s="939" t="n"/>
    </row>
    <row r="45" ht="16.5" customHeight="1" s="838">
      <c r="B45" s="756" t="n"/>
      <c r="C45" s="738" t="n"/>
      <c r="D45" s="735" t="n"/>
      <c r="E45" s="736" t="n"/>
      <c r="F45" s="754" t="inlineStr">
        <is>
          <t>실적</t>
        </is>
      </c>
      <c r="G45" s="929">
        <f>G47/G7</f>
        <v/>
      </c>
      <c r="H45" s="922">
        <f>H47/H7</f>
        <v/>
      </c>
      <c r="I45" s="922">
        <f>I47/I7</f>
        <v/>
      </c>
      <c r="J45" s="922">
        <f>J47/J7</f>
        <v/>
      </c>
      <c r="K45" s="922">
        <f>K47/K7</f>
        <v/>
      </c>
      <c r="L45" s="922">
        <f>L47/L7</f>
        <v/>
      </c>
      <c r="M45" s="929">
        <f>M47/M7</f>
        <v/>
      </c>
      <c r="N45" s="931">
        <f>N47/N7</f>
        <v/>
      </c>
      <c r="O45" s="931">
        <f>O47/O7</f>
        <v/>
      </c>
      <c r="P45" s="931">
        <f>P47/P7</f>
        <v/>
      </c>
      <c r="Q45" s="931">
        <f>Q47/Q7</f>
        <v/>
      </c>
      <c r="R45" s="921">
        <f>R47/R7</f>
        <v/>
      </c>
      <c r="S45" s="922">
        <f>S47/S7</f>
        <v/>
      </c>
      <c r="T45" s="922">
        <f>T47/T7</f>
        <v/>
      </c>
      <c r="U45" s="922">
        <f>U47/U7</f>
        <v/>
      </c>
      <c r="V45" s="922">
        <f>V47/V7</f>
        <v/>
      </c>
      <c r="W45" s="922">
        <f>W47/W7</f>
        <v/>
      </c>
      <c r="X45" s="921">
        <f>X47/X7</f>
        <v/>
      </c>
      <c r="Y45" s="922">
        <f>Y47/Y7</f>
        <v/>
      </c>
      <c r="Z45" s="922">
        <f>Z47/Z7</f>
        <v/>
      </c>
      <c r="AA45" s="922">
        <f>AA47/AA7</f>
        <v/>
      </c>
      <c r="AB45" s="922">
        <f>AB47/AB7</f>
        <v/>
      </c>
      <c r="AC45" s="922">
        <f>AC47/AC7</f>
        <v/>
      </c>
      <c r="AD45" s="921" t="n"/>
      <c r="AE45" s="922" t="n"/>
      <c r="AF45" s="922" t="n"/>
      <c r="AG45" s="922" t="n"/>
      <c r="AH45" s="922" t="n"/>
      <c r="AI45" s="922" t="n"/>
      <c r="AJ45" s="923" t="n"/>
      <c r="AK45" s="921" t="n"/>
      <c r="AL45" s="922" t="n"/>
      <c r="AM45" s="922" t="n"/>
      <c r="AN45" s="922" t="n"/>
      <c r="AO45" s="922" t="n"/>
      <c r="AP45" s="923" t="n"/>
      <c r="AQ45" s="167" t="n"/>
      <c r="AR45" s="168" t="n"/>
      <c r="AS45" s="168" t="n"/>
      <c r="AT45" s="168" t="n"/>
      <c r="AU45" s="168" t="n"/>
      <c r="AV45" s="169" t="n"/>
      <c r="AW45" s="132" t="n"/>
      <c r="AX45" s="133" t="n"/>
      <c r="AY45" s="133" t="n"/>
      <c r="AZ45" s="133" t="n"/>
      <c r="BA45" s="133" t="n"/>
      <c r="BB45" s="133" t="n"/>
      <c r="BC45" s="133" t="n"/>
      <c r="BD45" s="132" t="n"/>
      <c r="BE45" s="133" t="n"/>
      <c r="BF45" s="133" t="n"/>
      <c r="BG45" s="133" t="n"/>
      <c r="BH45" s="133" t="n"/>
      <c r="BI45" s="133" t="n"/>
      <c r="BJ45" s="132" t="n"/>
      <c r="BK45" s="133" t="n"/>
      <c r="BL45" s="133" t="n"/>
      <c r="BM45" s="133" t="n"/>
      <c r="BN45" s="133" t="n"/>
      <c r="BO45" s="134" t="n"/>
      <c r="BP45" s="132" t="n"/>
      <c r="BQ45" s="133" t="n"/>
      <c r="BR45" s="133" t="n"/>
      <c r="BS45" s="133" t="n"/>
      <c r="BT45" s="133" t="n"/>
      <c r="BU45" s="134" t="n"/>
      <c r="BV45" s="132" t="n"/>
      <c r="BW45" s="133" t="n"/>
      <c r="BX45" s="133" t="n"/>
      <c r="BY45" s="133" t="n"/>
      <c r="BZ45" s="133" t="n"/>
      <c r="CA45" s="135" t="n"/>
    </row>
    <row r="46" ht="16.5" customHeight="1" s="838">
      <c r="B46" s="756" t="n"/>
      <c r="C46" s="738" t="n"/>
      <c r="D46" s="733" t="inlineStr">
        <is>
          <t>VI 금액</t>
        </is>
      </c>
      <c r="E46" s="737" t="inlineStr">
        <is>
          <t>합계</t>
        </is>
      </c>
      <c r="F46" s="83" t="inlineStr">
        <is>
          <t>목표</t>
        </is>
      </c>
      <c r="G46" s="903">
        <f>SUM(G48,G50,G52)</f>
        <v/>
      </c>
      <c r="H46" s="904">
        <f>SUM(H48,H50,H52)</f>
        <v/>
      </c>
      <c r="I46" s="904">
        <f>SUM(I48,I50,I52)</f>
        <v/>
      </c>
      <c r="J46" s="904">
        <f>SUM(J48,J50,J52)</f>
        <v/>
      </c>
      <c r="K46" s="904">
        <f>SUM(K48,K50,K52)</f>
        <v/>
      </c>
      <c r="L46" s="904">
        <f>SUM(L48,L50,L52)</f>
        <v/>
      </c>
      <c r="M46" s="903">
        <f>SUM(M48,M50,M52)</f>
        <v/>
      </c>
      <c r="N46" s="904">
        <f>SUM(N48,N50,N52)</f>
        <v/>
      </c>
      <c r="O46" s="904">
        <f>SUM(O48,O50,O52)</f>
        <v/>
      </c>
      <c r="P46" s="904">
        <f>SUM(P48,P50,P52)</f>
        <v/>
      </c>
      <c r="Q46" s="904">
        <f>SUM(Q48,Q50,Q52)</f>
        <v/>
      </c>
      <c r="R46" s="903">
        <f>SUM(R48,R50,R52)</f>
        <v/>
      </c>
      <c r="S46" s="904">
        <f>SUM(S48,S50,S52)</f>
        <v/>
      </c>
      <c r="T46" s="904">
        <f>SUM(T48,T50,T52)</f>
        <v/>
      </c>
      <c r="U46" s="904">
        <f>SUM(U48,U50,U52)</f>
        <v/>
      </c>
      <c r="V46" s="904">
        <f>SUM(V48,V50,V52)</f>
        <v/>
      </c>
      <c r="W46" s="904">
        <f>SUM(W48,W50,W52)</f>
        <v/>
      </c>
      <c r="X46" s="903">
        <f>SUM(X48,X50,X52)</f>
        <v/>
      </c>
      <c r="Y46" s="904">
        <f>SUM(Y48,Y50,Y52)</f>
        <v/>
      </c>
      <c r="Z46" s="904">
        <f>SUM(Z48,Z50,Z52)</f>
        <v/>
      </c>
      <c r="AA46" s="904">
        <f>SUM(AA48,AA50,AA52)</f>
        <v/>
      </c>
      <c r="AB46" s="904">
        <f>SUM(AB48,AB50,AB52)</f>
        <v/>
      </c>
      <c r="AC46" s="904">
        <f>SUM(AC48,AC50,AC52)</f>
        <v/>
      </c>
      <c r="AD46" s="903" t="n"/>
      <c r="AE46" s="904" t="n"/>
      <c r="AF46" s="904" t="n"/>
      <c r="AG46" s="904" t="n"/>
      <c r="AH46" s="904" t="n"/>
      <c r="AI46" s="904" t="n"/>
      <c r="AJ46" s="905" t="n"/>
      <c r="AK46" s="903" t="n"/>
      <c r="AL46" s="904" t="n"/>
      <c r="AM46" s="904" t="n"/>
      <c r="AN46" s="904" t="n"/>
      <c r="AO46" s="904" t="n"/>
      <c r="AP46" s="905" t="n"/>
      <c r="AQ46" s="903" t="n"/>
      <c r="AR46" s="904" t="n"/>
      <c r="AS46" s="904" t="n"/>
      <c r="AT46" s="904" t="n"/>
      <c r="AU46" s="904" t="n"/>
      <c r="AV46" s="905" t="n"/>
      <c r="AW46" s="903" t="n"/>
      <c r="AX46" s="904" t="n"/>
      <c r="AY46" s="904" t="n"/>
      <c r="AZ46" s="904" t="n"/>
      <c r="BA46" s="904" t="n"/>
      <c r="BB46" s="904" t="n"/>
      <c r="BC46" s="904" t="n"/>
      <c r="BD46" s="903" t="n"/>
      <c r="BE46" s="904" t="n"/>
      <c r="BF46" s="904" t="n"/>
      <c r="BG46" s="904" t="n"/>
      <c r="BH46" s="904" t="n"/>
      <c r="BI46" s="904" t="n"/>
      <c r="BJ46" s="903" t="n"/>
      <c r="BK46" s="904" t="n"/>
      <c r="BL46" s="904" t="n"/>
      <c r="BM46" s="904" t="n"/>
      <c r="BN46" s="904" t="n"/>
      <c r="BO46" s="905" t="n"/>
      <c r="BP46" s="903" t="n"/>
      <c r="BQ46" s="904" t="n"/>
      <c r="BR46" s="904" t="n"/>
      <c r="BS46" s="904" t="n"/>
      <c r="BT46" s="904" t="n"/>
      <c r="BU46" s="905" t="n"/>
      <c r="BV46" s="903" t="n"/>
      <c r="BW46" s="904" t="n"/>
      <c r="BX46" s="904" t="n"/>
      <c r="BY46" s="904" t="n"/>
      <c r="BZ46" s="904" t="n"/>
      <c r="CA46" s="936" t="n"/>
    </row>
    <row r="47" ht="16.5" customHeight="1" s="838">
      <c r="B47" s="756" t="n"/>
      <c r="C47" s="738" t="n"/>
      <c r="D47" s="738" t="n"/>
      <c r="E47" s="739" t="n"/>
      <c r="F47" s="754" t="inlineStr">
        <is>
          <t>실적</t>
        </is>
      </c>
      <c r="G47" s="896">
        <f>SUM(G49,G51,G53)</f>
        <v/>
      </c>
      <c r="H47" s="897">
        <f>SUM(H49,H51,H53)</f>
        <v/>
      </c>
      <c r="I47" s="897">
        <f>SUM(I49,I51,I53)</f>
        <v/>
      </c>
      <c r="J47" s="897">
        <f>SUM(J49,J51,J53)</f>
        <v/>
      </c>
      <c r="K47" s="897">
        <f>SUM(K49,K51,K53)</f>
        <v/>
      </c>
      <c r="L47" s="897">
        <f>SUM(L49,L51,L53)</f>
        <v/>
      </c>
      <c r="M47" s="896">
        <f>SUM(M49,M51,M53)</f>
        <v/>
      </c>
      <c r="N47" s="897">
        <f>SUM(N49,N51,N53)</f>
        <v/>
      </c>
      <c r="O47" s="897">
        <f>SUM(O49,O51,O53)</f>
        <v/>
      </c>
      <c r="P47" s="897">
        <f>SUM(P49,P51,P53)</f>
        <v/>
      </c>
      <c r="Q47" s="897">
        <f>SUM(Q49,Q51,Q53)</f>
        <v/>
      </c>
      <c r="R47" s="896">
        <f>SUM(R49,R51,R53)</f>
        <v/>
      </c>
      <c r="S47" s="897">
        <f>SUM(S49,S51,S53)</f>
        <v/>
      </c>
      <c r="T47" s="897">
        <f>SUM(T49,T51,T53)</f>
        <v/>
      </c>
      <c r="U47" s="897">
        <f>SUM(U49,U51,U53)</f>
        <v/>
      </c>
      <c r="V47" s="897">
        <f>SUM(V49,V51,V53)</f>
        <v/>
      </c>
      <c r="W47" s="897">
        <f>SUM(W49,W51,W53)</f>
        <v/>
      </c>
      <c r="X47" s="896">
        <f>SUM(X49,X51,X53)</f>
        <v/>
      </c>
      <c r="Y47" s="897">
        <f>SUM(Y49,Y51,Y53)</f>
        <v/>
      </c>
      <c r="Z47" s="897">
        <f>SUM(Z49,Z51,Z53)</f>
        <v/>
      </c>
      <c r="AA47" s="897">
        <f>SUM(AA49,AA51,AA53)</f>
        <v/>
      </c>
      <c r="AB47" s="897">
        <f>SUM(AB49,AB51,AB53)</f>
        <v/>
      </c>
      <c r="AC47" s="897">
        <f>SUM(AC49,AC51,AC53)</f>
        <v/>
      </c>
      <c r="AD47" s="896" t="n"/>
      <c r="AE47" s="897" t="n"/>
      <c r="AF47" s="897" t="n"/>
      <c r="AG47" s="897" t="n"/>
      <c r="AH47" s="897" t="n"/>
      <c r="AI47" s="897" t="n"/>
      <c r="AJ47" s="898" t="n"/>
      <c r="AK47" s="896" t="n"/>
      <c r="AL47" s="897" t="n"/>
      <c r="AM47" s="897" t="n"/>
      <c r="AN47" s="897" t="n"/>
      <c r="AO47" s="897" t="n"/>
      <c r="AP47" s="898" t="n"/>
      <c r="AQ47" s="896" t="n"/>
      <c r="AR47" s="897" t="n"/>
      <c r="AS47" s="897" t="n"/>
      <c r="AT47" s="897" t="n"/>
      <c r="AU47" s="897" t="n"/>
      <c r="AV47" s="898" t="n"/>
      <c r="AW47" s="896" t="n"/>
      <c r="AX47" s="897" t="n"/>
      <c r="AY47" s="897" t="n"/>
      <c r="AZ47" s="897" t="n"/>
      <c r="BA47" s="897" t="n"/>
      <c r="BB47" s="897" t="n"/>
      <c r="BC47" s="897" t="n"/>
      <c r="BD47" s="896" t="n"/>
      <c r="BE47" s="897" t="n"/>
      <c r="BF47" s="897" t="n"/>
      <c r="BG47" s="897" t="n"/>
      <c r="BH47" s="897" t="n"/>
      <c r="BI47" s="897" t="n"/>
      <c r="BJ47" s="132" t="n"/>
      <c r="BK47" s="133" t="n"/>
      <c r="BL47" s="133" t="n"/>
      <c r="BM47" s="133" t="n"/>
      <c r="BN47" s="133" t="n"/>
      <c r="BO47" s="134" t="n"/>
      <c r="BP47" s="132" t="n"/>
      <c r="BQ47" s="133" t="n"/>
      <c r="BR47" s="133" t="n"/>
      <c r="BS47" s="133" t="n"/>
      <c r="BT47" s="133" t="n"/>
      <c r="BU47" s="134" t="n"/>
      <c r="BV47" s="132" t="n"/>
      <c r="BW47" s="133" t="n"/>
      <c r="BX47" s="133" t="n"/>
      <c r="BY47" s="133" t="n"/>
      <c r="BZ47" s="133" t="n"/>
      <c r="CA47" s="135" t="n"/>
    </row>
    <row r="48" ht="16.5" customHeight="1" s="838">
      <c r="B48" s="756" t="n"/>
      <c r="C48" s="738" t="n"/>
      <c r="D48" s="738" t="n"/>
      <c r="E48" s="737" t="inlineStr">
        <is>
          <t>양산부품</t>
        </is>
      </c>
      <c r="F48" s="83" t="inlineStr">
        <is>
          <t>목표</t>
        </is>
      </c>
      <c r="G48" s="903" t="n">
        <v>16.647</v>
      </c>
      <c r="H48" s="904" t="n">
        <v>16.647</v>
      </c>
      <c r="I48" s="904" t="n">
        <v>16.647</v>
      </c>
      <c r="J48" s="904" t="n">
        <v>16.647</v>
      </c>
      <c r="K48" s="904" t="n">
        <v>16.647</v>
      </c>
      <c r="L48" s="904" t="n">
        <v>16.647</v>
      </c>
      <c r="M48" s="903" t="n">
        <v>22.955261</v>
      </c>
      <c r="N48" s="904" t="n">
        <v>22.955261</v>
      </c>
      <c r="O48" s="904" t="n">
        <v>22.955261</v>
      </c>
      <c r="P48" s="904" t="n">
        <v>22.955261</v>
      </c>
      <c r="Q48" s="904" t="n">
        <v>22.955261</v>
      </c>
      <c r="R48" s="903" t="n">
        <v>26.334313</v>
      </c>
      <c r="S48" s="904" t="n">
        <v>26.334313</v>
      </c>
      <c r="T48" s="904" t="n">
        <v>26.334313</v>
      </c>
      <c r="U48" s="904" t="n">
        <v>26.334313</v>
      </c>
      <c r="V48" s="904" t="n">
        <v>26.334313</v>
      </c>
      <c r="W48" s="904" t="n">
        <v>26.334313</v>
      </c>
      <c r="X48" s="903" t="n">
        <v>53.469417</v>
      </c>
      <c r="Y48" s="904" t="n">
        <v>53.469417</v>
      </c>
      <c r="Z48" s="904" t="n">
        <v>53.469417</v>
      </c>
      <c r="AA48" s="904" t="n">
        <v>53.469417</v>
      </c>
      <c r="AB48" s="904" t="n">
        <v>53.469417</v>
      </c>
      <c r="AC48" s="904" t="n">
        <v>53.469417</v>
      </c>
      <c r="AD48" s="903" t="n"/>
      <c r="AE48" s="904" t="n"/>
      <c r="AF48" s="904" t="n"/>
      <c r="AG48" s="904" t="n"/>
      <c r="AH48" s="904" t="n"/>
      <c r="AI48" s="904" t="n"/>
      <c r="AJ48" s="905" t="n"/>
      <c r="AK48" s="903" t="n"/>
      <c r="AL48" s="904" t="n"/>
      <c r="AM48" s="904" t="n"/>
      <c r="AN48" s="904" t="n"/>
      <c r="AO48" s="904" t="n"/>
      <c r="AP48" s="905" t="n"/>
      <c r="AQ48" s="903" t="n"/>
      <c r="AR48" s="904" t="n"/>
      <c r="AS48" s="904" t="n"/>
      <c r="AT48" s="904" t="n"/>
      <c r="AU48" s="904" t="n"/>
      <c r="AV48" s="905" t="n"/>
      <c r="AW48" s="903" t="n"/>
      <c r="AX48" s="904" t="n"/>
      <c r="AY48" s="904" t="n"/>
      <c r="AZ48" s="904" t="n"/>
      <c r="BA48" s="904" t="n"/>
      <c r="BB48" s="904" t="n"/>
      <c r="BC48" s="904" t="n"/>
      <c r="BD48" s="903" t="n"/>
      <c r="BE48" s="904" t="n"/>
      <c r="BF48" s="904" t="n"/>
      <c r="BG48" s="904" t="n"/>
      <c r="BH48" s="904" t="n"/>
      <c r="BI48" s="904" t="n"/>
      <c r="BJ48" s="903" t="n"/>
      <c r="BK48" s="904" t="n"/>
      <c r="BL48" s="904" t="n"/>
      <c r="BM48" s="904" t="n"/>
      <c r="BN48" s="904" t="n"/>
      <c r="BO48" s="905" t="n"/>
      <c r="BP48" s="903" t="n"/>
      <c r="BQ48" s="904" t="n"/>
      <c r="BR48" s="904" t="n"/>
      <c r="BS48" s="904" t="n"/>
      <c r="BT48" s="904" t="n"/>
      <c r="BU48" s="905" t="n"/>
      <c r="BV48" s="903" t="n"/>
      <c r="BW48" s="904" t="n"/>
      <c r="BX48" s="904" t="n"/>
      <c r="BY48" s="904" t="n"/>
      <c r="BZ48" s="904" t="n"/>
      <c r="CA48" s="936" t="n"/>
    </row>
    <row r="49" ht="16.5" customHeight="1" s="838">
      <c r="B49" s="756" t="n"/>
      <c r="C49" s="738" t="n"/>
      <c r="D49" s="738" t="n"/>
      <c r="E49" s="739" t="n"/>
      <c r="F49" s="754" t="inlineStr">
        <is>
          <t>실적</t>
        </is>
      </c>
      <c r="G49" s="896" t="n">
        <v>29.344</v>
      </c>
      <c r="H49" s="897" t="n">
        <v>16.647</v>
      </c>
      <c r="I49" s="897" t="n">
        <v>16.647</v>
      </c>
      <c r="J49" s="897" t="n">
        <v>16.647</v>
      </c>
      <c r="K49" s="897" t="n">
        <v>16.647</v>
      </c>
      <c r="L49" s="897" t="n">
        <v>16.647</v>
      </c>
      <c r="M49" s="896" t="n">
        <v>23.822641</v>
      </c>
      <c r="N49" s="897" t="n">
        <v>38.133</v>
      </c>
      <c r="O49" s="897" t="n">
        <v>38.133</v>
      </c>
      <c r="P49" s="897" t="n">
        <v>21.076</v>
      </c>
      <c r="Q49" s="897" t="n">
        <v>38.133</v>
      </c>
      <c r="R49" s="896">
        <f>W49</f>
        <v/>
      </c>
      <c r="S49" s="897" t="n">
        <v>20</v>
      </c>
      <c r="T49" s="897" t="n">
        <v>38.133</v>
      </c>
      <c r="U49" s="897" t="n">
        <v>34.608308</v>
      </c>
      <c r="V49" s="897" t="n">
        <v>34.608308</v>
      </c>
      <c r="W49" s="897" t="n">
        <v>36.366</v>
      </c>
      <c r="X49" s="896" t="n">
        <v>58.486</v>
      </c>
      <c r="Y49" s="897" t="n">
        <v>52.531</v>
      </c>
      <c r="Z49" s="897" t="n">
        <v>52.531</v>
      </c>
      <c r="AA49" s="897" t="n">
        <v>52.531</v>
      </c>
      <c r="AB49" s="897" t="n">
        <v>61.561</v>
      </c>
      <c r="AC49" s="897" t="n">
        <v>52.531</v>
      </c>
      <c r="AD49" s="896" t="n"/>
      <c r="AE49" s="897" t="n"/>
      <c r="AF49" s="897" t="n"/>
      <c r="AG49" s="897" t="n"/>
      <c r="AH49" s="897" t="n"/>
      <c r="AI49" s="897" t="n"/>
      <c r="AJ49" s="898" t="n"/>
      <c r="AK49" s="896" t="n"/>
      <c r="AL49" s="897" t="n"/>
      <c r="AM49" s="897" t="n"/>
      <c r="AN49" s="897" t="n"/>
      <c r="AO49" s="897" t="n"/>
      <c r="AP49" s="898" t="n"/>
      <c r="AQ49" s="896" t="n"/>
      <c r="AR49" s="897" t="n"/>
      <c r="AS49" s="897" t="n"/>
      <c r="AT49" s="897" t="n"/>
      <c r="AU49" s="897" t="n"/>
      <c r="AV49" s="898" t="n"/>
      <c r="AW49" s="896" t="n"/>
      <c r="AX49" s="897" t="n"/>
      <c r="AY49" s="897" t="n"/>
      <c r="AZ49" s="897" t="n"/>
      <c r="BA49" s="897" t="n"/>
      <c r="BB49" s="897" t="n"/>
      <c r="BC49" s="897" t="n"/>
      <c r="BD49" s="896" t="n"/>
      <c r="BE49" s="897" t="n"/>
      <c r="BF49" s="897" t="n"/>
      <c r="BG49" s="897" t="n"/>
      <c r="BH49" s="897" t="n"/>
      <c r="BI49" s="897" t="n"/>
      <c r="BJ49" s="896" t="n"/>
      <c r="BK49" s="897" t="n"/>
      <c r="BL49" s="897" t="n"/>
      <c r="BM49" s="897" t="n"/>
      <c r="BN49" s="897" t="n"/>
      <c r="BO49" s="898" t="n"/>
      <c r="BP49" s="896" t="n"/>
      <c r="BQ49" s="897" t="n"/>
      <c r="BR49" s="897" t="n"/>
      <c r="BS49" s="897" t="n"/>
      <c r="BT49" s="897" t="n"/>
      <c r="BU49" s="898" t="n"/>
      <c r="BV49" s="896" t="n"/>
      <c r="BW49" s="897" t="n"/>
      <c r="BX49" s="897" t="n"/>
      <c r="BY49" s="897" t="n"/>
      <c r="BZ49" s="897" t="n"/>
      <c r="CA49" s="924" t="n"/>
    </row>
    <row r="50" ht="16.5" customHeight="1" s="838">
      <c r="B50" s="756" t="n"/>
      <c r="C50" s="738" t="n"/>
      <c r="D50" s="738" t="n"/>
      <c r="E50" s="737" t="inlineStr">
        <is>
          <t>개발모델</t>
        </is>
      </c>
      <c r="F50" s="83" t="inlineStr">
        <is>
          <t>목표</t>
        </is>
      </c>
      <c r="G50" s="903" t="n">
        <v>5.29062123</v>
      </c>
      <c r="H50" s="904" t="n">
        <v>5.29062123</v>
      </c>
      <c r="I50" s="904" t="n">
        <v>5.29062123</v>
      </c>
      <c r="J50" s="904" t="n">
        <v>5.29062123</v>
      </c>
      <c r="K50" s="904" t="n">
        <v>5.29062123</v>
      </c>
      <c r="L50" s="904" t="n">
        <v>5.29062123</v>
      </c>
      <c r="M50" s="903" t="n">
        <v>10.52919344</v>
      </c>
      <c r="N50" s="904" t="n">
        <v>10.52919344</v>
      </c>
      <c r="O50" s="904" t="n">
        <v>10.52919344</v>
      </c>
      <c r="P50" s="904" t="n">
        <v>10.52919344</v>
      </c>
      <c r="Q50" s="904" t="n">
        <v>10.52919344</v>
      </c>
      <c r="R50" s="903" t="n">
        <v>12.616058</v>
      </c>
      <c r="S50" s="904" t="n">
        <v>12.616058</v>
      </c>
      <c r="T50" s="904" t="n">
        <v>12.616058</v>
      </c>
      <c r="U50" s="904" t="n">
        <v>12.616058</v>
      </c>
      <c r="V50" s="904" t="n">
        <v>12.616058</v>
      </c>
      <c r="W50" s="904" t="n">
        <v>12.616058</v>
      </c>
      <c r="X50" s="903" t="n">
        <v>67.75824799999999</v>
      </c>
      <c r="Y50" s="904" t="n">
        <v>67.75824799999999</v>
      </c>
      <c r="Z50" s="904" t="n">
        <v>67.75824799999999</v>
      </c>
      <c r="AA50" s="904" t="n">
        <v>67.75824799999999</v>
      </c>
      <c r="AB50" s="904" t="n">
        <v>67.75824799999999</v>
      </c>
      <c r="AC50" s="904" t="n">
        <v>67.75824799999999</v>
      </c>
      <c r="AD50" s="903" t="n"/>
      <c r="AE50" s="904" t="n"/>
      <c r="AF50" s="904" t="n"/>
      <c r="AG50" s="904" t="n"/>
      <c r="AH50" s="904" t="n"/>
      <c r="AI50" s="904" t="n"/>
      <c r="AJ50" s="905" t="n"/>
      <c r="AK50" s="903" t="n"/>
      <c r="AL50" s="904" t="n"/>
      <c r="AM50" s="904" t="n"/>
      <c r="AN50" s="904" t="n"/>
      <c r="AO50" s="904" t="n"/>
      <c r="AP50" s="905" t="n"/>
      <c r="AQ50" s="903" t="n"/>
      <c r="AR50" s="904" t="n"/>
      <c r="AS50" s="904" t="n"/>
      <c r="AT50" s="904" t="n"/>
      <c r="AU50" s="904" t="n"/>
      <c r="AV50" s="905" t="n"/>
      <c r="AW50" s="903" t="n"/>
      <c r="AX50" s="904" t="n"/>
      <c r="AY50" s="904" t="n"/>
      <c r="AZ50" s="904" t="n"/>
      <c r="BA50" s="904" t="n"/>
      <c r="BB50" s="904" t="n"/>
      <c r="BC50" s="904" t="n"/>
      <c r="BD50" s="903" t="n"/>
      <c r="BE50" s="904" t="n"/>
      <c r="BF50" s="904" t="n"/>
      <c r="BG50" s="904" t="n"/>
      <c r="BH50" s="904" t="n"/>
      <c r="BI50" s="904" t="n"/>
      <c r="BJ50" s="903" t="n"/>
      <c r="BK50" s="904" t="n"/>
      <c r="BL50" s="904" t="n"/>
      <c r="BM50" s="904" t="n"/>
      <c r="BN50" s="904" t="n"/>
      <c r="BO50" s="905" t="n"/>
      <c r="BP50" s="903" t="n"/>
      <c r="BQ50" s="904" t="n"/>
      <c r="BR50" s="904" t="n"/>
      <c r="BS50" s="904" t="n"/>
      <c r="BT50" s="904" t="n"/>
      <c r="BU50" s="905" t="n"/>
      <c r="BV50" s="903" t="n"/>
      <c r="BW50" s="904" t="n"/>
      <c r="BX50" s="904" t="n"/>
      <c r="BY50" s="904" t="n"/>
      <c r="BZ50" s="904" t="n"/>
      <c r="CA50" s="936" t="n"/>
    </row>
    <row r="51" ht="16.5" customHeight="1" s="838">
      <c r="B51" s="756" t="n"/>
      <c r="C51" s="738" t="n"/>
      <c r="D51" s="738" t="n"/>
      <c r="E51" s="739" t="n"/>
      <c r="F51" s="754" t="inlineStr">
        <is>
          <t>실적</t>
        </is>
      </c>
      <c r="G51" s="896" t="n">
        <v>23.718753</v>
      </c>
      <c r="H51" s="897" t="n">
        <v>5.29062123</v>
      </c>
      <c r="I51" s="897" t="n">
        <v>5.29062123</v>
      </c>
      <c r="J51" s="897" t="n">
        <v>5.29062123</v>
      </c>
      <c r="K51" s="897" t="n">
        <v>5.29062123</v>
      </c>
      <c r="L51" s="897" t="n">
        <v>5.29062123</v>
      </c>
      <c r="M51" s="896" t="n">
        <v>39.638811</v>
      </c>
      <c r="N51" s="897" t="n">
        <v>18.131435</v>
      </c>
      <c r="O51" s="897" t="n">
        <v>18.131435</v>
      </c>
      <c r="P51" s="897" t="n">
        <v>26.055</v>
      </c>
      <c r="Q51" s="897" t="n">
        <v>18.131435</v>
      </c>
      <c r="R51" s="896" t="n">
        <v>67.608802</v>
      </c>
      <c r="S51" s="897" t="n">
        <v>47.49699</v>
      </c>
      <c r="T51" s="897" t="n">
        <v>47.49699</v>
      </c>
      <c r="U51" s="897" t="n">
        <v>85.390141</v>
      </c>
      <c r="V51" s="897" t="n">
        <v>85.390141</v>
      </c>
      <c r="W51" s="897" t="n">
        <v>20.160804</v>
      </c>
      <c r="X51" s="896" t="n">
        <v>66.38511099999999</v>
      </c>
      <c r="Y51" s="897" t="n">
        <v>67.75824799999999</v>
      </c>
      <c r="Z51" s="897" t="n">
        <v>67.75824799999999</v>
      </c>
      <c r="AA51" s="897" t="n">
        <v>67.75824799999999</v>
      </c>
      <c r="AB51" s="897" t="n">
        <v>66.040119</v>
      </c>
      <c r="AC51" s="897" t="n">
        <v>67.75824799999999</v>
      </c>
      <c r="AD51" s="896" t="n"/>
      <c r="AE51" s="897" t="n"/>
      <c r="AF51" s="897" t="n"/>
      <c r="AG51" s="897" t="n"/>
      <c r="AH51" s="897" t="n"/>
      <c r="AI51" s="897" t="n"/>
      <c r="AJ51" s="898" t="n"/>
      <c r="AK51" s="896" t="n"/>
      <c r="AL51" s="897" t="n"/>
      <c r="AM51" s="897" t="n"/>
      <c r="AN51" s="897" t="n"/>
      <c r="AO51" s="897" t="n"/>
      <c r="AP51" s="898" t="n"/>
      <c r="AQ51" s="896" t="n"/>
      <c r="AR51" s="897" t="n"/>
      <c r="AS51" s="897" t="n"/>
      <c r="AT51" s="897" t="n"/>
      <c r="AU51" s="897" t="n"/>
      <c r="AV51" s="898" t="n"/>
      <c r="AW51" s="896" t="n"/>
      <c r="AX51" s="897" t="n"/>
      <c r="AY51" s="897" t="n"/>
      <c r="AZ51" s="897" t="n"/>
      <c r="BA51" s="897" t="n"/>
      <c r="BB51" s="897" t="n"/>
      <c r="BC51" s="897" t="n"/>
      <c r="BD51" s="896" t="n"/>
      <c r="BE51" s="897" t="n"/>
      <c r="BF51" s="897" t="n"/>
      <c r="BG51" s="897" t="n"/>
      <c r="BH51" s="897" t="n"/>
      <c r="BI51" s="897" t="n"/>
      <c r="BJ51" s="896" t="n"/>
      <c r="BK51" s="897" t="n"/>
      <c r="BL51" s="897" t="n"/>
      <c r="BM51" s="897" t="n"/>
      <c r="BN51" s="897" t="n"/>
      <c r="BO51" s="898" t="n"/>
      <c r="BP51" s="896" t="n"/>
      <c r="BQ51" s="897" t="n"/>
      <c r="BR51" s="897" t="n"/>
      <c r="BS51" s="897" t="n"/>
      <c r="BT51" s="897" t="n"/>
      <c r="BU51" s="898" t="n"/>
      <c r="BV51" s="896" t="n"/>
      <c r="BW51" s="897" t="n"/>
      <c r="BX51" s="897" t="n"/>
      <c r="BY51" s="897" t="n"/>
      <c r="BZ51" s="897" t="n"/>
      <c r="CA51" s="924" t="n"/>
    </row>
    <row r="52" ht="16.5" customHeight="1" s="838">
      <c r="B52" s="756" t="n"/>
      <c r="C52" s="738" t="n"/>
      <c r="D52" s="738" t="n"/>
      <c r="E52" s="737" t="inlineStr">
        <is>
          <t>아웃소싱</t>
        </is>
      </c>
      <c r="F52" s="83" t="inlineStr">
        <is>
          <t>목표</t>
        </is>
      </c>
      <c r="G52" s="903" t="n">
        <v>58.583102</v>
      </c>
      <c r="H52" s="904" t="n">
        <v>58.583102</v>
      </c>
      <c r="I52" s="904" t="n">
        <v>58.583102</v>
      </c>
      <c r="J52" s="904" t="n">
        <v>58.583102</v>
      </c>
      <c r="K52" s="904" t="n">
        <v>58.583102</v>
      </c>
      <c r="L52" s="904" t="n">
        <v>58.583102</v>
      </c>
      <c r="M52" s="903" t="n">
        <v>120.575884</v>
      </c>
      <c r="N52" s="904" t="n">
        <v>120.575884</v>
      </c>
      <c r="O52" s="904" t="n">
        <v>120.575884</v>
      </c>
      <c r="P52" s="904" t="n">
        <v>120.575884</v>
      </c>
      <c r="Q52" s="904" t="n">
        <v>120.575884</v>
      </c>
      <c r="R52" s="903" t="n">
        <v>100.410574</v>
      </c>
      <c r="S52" s="904" t="n">
        <v>100.410574</v>
      </c>
      <c r="T52" s="904" t="n">
        <v>100.410574</v>
      </c>
      <c r="U52" s="904" t="n">
        <v>100.410574</v>
      </c>
      <c r="V52" s="904" t="n">
        <v>100.410574</v>
      </c>
      <c r="W52" s="904" t="n">
        <v>100.410574</v>
      </c>
      <c r="X52" s="903" t="n">
        <v>212.679964</v>
      </c>
      <c r="Y52" s="904" t="n">
        <v>212.679964</v>
      </c>
      <c r="Z52" s="904" t="n">
        <v>212.679964</v>
      </c>
      <c r="AA52" s="904" t="n">
        <v>212.679964</v>
      </c>
      <c r="AB52" s="904" t="n">
        <v>212.679964</v>
      </c>
      <c r="AC52" s="904" t="n">
        <v>212.679964</v>
      </c>
      <c r="AD52" s="903" t="n"/>
      <c r="AE52" s="904" t="n"/>
      <c r="AF52" s="904" t="n"/>
      <c r="AG52" s="904" t="n"/>
      <c r="AH52" s="904" t="n"/>
      <c r="AI52" s="904" t="n"/>
      <c r="AJ52" s="905" t="n"/>
      <c r="AK52" s="903" t="n"/>
      <c r="AL52" s="904" t="n"/>
      <c r="AM52" s="904" t="n"/>
      <c r="AN52" s="904" t="n"/>
      <c r="AO52" s="904" t="n"/>
      <c r="AP52" s="905" t="n"/>
      <c r="AQ52" s="903" t="n"/>
      <c r="AR52" s="904" t="n"/>
      <c r="AS52" s="904" t="n"/>
      <c r="AT52" s="904" t="n"/>
      <c r="AU52" s="904" t="n"/>
      <c r="AV52" s="905" t="n"/>
      <c r="AW52" s="903" t="n"/>
      <c r="AX52" s="904" t="n"/>
      <c r="AY52" s="904" t="n"/>
      <c r="AZ52" s="904" t="n"/>
      <c r="BA52" s="904" t="n"/>
      <c r="BB52" s="904" t="n"/>
      <c r="BC52" s="904" t="n"/>
      <c r="BD52" s="903" t="n"/>
      <c r="BE52" s="904" t="n"/>
      <c r="BF52" s="904" t="n"/>
      <c r="BG52" s="904" t="n"/>
      <c r="BH52" s="904" t="n"/>
      <c r="BI52" s="904" t="n"/>
      <c r="BJ52" s="903" t="n"/>
      <c r="BK52" s="904" t="n"/>
      <c r="BL52" s="904" t="n"/>
      <c r="BM52" s="904" t="n"/>
      <c r="BN52" s="904" t="n"/>
      <c r="BO52" s="905" t="n"/>
      <c r="BP52" s="903" t="n"/>
      <c r="BQ52" s="904" t="n"/>
      <c r="BR52" s="904" t="n"/>
      <c r="BS52" s="904" t="n"/>
      <c r="BT52" s="904" t="n"/>
      <c r="BU52" s="905" t="n"/>
      <c r="BV52" s="903" t="n"/>
      <c r="BW52" s="904" t="n"/>
      <c r="BX52" s="904" t="n"/>
      <c r="BY52" s="904" t="n"/>
      <c r="BZ52" s="904" t="n"/>
      <c r="CA52" s="936" t="n"/>
    </row>
    <row r="53" ht="16.5" customHeight="1" s="838">
      <c r="B53" s="756" t="n"/>
      <c r="C53" s="739" t="n"/>
      <c r="D53" s="739" t="n"/>
      <c r="E53" s="739" t="n"/>
      <c r="F53" s="754" t="inlineStr">
        <is>
          <t>실적</t>
        </is>
      </c>
      <c r="G53" s="896" t="n">
        <v>192.881207</v>
      </c>
      <c r="H53" s="897" t="n">
        <v>58.583102</v>
      </c>
      <c r="I53" s="897" t="n">
        <v>58.583102</v>
      </c>
      <c r="J53" s="897" t="n">
        <v>58.583102</v>
      </c>
      <c r="K53" s="897" t="n">
        <v>58.583102</v>
      </c>
      <c r="L53" s="897" t="n">
        <v>58.583102</v>
      </c>
      <c r="M53" s="896" t="n">
        <v>138.68814</v>
      </c>
      <c r="N53" s="897" t="n">
        <v>112.572511</v>
      </c>
      <c r="O53" s="897" t="n">
        <v>86.816322</v>
      </c>
      <c r="P53" s="897" t="n">
        <v>112.791</v>
      </c>
      <c r="Q53" s="897" t="n">
        <v>86.816322</v>
      </c>
      <c r="R53" s="896" t="n">
        <v>119.125</v>
      </c>
      <c r="S53" s="897" t="n">
        <v>159.702468</v>
      </c>
      <c r="T53" s="897" t="n">
        <v>195.969923</v>
      </c>
      <c r="U53" s="897" t="n">
        <v>246.195641</v>
      </c>
      <c r="V53" s="897" t="n">
        <v>246.195641</v>
      </c>
      <c r="W53" s="897" t="n">
        <v>119.125</v>
      </c>
      <c r="X53" s="896" t="n">
        <v>100.285896</v>
      </c>
      <c r="Y53" s="897" t="n">
        <v>165.36204</v>
      </c>
      <c r="Z53" s="897" t="n">
        <v>191.469</v>
      </c>
      <c r="AA53" s="897" t="n">
        <v>191.469</v>
      </c>
      <c r="AB53" s="897" t="n">
        <v>191.469</v>
      </c>
      <c r="AC53" s="897" t="n">
        <v>191.469</v>
      </c>
      <c r="AD53" s="896" t="n"/>
      <c r="AE53" s="897" t="n"/>
      <c r="AF53" s="897" t="n"/>
      <c r="AG53" s="897" t="n"/>
      <c r="AH53" s="897" t="n"/>
      <c r="AI53" s="897" t="n"/>
      <c r="AJ53" s="898" t="n"/>
      <c r="AK53" s="896" t="n"/>
      <c r="AL53" s="897" t="n"/>
      <c r="AM53" s="897" t="n"/>
      <c r="AN53" s="897" t="n"/>
      <c r="AO53" s="897" t="n"/>
      <c r="AP53" s="898" t="n"/>
      <c r="AQ53" s="896" t="n"/>
      <c r="AR53" s="897" t="n"/>
      <c r="AS53" s="897" t="n"/>
      <c r="AT53" s="897" t="n"/>
      <c r="AU53" s="897" t="n"/>
      <c r="AV53" s="898" t="n"/>
      <c r="AW53" s="896" t="n"/>
      <c r="AX53" s="897" t="n"/>
      <c r="AY53" s="897" t="n"/>
      <c r="AZ53" s="897" t="n"/>
      <c r="BA53" s="897" t="n"/>
      <c r="BB53" s="897" t="n"/>
      <c r="BC53" s="897" t="n"/>
      <c r="BD53" s="896" t="n"/>
      <c r="BE53" s="897" t="n"/>
      <c r="BF53" s="897" t="n"/>
      <c r="BG53" s="897" t="n"/>
      <c r="BH53" s="897" t="n"/>
      <c r="BI53" s="897" t="n"/>
      <c r="BJ53" s="896" t="n"/>
      <c r="BK53" s="897" t="n"/>
      <c r="BL53" s="897" t="n"/>
      <c r="BM53" s="897" t="n"/>
      <c r="BN53" s="897" t="n"/>
      <c r="BO53" s="898" t="n"/>
      <c r="BP53" s="896" t="n"/>
      <c r="BQ53" s="897" t="n"/>
      <c r="BR53" s="897" t="n"/>
      <c r="BS53" s="897" t="n"/>
      <c r="BT53" s="897" t="n"/>
      <c r="BU53" s="898" t="n"/>
      <c r="BV53" s="896" t="n"/>
      <c r="BW53" s="897" t="n"/>
      <c r="BX53" s="897" t="n"/>
      <c r="BY53" s="897" t="n"/>
      <c r="BZ53" s="897" t="n"/>
      <c r="CA53" s="924" t="n"/>
    </row>
    <row r="54" ht="16.5" customHeight="1" s="838">
      <c r="B54" s="756" t="n"/>
      <c r="C54" s="749" t="inlineStr">
        <is>
          <t>제품2</t>
        </is>
      </c>
      <c r="D54" s="733" t="inlineStr">
        <is>
          <t>VI율</t>
        </is>
      </c>
      <c r="E54" s="734" t="n"/>
      <c r="F54" s="83" t="inlineStr">
        <is>
          <t>목표</t>
        </is>
      </c>
      <c r="G54" s="929">
        <f>G56/G8</f>
        <v/>
      </c>
      <c r="H54" s="930">
        <f>H56/H8</f>
        <v/>
      </c>
      <c r="I54" s="930">
        <f>I56/I8</f>
        <v/>
      </c>
      <c r="J54" s="930">
        <f>J56/J8</f>
        <v/>
      </c>
      <c r="K54" s="930">
        <f>K56/K8</f>
        <v/>
      </c>
      <c r="L54" s="930">
        <f>L56/L8</f>
        <v/>
      </c>
      <c r="M54" s="929">
        <f>M56/M8</f>
        <v/>
      </c>
      <c r="N54" s="931">
        <f>N56/N8</f>
        <v/>
      </c>
      <c r="O54" s="931">
        <f>O56/O8</f>
        <v/>
      </c>
      <c r="P54" s="931">
        <f>P56/P8</f>
        <v/>
      </c>
      <c r="Q54" s="931">
        <f>Q56/Q8</f>
        <v/>
      </c>
      <c r="R54" s="932">
        <f>R56/R8</f>
        <v/>
      </c>
      <c r="S54" s="930">
        <f>S56/S8</f>
        <v/>
      </c>
      <c r="T54" s="930">
        <f>T56/T8</f>
        <v/>
      </c>
      <c r="U54" s="930">
        <f>U56/U8</f>
        <v/>
      </c>
      <c r="V54" s="930">
        <f>V56/V8</f>
        <v/>
      </c>
      <c r="W54" s="930">
        <f>W56/W8</f>
        <v/>
      </c>
      <c r="X54" s="929">
        <f>X57/X8</f>
        <v/>
      </c>
      <c r="Y54" s="931">
        <f>Y57/Y8</f>
        <v/>
      </c>
      <c r="Z54" s="931">
        <f>Z57/Z8</f>
        <v/>
      </c>
      <c r="AA54" s="931">
        <f>AA57/AA8</f>
        <v/>
      </c>
      <c r="AB54" s="931">
        <f>AB57/AB8</f>
        <v/>
      </c>
      <c r="AC54" s="931">
        <f>AC57/AC8</f>
        <v/>
      </c>
      <c r="AD54" s="929" t="n"/>
      <c r="AE54" s="931" t="n"/>
      <c r="AF54" s="931" t="n"/>
      <c r="AG54" s="931" t="n"/>
      <c r="AH54" s="931" t="n"/>
      <c r="AI54" s="931" t="n"/>
      <c r="AJ54" s="938" t="n"/>
      <c r="AK54" s="929" t="n"/>
      <c r="AL54" s="931" t="n"/>
      <c r="AM54" s="931" t="n"/>
      <c r="AN54" s="931" t="n"/>
      <c r="AO54" s="931" t="n"/>
      <c r="AP54" s="938" t="n"/>
      <c r="AQ54" s="932" t="n"/>
      <c r="AR54" s="930" t="n"/>
      <c r="AS54" s="930" t="n"/>
      <c r="AT54" s="930" t="n"/>
      <c r="AU54" s="930" t="n"/>
      <c r="AV54" s="933" t="n"/>
      <c r="AW54" s="932" t="n"/>
      <c r="AX54" s="930" t="n"/>
      <c r="AY54" s="930" t="n"/>
      <c r="AZ54" s="930" t="n"/>
      <c r="BA54" s="930" t="n"/>
      <c r="BB54" s="930" t="n"/>
      <c r="BC54" s="930" t="n"/>
      <c r="BD54" s="932" t="n"/>
      <c r="BE54" s="930" t="n"/>
      <c r="BF54" s="930" t="n"/>
      <c r="BG54" s="930" t="n"/>
      <c r="BH54" s="930" t="n"/>
      <c r="BI54" s="930" t="n"/>
      <c r="BJ54" s="932" t="n"/>
      <c r="BK54" s="930" t="n"/>
      <c r="BL54" s="930" t="n"/>
      <c r="BM54" s="930" t="n"/>
      <c r="BN54" s="930" t="n"/>
      <c r="BO54" s="933" t="n"/>
      <c r="BP54" s="932" t="n"/>
      <c r="BQ54" s="930" t="n"/>
      <c r="BR54" s="930" t="n"/>
      <c r="BS54" s="930" t="n"/>
      <c r="BT54" s="930" t="n"/>
      <c r="BU54" s="933" t="n"/>
      <c r="BV54" s="932" t="n"/>
      <c r="BW54" s="930" t="n"/>
      <c r="BX54" s="930" t="n"/>
      <c r="BY54" s="930" t="n"/>
      <c r="BZ54" s="930" t="n"/>
      <c r="CA54" s="934" t="n"/>
    </row>
    <row r="55" ht="16.5" customHeight="1" s="838">
      <c r="B55" s="756" t="n"/>
      <c r="C55" s="738" t="n"/>
      <c r="D55" s="735" t="n"/>
      <c r="E55" s="736" t="n"/>
      <c r="F55" s="754" t="inlineStr">
        <is>
          <t>실적</t>
        </is>
      </c>
      <c r="G55" s="929">
        <f>G57/G9</f>
        <v/>
      </c>
      <c r="H55" s="922">
        <f>H57/H9</f>
        <v/>
      </c>
      <c r="I55" s="922">
        <f>I57/I9</f>
        <v/>
      </c>
      <c r="J55" s="922">
        <f>J57/J9</f>
        <v/>
      </c>
      <c r="K55" s="922">
        <f>K57/K9</f>
        <v/>
      </c>
      <c r="L55" s="922">
        <f>L57/L9</f>
        <v/>
      </c>
      <c r="M55" s="929">
        <f>M57/M9</f>
        <v/>
      </c>
      <c r="N55" s="931">
        <f>N57/N9</f>
        <v/>
      </c>
      <c r="O55" s="931">
        <f>O57/O9</f>
        <v/>
      </c>
      <c r="P55" s="931">
        <f>P57/P9</f>
        <v/>
      </c>
      <c r="Q55" s="931">
        <f>Q57/Q9</f>
        <v/>
      </c>
      <c r="R55" s="921">
        <f>R57/R9</f>
        <v/>
      </c>
      <c r="S55" s="922">
        <f>S57/S9</f>
        <v/>
      </c>
      <c r="T55" s="922">
        <f>T57/T9</f>
        <v/>
      </c>
      <c r="U55" s="922">
        <f>U57/U9</f>
        <v/>
      </c>
      <c r="V55" s="922">
        <f>V57/V9</f>
        <v/>
      </c>
      <c r="W55" s="922">
        <f>W57/W9</f>
        <v/>
      </c>
      <c r="X55" s="921">
        <f>X57/X9</f>
        <v/>
      </c>
      <c r="Y55" s="922">
        <f>Y57/Y9</f>
        <v/>
      </c>
      <c r="Z55" s="922">
        <f>Z57/Z9</f>
        <v/>
      </c>
      <c r="AA55" s="922">
        <f>AA57/AA9</f>
        <v/>
      </c>
      <c r="AB55" s="922">
        <f>AB57/AB9</f>
        <v/>
      </c>
      <c r="AC55" s="922">
        <f>AC57/AC9</f>
        <v/>
      </c>
      <c r="AD55" s="921" t="n"/>
      <c r="AE55" s="922" t="n"/>
      <c r="AF55" s="922" t="n"/>
      <c r="AG55" s="922" t="n"/>
      <c r="AH55" s="922" t="n"/>
      <c r="AI55" s="922" t="n"/>
      <c r="AJ55" s="923" t="n"/>
      <c r="AK55" s="921" t="n"/>
      <c r="AL55" s="922" t="n"/>
      <c r="AM55" s="922" t="n"/>
      <c r="AN55" s="922" t="n"/>
      <c r="AO55" s="922" t="n"/>
      <c r="AP55" s="923" t="n"/>
      <c r="AQ55" s="896" t="n"/>
      <c r="AR55" s="897" t="n"/>
      <c r="AS55" s="897" t="n"/>
      <c r="AT55" s="897" t="n"/>
      <c r="AU55" s="897" t="n"/>
      <c r="AV55" s="898" t="n"/>
      <c r="AW55" s="896" t="n"/>
      <c r="AX55" s="897" t="n"/>
      <c r="AY55" s="897" t="n"/>
      <c r="AZ55" s="897" t="n"/>
      <c r="BA55" s="897" t="n"/>
      <c r="BB55" s="897" t="n"/>
      <c r="BC55" s="897" t="n"/>
      <c r="BD55" s="896" t="n"/>
      <c r="BE55" s="897" t="n"/>
      <c r="BF55" s="897" t="n"/>
      <c r="BG55" s="897" t="n"/>
      <c r="BH55" s="897" t="n"/>
      <c r="BI55" s="897" t="n"/>
      <c r="BJ55" s="896" t="n"/>
      <c r="BK55" s="897" t="n"/>
      <c r="BL55" s="897" t="n"/>
      <c r="BM55" s="897" t="n"/>
      <c r="BN55" s="897" t="n"/>
      <c r="BO55" s="898" t="n"/>
      <c r="BP55" s="896" t="n"/>
      <c r="BQ55" s="897" t="n"/>
      <c r="BR55" s="897" t="n"/>
      <c r="BS55" s="897" t="n"/>
      <c r="BT55" s="897" t="n"/>
      <c r="BU55" s="898" t="n"/>
      <c r="BV55" s="896" t="n"/>
      <c r="BW55" s="897" t="n"/>
      <c r="BX55" s="897" t="n"/>
      <c r="BY55" s="897" t="n"/>
      <c r="BZ55" s="897" t="n"/>
      <c r="CA55" s="924" t="n"/>
    </row>
    <row r="56" ht="16.5" customHeight="1" s="838">
      <c r="B56" s="756" t="n"/>
      <c r="C56" s="738" t="n"/>
      <c r="D56" s="744" t="inlineStr">
        <is>
          <t>VI 금액</t>
        </is>
      </c>
      <c r="E56" s="749" t="inlineStr">
        <is>
          <t>합계</t>
        </is>
      </c>
      <c r="F56" s="83" t="inlineStr">
        <is>
          <t>목표</t>
        </is>
      </c>
      <c r="G56" s="940">
        <f>SUM(G58,G60,G62)</f>
        <v/>
      </c>
      <c r="H56" s="941">
        <f>SUM(H58,H60,H62)</f>
        <v/>
      </c>
      <c r="I56" s="941">
        <f>SUM(I58,I60,I62)</f>
        <v/>
      </c>
      <c r="J56" s="941">
        <f>SUM(J58,J60,J62)</f>
        <v/>
      </c>
      <c r="K56" s="941">
        <f>SUM(K58,K60,K62)</f>
        <v/>
      </c>
      <c r="L56" s="941">
        <f>SUM(L58,L60,L62)</f>
        <v/>
      </c>
      <c r="M56" s="940">
        <f>SUM(M58,M60,M62)</f>
        <v/>
      </c>
      <c r="N56" s="941" t="n">
        <v>3.54986655</v>
      </c>
      <c r="O56" s="941" t="n">
        <v>3.54986655</v>
      </c>
      <c r="P56" s="941" t="n">
        <v>3.54986655</v>
      </c>
      <c r="Q56" s="941" t="n">
        <v>3.54986655</v>
      </c>
      <c r="R56" s="940">
        <f>SUM(R58,R60,R62)</f>
        <v/>
      </c>
      <c r="S56" s="941">
        <f>SUM(S58,S60,S62)</f>
        <v/>
      </c>
      <c r="T56" s="941" t="n">
        <v>17.71859459</v>
      </c>
      <c r="U56" s="941" t="n">
        <v>17.71859459</v>
      </c>
      <c r="V56" s="941" t="n">
        <v>17.71859459</v>
      </c>
      <c r="W56" s="941" t="n">
        <v>17.71859459</v>
      </c>
      <c r="X56" s="940">
        <f>SUM(X58,X60,X62)</f>
        <v/>
      </c>
      <c r="Y56" s="941">
        <f>SUM(Y58,Y60,Y62)</f>
        <v/>
      </c>
      <c r="Z56" s="941">
        <f>SUM(Z58,Z60,Z62)</f>
        <v/>
      </c>
      <c r="AA56" s="941">
        <f>SUM(AA58,AA60,AA62)</f>
        <v/>
      </c>
      <c r="AB56" s="941">
        <f>SUM(AB58,AB60,AB62)</f>
        <v/>
      </c>
      <c r="AC56" s="941">
        <f>SUM(AC58,AC60,AC62)</f>
        <v/>
      </c>
      <c r="AD56" s="940" t="n"/>
      <c r="AE56" s="941" t="n"/>
      <c r="AF56" s="941" t="n"/>
      <c r="AG56" s="941" t="n"/>
      <c r="AH56" s="941" t="n"/>
      <c r="AI56" s="941" t="n"/>
      <c r="AJ56" s="942" t="n"/>
      <c r="AK56" s="940" t="n"/>
      <c r="AL56" s="941" t="n"/>
      <c r="AM56" s="941" t="n"/>
      <c r="AN56" s="941" t="n"/>
      <c r="AO56" s="941" t="n"/>
      <c r="AP56" s="942" t="n"/>
      <c r="AQ56" s="940" t="n"/>
      <c r="AR56" s="941" t="n"/>
      <c r="AS56" s="941" t="n"/>
      <c r="AT56" s="941" t="n"/>
      <c r="AU56" s="941" t="n"/>
      <c r="AV56" s="942" t="n"/>
      <c r="AW56" s="940" t="n"/>
      <c r="AX56" s="941" t="n"/>
      <c r="AY56" s="941" t="n"/>
      <c r="AZ56" s="941" t="n"/>
      <c r="BA56" s="941" t="n"/>
      <c r="BB56" s="941" t="n"/>
      <c r="BC56" s="941" t="n"/>
      <c r="BD56" s="940" t="n"/>
      <c r="BE56" s="941" t="n"/>
      <c r="BF56" s="941" t="n"/>
      <c r="BG56" s="941" t="n"/>
      <c r="BH56" s="941" t="n"/>
      <c r="BI56" s="941" t="n"/>
      <c r="BJ56" s="940" t="n"/>
      <c r="BK56" s="941" t="n"/>
      <c r="BL56" s="941" t="n"/>
      <c r="BM56" s="941" t="n"/>
      <c r="BN56" s="941" t="n"/>
      <c r="BO56" s="942" t="n"/>
      <c r="BP56" s="940" t="n"/>
      <c r="BQ56" s="941" t="n"/>
      <c r="BR56" s="941" t="n"/>
      <c r="BS56" s="941" t="n"/>
      <c r="BT56" s="941" t="n"/>
      <c r="BU56" s="942" t="n"/>
      <c r="BV56" s="940" t="n"/>
      <c r="BW56" s="941" t="n"/>
      <c r="BX56" s="941" t="n"/>
      <c r="BY56" s="941" t="n"/>
      <c r="BZ56" s="941" t="n"/>
      <c r="CA56" s="943" t="n"/>
    </row>
    <row r="57" ht="16.5" customHeight="1" s="838">
      <c r="B57" s="756" t="n"/>
      <c r="C57" s="738" t="n"/>
      <c r="D57" s="738" t="n"/>
      <c r="E57" s="753" t="n"/>
      <c r="F57" s="754" t="inlineStr">
        <is>
          <t>실적</t>
        </is>
      </c>
      <c r="G57" s="944">
        <f>SUM(G59,G61,G63)</f>
        <v/>
      </c>
      <c r="H57" s="945">
        <f>SUM(H59,H61,H63)</f>
        <v/>
      </c>
      <c r="I57" s="945">
        <f>SUM(I59,I61,I63)</f>
        <v/>
      </c>
      <c r="J57" s="945">
        <f>SUM(J59,J61,J63)</f>
        <v/>
      </c>
      <c r="K57" s="945">
        <f>SUM(K59,K61,K63)</f>
        <v/>
      </c>
      <c r="L57" s="945">
        <f>SUM(L59,L61,L63)</f>
        <v/>
      </c>
      <c r="M57" s="944">
        <f>SUM(M59,M61,M63)</f>
        <v/>
      </c>
      <c r="N57" s="945">
        <f>SUM(N59,N61,N63)</f>
        <v/>
      </c>
      <c r="O57" s="945">
        <f>SUM(O59,O61,O63)</f>
        <v/>
      </c>
      <c r="P57" s="945">
        <f>SUM(P59,P61,P63)</f>
        <v/>
      </c>
      <c r="Q57" s="945">
        <f>SUM(Q59,Q61,Q63)</f>
        <v/>
      </c>
      <c r="R57" s="944">
        <f>SUM(R59,R61,R63)</f>
        <v/>
      </c>
      <c r="S57" s="946">
        <f>SUM(S59,S61,S63)</f>
        <v/>
      </c>
      <c r="T57" s="946">
        <f>SUM(T59,T61,T63)</f>
        <v/>
      </c>
      <c r="U57" s="946">
        <f>SUM(U59,U61,U63)</f>
        <v/>
      </c>
      <c r="V57" s="946">
        <f>SUM(V59,V61,V63)</f>
        <v/>
      </c>
      <c r="W57" s="946">
        <f>SUM(W59,W61,W63)</f>
        <v/>
      </c>
      <c r="X57" s="944">
        <f>SUM(X59,X61,X63)</f>
        <v/>
      </c>
      <c r="Y57" s="945">
        <f>SUM(Y59,Y61,Y63)</f>
        <v/>
      </c>
      <c r="Z57" s="945">
        <f>SUM(Z59,Z61,Z63)</f>
        <v/>
      </c>
      <c r="AA57" s="945">
        <f>SUM(AA59,AA61,AA63)</f>
        <v/>
      </c>
      <c r="AB57" s="945" t="n">
        <v>6.12758296</v>
      </c>
      <c r="AC57" s="945">
        <f>SUM(AC59,AC61,AC63)</f>
        <v/>
      </c>
      <c r="AD57" s="944" t="n"/>
      <c r="AE57" s="945" t="n"/>
      <c r="AF57" s="945" t="n"/>
      <c r="AG57" s="945" t="n"/>
      <c r="AH57" s="945" t="n"/>
      <c r="AI57" s="945" t="n"/>
      <c r="AJ57" s="947" t="n"/>
      <c r="AK57" s="944" t="n"/>
      <c r="AL57" s="945" t="n"/>
      <c r="AM57" s="945" t="n"/>
      <c r="AN57" s="945" t="n"/>
      <c r="AO57" s="945" t="n"/>
      <c r="AP57" s="947" t="n"/>
      <c r="AQ57" s="944" t="n"/>
      <c r="AR57" s="945" t="n"/>
      <c r="AS57" s="945" t="n"/>
      <c r="AT57" s="945" t="n"/>
      <c r="AU57" s="945" t="n"/>
      <c r="AV57" s="947" t="n"/>
      <c r="AW57" s="944" t="n"/>
      <c r="AX57" s="945" t="n"/>
      <c r="AY57" s="945" t="n"/>
      <c r="AZ57" s="945" t="n"/>
      <c r="BA57" s="945" t="n"/>
      <c r="BB57" s="945" t="n"/>
      <c r="BC57" s="945" t="n"/>
      <c r="BD57" s="944" t="n"/>
      <c r="BE57" s="945" t="n"/>
      <c r="BF57" s="945" t="n"/>
      <c r="BG57" s="945" t="n"/>
      <c r="BH57" s="945" t="n"/>
      <c r="BI57" s="945" t="n"/>
      <c r="BJ57" s="944" t="n"/>
      <c r="BK57" s="945" t="n"/>
      <c r="BL57" s="945" t="n"/>
      <c r="BM57" s="945" t="n"/>
      <c r="BN57" s="945" t="n"/>
      <c r="BO57" s="947" t="n"/>
      <c r="BP57" s="944" t="n"/>
      <c r="BQ57" s="945" t="n"/>
      <c r="BR57" s="945" t="n"/>
      <c r="BS57" s="945" t="n"/>
      <c r="BT57" s="945" t="n"/>
      <c r="BU57" s="947" t="n"/>
      <c r="BV57" s="944" t="n"/>
      <c r="BW57" s="945" t="n"/>
      <c r="BX57" s="945" t="n"/>
      <c r="BY57" s="945" t="n"/>
      <c r="BZ57" s="945" t="n"/>
      <c r="CA57" s="948" t="n"/>
    </row>
    <row r="58" ht="16.5" customHeight="1" s="838">
      <c r="B58" s="756" t="n"/>
      <c r="C58" s="738" t="n"/>
      <c r="D58" s="738" t="n"/>
      <c r="E58" s="754" t="inlineStr">
        <is>
          <t>양산부품</t>
        </is>
      </c>
      <c r="F58" s="83" t="inlineStr">
        <is>
          <t>목표</t>
        </is>
      </c>
      <c r="G58" s="940" t="n">
        <v>4.67608032</v>
      </c>
      <c r="H58" s="941" t="n">
        <v>4.67608032</v>
      </c>
      <c r="I58" s="941" t="n">
        <v>4.67608032</v>
      </c>
      <c r="J58" s="941" t="n">
        <v>4.67608032</v>
      </c>
      <c r="K58" s="941" t="n">
        <v>4.67608032</v>
      </c>
      <c r="L58" s="941" t="n">
        <v>4.67608032</v>
      </c>
      <c r="M58" s="940" t="n">
        <v>4.67608032</v>
      </c>
      <c r="N58" s="941" t="n">
        <v>4.67608032</v>
      </c>
      <c r="O58" s="941" t="n">
        <v>4.67608032</v>
      </c>
      <c r="P58" s="941" t="n">
        <v>4.67608032</v>
      </c>
      <c r="Q58" s="941" t="n">
        <v>4.67608032</v>
      </c>
      <c r="R58" s="940" t="n">
        <v>4.43196343</v>
      </c>
      <c r="S58" s="941" t="n">
        <v>4.43196343</v>
      </c>
      <c r="T58" s="941" t="n">
        <v>4.43196343</v>
      </c>
      <c r="U58" s="941" t="n">
        <v>4.43196343</v>
      </c>
      <c r="V58" s="941" t="n">
        <v>4.43196343</v>
      </c>
      <c r="W58" s="941" t="n">
        <v>4.43196343</v>
      </c>
      <c r="X58" s="940" t="n">
        <v>2.26450035</v>
      </c>
      <c r="Y58" s="941" t="n">
        <v>2.26450035</v>
      </c>
      <c r="Z58" s="941" t="n">
        <v>2.26450035</v>
      </c>
      <c r="AA58" s="941" t="n">
        <v>2.26450035</v>
      </c>
      <c r="AB58" s="941" t="n">
        <v>2.26450035</v>
      </c>
      <c r="AC58" s="941" t="n">
        <v>2.26450035</v>
      </c>
      <c r="AD58" s="940" t="n"/>
      <c r="AE58" s="941" t="n"/>
      <c r="AF58" s="941" t="n"/>
      <c r="AG58" s="941" t="n"/>
      <c r="AH58" s="941" t="n"/>
      <c r="AI58" s="941" t="n"/>
      <c r="AJ58" s="942" t="n"/>
      <c r="AK58" s="940" t="n"/>
      <c r="AL58" s="941" t="n"/>
      <c r="AM58" s="941" t="n"/>
      <c r="AN58" s="941" t="n"/>
      <c r="AO58" s="941" t="n"/>
      <c r="AP58" s="942" t="n"/>
      <c r="AQ58" s="940" t="n"/>
      <c r="AR58" s="941" t="n"/>
      <c r="AS58" s="941" t="n"/>
      <c r="AT58" s="941" t="n"/>
      <c r="AU58" s="941" t="n"/>
      <c r="AV58" s="942" t="n"/>
      <c r="AW58" s="940" t="n"/>
      <c r="AX58" s="941" t="n"/>
      <c r="AY58" s="941" t="n"/>
      <c r="AZ58" s="941" t="n"/>
      <c r="BA58" s="941" t="n"/>
      <c r="BB58" s="941" t="n"/>
      <c r="BC58" s="941" t="n"/>
      <c r="BD58" s="940" t="n"/>
      <c r="BE58" s="941" t="n"/>
      <c r="BF58" s="941" t="n"/>
      <c r="BG58" s="941" t="n"/>
      <c r="BH58" s="941" t="n"/>
      <c r="BI58" s="941" t="n"/>
      <c r="BJ58" s="940" t="n"/>
      <c r="BK58" s="941" t="n"/>
      <c r="BL58" s="941" t="n"/>
      <c r="BM58" s="941" t="n"/>
      <c r="BN58" s="941" t="n"/>
      <c r="BO58" s="942" t="n"/>
      <c r="BP58" s="940" t="n"/>
      <c r="BQ58" s="941" t="n"/>
      <c r="BR58" s="941" t="n"/>
      <c r="BS58" s="941" t="n"/>
      <c r="BT58" s="941" t="n"/>
      <c r="BU58" s="942" t="n"/>
      <c r="BV58" s="940" t="n"/>
      <c r="BW58" s="941" t="n"/>
      <c r="BX58" s="941" t="n"/>
      <c r="BY58" s="941" t="n"/>
      <c r="BZ58" s="941" t="n"/>
      <c r="CA58" s="943" t="n"/>
    </row>
    <row r="59" ht="16.5" customHeight="1" s="838">
      <c r="B59" s="756" t="n"/>
      <c r="C59" s="738" t="n"/>
      <c r="D59" s="738" t="n"/>
      <c r="E59" s="739" t="n"/>
      <c r="F59" s="754" t="inlineStr">
        <is>
          <t>실적</t>
        </is>
      </c>
      <c r="G59" s="944" t="n">
        <v>2.9915467</v>
      </c>
      <c r="H59" s="945" t="n">
        <v>3.82118431</v>
      </c>
      <c r="I59" s="945" t="n">
        <v>3.189</v>
      </c>
      <c r="J59" s="945" t="n">
        <v>2.9915467</v>
      </c>
      <c r="K59" s="945" t="n">
        <v>3.20462805</v>
      </c>
      <c r="L59" s="945" t="n">
        <v>2.9915467</v>
      </c>
      <c r="M59" s="944" t="n">
        <v>4.67608032</v>
      </c>
      <c r="N59" s="945" t="n">
        <v>3.20462805</v>
      </c>
      <c r="O59" s="945" t="n">
        <v>3.82118431</v>
      </c>
      <c r="P59" s="945" t="n">
        <v>3.189</v>
      </c>
      <c r="Q59" s="945" t="n">
        <v>2.9915467</v>
      </c>
      <c r="R59" s="944" t="n">
        <v>3.82118431</v>
      </c>
      <c r="S59" s="945" t="n">
        <v>3.20462805</v>
      </c>
      <c r="T59" s="945" t="n">
        <v>2.9915467</v>
      </c>
      <c r="U59" s="945" t="n">
        <v>3.189</v>
      </c>
      <c r="V59" s="945" t="n">
        <v>3.82118431</v>
      </c>
      <c r="W59" s="945" t="n">
        <v>2.9915467</v>
      </c>
      <c r="X59" s="944" t="n">
        <v>3.189</v>
      </c>
      <c r="Y59" s="945" t="n">
        <v>3.51487025</v>
      </c>
      <c r="Z59" s="945" t="n">
        <v>3.51487025</v>
      </c>
      <c r="AA59" s="945" t="n">
        <v>3.51487025</v>
      </c>
      <c r="AB59" s="945" t="n">
        <v>3.51487025</v>
      </c>
      <c r="AC59" s="945" t="n">
        <v>3.51487025</v>
      </c>
      <c r="AD59" s="944" t="n"/>
      <c r="AE59" s="945" t="n"/>
      <c r="AF59" s="945" t="n"/>
      <c r="AG59" s="945" t="n"/>
      <c r="AH59" s="945" t="n"/>
      <c r="AI59" s="945" t="n"/>
      <c r="AJ59" s="947" t="n"/>
      <c r="AK59" s="944" t="n"/>
      <c r="AL59" s="945" t="n"/>
      <c r="AM59" s="945" t="n"/>
      <c r="AN59" s="945" t="n"/>
      <c r="AO59" s="945" t="n"/>
      <c r="AP59" s="947" t="n"/>
      <c r="AQ59" s="944" t="n"/>
      <c r="AR59" s="945" t="n"/>
      <c r="AS59" s="945" t="n"/>
      <c r="AT59" s="945" t="n"/>
      <c r="AU59" s="945" t="n"/>
      <c r="AV59" s="947" t="n"/>
      <c r="AW59" s="944" t="n"/>
      <c r="AX59" s="945" t="n"/>
      <c r="AY59" s="945" t="n"/>
      <c r="AZ59" s="945" t="n"/>
      <c r="BA59" s="945" t="n"/>
      <c r="BB59" s="945" t="n"/>
      <c r="BC59" s="945" t="n"/>
      <c r="BD59" s="944" t="n"/>
      <c r="BE59" s="945" t="n"/>
      <c r="BF59" s="945" t="n"/>
      <c r="BG59" s="945" t="n"/>
      <c r="BH59" s="945" t="n"/>
      <c r="BI59" s="945" t="n"/>
      <c r="BJ59" s="944" t="n"/>
      <c r="BK59" s="945" t="n"/>
      <c r="BL59" s="945" t="n"/>
      <c r="BM59" s="945" t="n"/>
      <c r="BN59" s="945" t="n"/>
      <c r="BO59" s="947" t="n"/>
      <c r="BP59" s="944" t="n"/>
      <c r="BQ59" s="945" t="n"/>
      <c r="BR59" s="945" t="n"/>
      <c r="BS59" s="945" t="n"/>
      <c r="BT59" s="945" t="n"/>
      <c r="BU59" s="947" t="n"/>
      <c r="BV59" s="944" t="n"/>
      <c r="BW59" s="945" t="n"/>
      <c r="BX59" s="945" t="n"/>
      <c r="BY59" s="945" t="n"/>
      <c r="BZ59" s="945" t="n"/>
      <c r="CA59" s="948" t="n"/>
    </row>
    <row r="60" ht="16.5" customHeight="1" s="838">
      <c r="B60" s="756" t="n"/>
      <c r="C60" s="738" t="n"/>
      <c r="D60" s="738" t="n"/>
      <c r="E60" s="737" t="inlineStr">
        <is>
          <t>개발모델</t>
        </is>
      </c>
      <c r="F60" s="83" t="inlineStr">
        <is>
          <t>목표</t>
        </is>
      </c>
      <c r="G60" s="940" t="n">
        <v>2.11806956</v>
      </c>
      <c r="H60" s="941" t="n">
        <v>2.11806956</v>
      </c>
      <c r="I60" s="941" t="n">
        <v>2.11806956</v>
      </c>
      <c r="J60" s="941" t="n">
        <v>2.11806956</v>
      </c>
      <c r="K60" s="941" t="n">
        <v>2.11806956</v>
      </c>
      <c r="L60" s="941" t="n">
        <v>2.11806956</v>
      </c>
      <c r="M60" s="940" t="n">
        <v>1.08840055</v>
      </c>
      <c r="N60" s="941" t="n">
        <v>1.08840055</v>
      </c>
      <c r="O60" s="941" t="n">
        <v>1.08840055</v>
      </c>
      <c r="P60" s="941" t="n">
        <v>1.08840055</v>
      </c>
      <c r="Q60" s="941" t="n">
        <v>1.08840055</v>
      </c>
      <c r="R60" s="940" t="n">
        <v>8.74765522</v>
      </c>
      <c r="S60" s="941" t="n">
        <v>8.74765522</v>
      </c>
      <c r="T60" s="941" t="n">
        <v>8.74765522</v>
      </c>
      <c r="U60" s="941" t="n">
        <v>8.74765522</v>
      </c>
      <c r="V60" s="941" t="n">
        <v>8.74765522</v>
      </c>
      <c r="W60" s="941" t="n">
        <v>8.74765522</v>
      </c>
      <c r="X60" s="940" t="n">
        <v>9.6788984</v>
      </c>
      <c r="Y60" s="941" t="n">
        <v>9.6788984</v>
      </c>
      <c r="Z60" s="941" t="n">
        <v>9.6788984</v>
      </c>
      <c r="AA60" s="941" t="n">
        <v>9.6788984</v>
      </c>
      <c r="AB60" s="941" t="n">
        <v>9.6788984</v>
      </c>
      <c r="AC60" s="941" t="n">
        <v>9.6788984</v>
      </c>
      <c r="AD60" s="940" t="n"/>
      <c r="AE60" s="941" t="n"/>
      <c r="AF60" s="941" t="n"/>
      <c r="AG60" s="941" t="n"/>
      <c r="AH60" s="941" t="n"/>
      <c r="AI60" s="941" t="n"/>
      <c r="AJ60" s="942" t="n"/>
      <c r="AK60" s="940" t="n"/>
      <c r="AL60" s="941" t="n"/>
      <c r="AM60" s="941" t="n"/>
      <c r="AN60" s="941" t="n"/>
      <c r="AO60" s="941" t="n"/>
      <c r="AP60" s="942" t="n"/>
      <c r="AQ60" s="940" t="n"/>
      <c r="AR60" s="941" t="n"/>
      <c r="AS60" s="941" t="n"/>
      <c r="AT60" s="941" t="n"/>
      <c r="AU60" s="941" t="n"/>
      <c r="AV60" s="942" t="n"/>
      <c r="AW60" s="940" t="n"/>
      <c r="AX60" s="941" t="n"/>
      <c r="AY60" s="941" t="n"/>
      <c r="AZ60" s="941" t="n"/>
      <c r="BA60" s="941" t="n"/>
      <c r="BB60" s="941" t="n"/>
      <c r="BC60" s="941" t="n"/>
      <c r="BD60" s="940" t="n"/>
      <c r="BE60" s="941" t="n"/>
      <c r="BF60" s="941" t="n"/>
      <c r="BG60" s="941" t="n"/>
      <c r="BH60" s="941" t="n"/>
      <c r="BI60" s="941" t="n"/>
      <c r="BJ60" s="940" t="n"/>
      <c r="BK60" s="941" t="n"/>
      <c r="BL60" s="941" t="n"/>
      <c r="BM60" s="941" t="n"/>
      <c r="BN60" s="941" t="n"/>
      <c r="BO60" s="942" t="n"/>
      <c r="BP60" s="940" t="n"/>
      <c r="BQ60" s="941" t="n"/>
      <c r="BR60" s="941" t="n"/>
      <c r="BS60" s="941" t="n"/>
      <c r="BT60" s="941" t="n"/>
      <c r="BU60" s="942" t="n"/>
      <c r="BV60" s="940" t="n"/>
      <c r="BW60" s="941" t="n"/>
      <c r="BX60" s="941" t="n"/>
      <c r="BY60" s="941" t="n"/>
      <c r="BZ60" s="941" t="n"/>
      <c r="CA60" s="943" t="n"/>
    </row>
    <row r="61" ht="16.5" customHeight="1" s="838">
      <c r="B61" s="756" t="n"/>
      <c r="C61" s="738" t="n"/>
      <c r="D61" s="738" t="n"/>
      <c r="E61" s="739" t="n"/>
      <c r="F61" s="754" t="inlineStr">
        <is>
          <t>실적</t>
        </is>
      </c>
      <c r="G61" s="944" t="n">
        <v>0.95</v>
      </c>
      <c r="H61" s="945" t="n">
        <v>2.11806956</v>
      </c>
      <c r="I61" s="945" t="n">
        <v>2.11806956</v>
      </c>
      <c r="J61" s="945" t="n">
        <v>2.11806956</v>
      </c>
      <c r="K61" s="945" t="n">
        <v>2.11806956</v>
      </c>
      <c r="L61" s="945" t="n">
        <v>2.11806956</v>
      </c>
      <c r="M61" s="944" t="n">
        <v>0.95</v>
      </c>
      <c r="N61" s="945" t="n">
        <v>1.62638564</v>
      </c>
      <c r="O61" s="945" t="n">
        <v>1.62638564</v>
      </c>
      <c r="P61" s="945" t="n">
        <v>2.46264235</v>
      </c>
      <c r="Q61" s="945" t="n">
        <v>0.82038732</v>
      </c>
      <c r="R61" s="944" t="n">
        <v>1.32733753</v>
      </c>
      <c r="S61" s="945" t="n">
        <v>4.55403917</v>
      </c>
      <c r="T61" s="945" t="n">
        <v>3.24341589</v>
      </c>
      <c r="U61" s="945" t="n">
        <v>3.24341589</v>
      </c>
      <c r="V61" s="945" t="n">
        <v>3.24341589</v>
      </c>
      <c r="W61" s="945" t="n">
        <v>3.24341589</v>
      </c>
      <c r="X61" s="944" t="n">
        <v>2.46264235</v>
      </c>
      <c r="Y61" s="945" t="n">
        <v>2.18725597</v>
      </c>
      <c r="Z61" s="945" t="n">
        <v>2.18725597</v>
      </c>
      <c r="AA61" s="945" t="n">
        <v>2.18725597</v>
      </c>
      <c r="AB61" s="945" t="n">
        <v>2.18725597</v>
      </c>
      <c r="AC61" s="945" t="n">
        <v>2.18725597</v>
      </c>
      <c r="AD61" s="944" t="n"/>
      <c r="AE61" s="945" t="n"/>
      <c r="AF61" s="945" t="n"/>
      <c r="AG61" s="945" t="n"/>
      <c r="AH61" s="945" t="n"/>
      <c r="AI61" s="945" t="n"/>
      <c r="AJ61" s="947" t="n"/>
      <c r="AK61" s="944" t="n"/>
      <c r="AL61" s="945" t="n"/>
      <c r="AM61" s="945" t="n"/>
      <c r="AN61" s="945" t="n"/>
      <c r="AO61" s="945" t="n"/>
      <c r="AP61" s="947" t="n"/>
      <c r="AQ61" s="944" t="n"/>
      <c r="AR61" s="945" t="n"/>
      <c r="AS61" s="945" t="n"/>
      <c r="AT61" s="945" t="n"/>
      <c r="AU61" s="945" t="n"/>
      <c r="AV61" s="947" t="n"/>
      <c r="AW61" s="944" t="n"/>
      <c r="AX61" s="945" t="n"/>
      <c r="AY61" s="945" t="n"/>
      <c r="AZ61" s="945" t="n"/>
      <c r="BA61" s="945" t="n"/>
      <c r="BB61" s="945" t="n"/>
      <c r="BC61" s="945" t="n"/>
      <c r="BD61" s="944" t="n"/>
      <c r="BE61" s="945" t="n"/>
      <c r="BF61" s="945" t="n"/>
      <c r="BG61" s="945" t="n"/>
      <c r="BH61" s="945" t="n"/>
      <c r="BI61" s="945" t="n"/>
      <c r="BJ61" s="944" t="n"/>
      <c r="BK61" s="945" t="n"/>
      <c r="BL61" s="945" t="n"/>
      <c r="BM61" s="945" t="n"/>
      <c r="BN61" s="945" t="n"/>
      <c r="BO61" s="947" t="n"/>
      <c r="BP61" s="944" t="n"/>
      <c r="BQ61" s="945" t="n"/>
      <c r="BR61" s="945" t="n"/>
      <c r="BS61" s="945" t="n"/>
      <c r="BT61" s="945" t="n"/>
      <c r="BU61" s="947" t="n"/>
      <c r="BV61" s="944" t="n"/>
      <c r="BW61" s="945" t="n"/>
      <c r="BX61" s="945" t="n"/>
      <c r="BY61" s="945" t="n"/>
      <c r="BZ61" s="945" t="n"/>
      <c r="CA61" s="948" t="n"/>
    </row>
    <row r="62" ht="16.5" customHeight="1" s="838">
      <c r="B62" s="756" t="n"/>
      <c r="C62" s="738" t="n"/>
      <c r="D62" s="738" t="n"/>
      <c r="E62" s="749" t="inlineStr">
        <is>
          <t>아웃소싱</t>
        </is>
      </c>
      <c r="F62" s="83" t="inlineStr">
        <is>
          <t>목표</t>
        </is>
      </c>
      <c r="G62" s="940" t="n">
        <v>2.78456628</v>
      </c>
      <c r="H62" s="941" t="n">
        <v>2.78456628</v>
      </c>
      <c r="I62" s="941" t="n">
        <v>2.78456628</v>
      </c>
      <c r="J62" s="941" t="n">
        <v>2.78456628</v>
      </c>
      <c r="K62" s="941" t="n">
        <v>2.78456628</v>
      </c>
      <c r="L62" s="941" t="n">
        <v>2.78456628</v>
      </c>
      <c r="M62" s="940" t="n">
        <v>1.97390975</v>
      </c>
      <c r="N62" s="941" t="n">
        <v>1.97390975</v>
      </c>
      <c r="O62" s="941" t="n">
        <v>1.97390975</v>
      </c>
      <c r="P62" s="941" t="n">
        <v>1.97390975</v>
      </c>
      <c r="Q62" s="941" t="n">
        <v>1.97390975</v>
      </c>
      <c r="R62" s="940" t="n">
        <v>2.503007</v>
      </c>
      <c r="S62" s="941" t="n">
        <v>2.503007</v>
      </c>
      <c r="T62" s="941" t="n">
        <v>2.503007</v>
      </c>
      <c r="U62" s="941" t="n">
        <v>2.503007</v>
      </c>
      <c r="V62" s="941" t="n">
        <v>2.503007</v>
      </c>
      <c r="W62" s="941" t="n">
        <v>2.503007</v>
      </c>
      <c r="X62" s="940" t="n">
        <v>3.13868093</v>
      </c>
      <c r="Y62" s="941" t="n">
        <v>3.13868093</v>
      </c>
      <c r="Z62" s="941" t="n">
        <v>3.13868093</v>
      </c>
      <c r="AA62" s="941" t="n">
        <v>3.13868093</v>
      </c>
      <c r="AB62" s="941" t="n">
        <v>3.13868093</v>
      </c>
      <c r="AC62" s="941" t="n">
        <v>3.13868093</v>
      </c>
      <c r="AD62" s="940" t="n"/>
      <c r="AE62" s="941" t="n"/>
      <c r="AF62" s="941" t="n"/>
      <c r="AG62" s="941" t="n"/>
      <c r="AH62" s="941" t="n"/>
      <c r="AI62" s="941" t="n"/>
      <c r="AJ62" s="942" t="n"/>
      <c r="AK62" s="940" t="n"/>
      <c r="AL62" s="941" t="n"/>
      <c r="AM62" s="941" t="n"/>
      <c r="AN62" s="941" t="n"/>
      <c r="AO62" s="941" t="n"/>
      <c r="AP62" s="942" t="n"/>
      <c r="AQ62" s="940" t="n"/>
      <c r="AR62" s="941" t="n"/>
      <c r="AS62" s="941" t="n"/>
      <c r="AT62" s="941" t="n"/>
      <c r="AU62" s="941" t="n"/>
      <c r="AV62" s="942" t="n"/>
      <c r="AW62" s="940" t="n"/>
      <c r="AX62" s="941" t="n"/>
      <c r="AY62" s="941" t="n"/>
      <c r="AZ62" s="941" t="n"/>
      <c r="BA62" s="941" t="n"/>
      <c r="BB62" s="941" t="n"/>
      <c r="BC62" s="941" t="n"/>
      <c r="BD62" s="940" t="n"/>
      <c r="BE62" s="941" t="n"/>
      <c r="BF62" s="941" t="n"/>
      <c r="BG62" s="941" t="n"/>
      <c r="BH62" s="941" t="n"/>
      <c r="BI62" s="941" t="n"/>
      <c r="BJ62" s="940" t="n"/>
      <c r="BK62" s="941" t="n"/>
      <c r="BL62" s="941" t="n"/>
      <c r="BM62" s="941" t="n"/>
      <c r="BN62" s="941" t="n"/>
      <c r="BO62" s="942" t="n"/>
      <c r="BP62" s="940" t="n"/>
      <c r="BQ62" s="941" t="n"/>
      <c r="BR62" s="941" t="n"/>
      <c r="BS62" s="941" t="n"/>
      <c r="BT62" s="941" t="n"/>
      <c r="BU62" s="942" t="n"/>
      <c r="BV62" s="940" t="n"/>
      <c r="BW62" s="941" t="n"/>
      <c r="BX62" s="941" t="n"/>
      <c r="BY62" s="941" t="n"/>
      <c r="BZ62" s="941" t="n"/>
      <c r="CA62" s="943" t="n"/>
    </row>
    <row r="63" ht="17.25" customHeight="1" s="838">
      <c r="B63" s="757" t="n"/>
      <c r="C63" s="753" t="n"/>
      <c r="D63" s="753" t="n"/>
      <c r="E63" s="753" t="n"/>
      <c r="F63" s="781" t="inlineStr">
        <is>
          <t>실적</t>
        </is>
      </c>
      <c r="G63" s="949" t="n">
        <v>0.15451542</v>
      </c>
      <c r="H63" s="950" t="n">
        <v>2.78456628</v>
      </c>
      <c r="I63" s="950" t="n">
        <v>2.78456628</v>
      </c>
      <c r="J63" s="950" t="n">
        <v>2.78456628</v>
      </c>
      <c r="K63" s="950" t="n">
        <v>2.78456628</v>
      </c>
      <c r="L63" s="950" t="n">
        <v>2.78456628</v>
      </c>
      <c r="M63" s="949" t="n">
        <v>0.15391136</v>
      </c>
      <c r="N63" s="951" t="n">
        <v>0.02091701</v>
      </c>
      <c r="O63" s="951" t="n">
        <v>0.14762485</v>
      </c>
      <c r="P63" s="950" t="n">
        <v>0.13473338</v>
      </c>
      <c r="Q63" s="950" t="n">
        <v>0.14762485</v>
      </c>
      <c r="R63" s="949" t="n">
        <v>0.16570328</v>
      </c>
      <c r="S63" s="952" t="n">
        <v>0.25441684</v>
      </c>
      <c r="T63" s="950" t="n">
        <v>0.25441684</v>
      </c>
      <c r="U63" s="950" t="n">
        <v>0.16570328</v>
      </c>
      <c r="V63" s="950" t="n">
        <v>0.16570328</v>
      </c>
      <c r="W63" s="950" t="n">
        <v>0.16570328</v>
      </c>
      <c r="X63" s="949" t="n">
        <v>0.74755708</v>
      </c>
      <c r="Y63" s="950" t="n">
        <v>0.8222171700000001</v>
      </c>
      <c r="Z63" s="950" t="n">
        <v>0.8222171700000001</v>
      </c>
      <c r="AA63" s="950" t="n">
        <v>0.8222171700000001</v>
      </c>
      <c r="AB63" s="950" t="n">
        <v>0.8222171700000001</v>
      </c>
      <c r="AC63" s="950" t="n">
        <v>0.8222171700000001</v>
      </c>
      <c r="AD63" s="949" t="n"/>
      <c r="AE63" s="950" t="n"/>
      <c r="AF63" s="950" t="n"/>
      <c r="AG63" s="950" t="n"/>
      <c r="AH63" s="950" t="n"/>
      <c r="AI63" s="950" t="n"/>
      <c r="AJ63" s="953" t="n"/>
      <c r="AK63" s="954" t="n"/>
      <c r="AL63" s="955" t="n"/>
      <c r="AM63" s="955" t="n"/>
      <c r="AN63" s="955" t="n"/>
      <c r="AO63" s="955" t="n"/>
      <c r="AP63" s="956" t="n"/>
      <c r="AQ63" s="954" t="n"/>
      <c r="AR63" s="955" t="n"/>
      <c r="AS63" s="955" t="n"/>
      <c r="AT63" s="955" t="n"/>
      <c r="AU63" s="955" t="n"/>
      <c r="AV63" s="956" t="n"/>
      <c r="AW63" s="954" t="n"/>
      <c r="AX63" s="955" t="n"/>
      <c r="AY63" s="955" t="n"/>
      <c r="AZ63" s="955" t="n"/>
      <c r="BA63" s="955" t="n"/>
      <c r="BB63" s="955" t="n"/>
      <c r="BC63" s="955" t="n"/>
      <c r="BD63" s="954" t="n"/>
      <c r="BE63" s="955" t="n"/>
      <c r="BF63" s="955" t="n"/>
      <c r="BG63" s="955" t="n"/>
      <c r="BH63" s="955" t="n"/>
      <c r="BI63" s="955" t="n"/>
      <c r="BJ63" s="949" t="n"/>
      <c r="BK63" s="950" t="n"/>
      <c r="BL63" s="950" t="n"/>
      <c r="BM63" s="950" t="n"/>
      <c r="BN63" s="950" t="n"/>
      <c r="BO63" s="953" t="n"/>
      <c r="BP63" s="949" t="n"/>
      <c r="BQ63" s="950" t="n"/>
      <c r="BR63" s="950" t="n"/>
      <c r="BS63" s="950" t="n"/>
      <c r="BT63" s="950" t="n"/>
      <c r="BU63" s="953" t="n"/>
      <c r="BV63" s="949" t="n"/>
      <c r="BW63" s="950" t="n"/>
      <c r="BX63" s="950" t="n"/>
      <c r="BY63" s="950" t="n"/>
      <c r="BZ63" s="950" t="n"/>
      <c r="CA63" s="957" t="n"/>
    </row>
    <row r="65" ht="16.5" customHeight="1" s="838">
      <c r="G65" s="958" t="n"/>
      <c r="H65" s="958" t="n"/>
      <c r="I65" s="958" t="n"/>
      <c r="J65" s="958" t="n"/>
      <c r="K65" s="958" t="n"/>
      <c r="L65" s="958" t="n"/>
      <c r="M65" s="958" t="n"/>
      <c r="N65" s="958" t="n"/>
      <c r="O65" s="958" t="n"/>
      <c r="P65" s="958" t="n"/>
      <c r="Q65" s="958" t="n"/>
      <c r="R65" s="958" t="n"/>
      <c r="S65" s="958" t="n"/>
      <c r="X65" s="958" t="n"/>
      <c r="Y65" s="958" t="n"/>
      <c r="Z65" s="958" t="n"/>
      <c r="AA65" s="958" t="n"/>
      <c r="AB65" s="958" t="n"/>
      <c r="AC65" s="958" t="n"/>
      <c r="AD65" s="958" t="n"/>
      <c r="AE65" s="958" t="n"/>
      <c r="AF65" s="958" t="n"/>
      <c r="AG65" s="958" t="n"/>
      <c r="AH65" s="958" t="n"/>
      <c r="AI65" s="958" t="n"/>
      <c r="AJ65" s="958" t="n"/>
      <c r="AK65" s="958" t="n"/>
      <c r="AL65" s="958" t="n"/>
      <c r="AM65" s="958" t="n"/>
      <c r="AN65" s="958" t="n"/>
      <c r="AO65" s="958" t="n"/>
      <c r="AP65" s="958" t="n"/>
      <c r="AQ65" s="958" t="n"/>
      <c r="AR65" s="958" t="n"/>
      <c r="AS65" s="958" t="n"/>
      <c r="AT65" s="958" t="n"/>
      <c r="AU65" s="958" t="n"/>
      <c r="AV65" s="958" t="n"/>
    </row>
    <row r="66" ht="16.5" customHeight="1" s="838">
      <c r="G66" s="946" t="n"/>
      <c r="H66" s="946" t="n"/>
      <c r="I66" s="958" t="n"/>
      <c r="J66" s="958" t="n"/>
      <c r="K66" s="958" t="n"/>
      <c r="L66" s="958" t="n"/>
      <c r="M66" s="946" t="n"/>
      <c r="N66" s="958" t="n"/>
      <c r="O66" s="958" t="n"/>
      <c r="P66" s="958" t="n"/>
      <c r="Q66" s="958" t="n"/>
      <c r="R66" s="946" t="n"/>
      <c r="S66" s="958" t="n"/>
      <c r="X66" s="946" t="n"/>
      <c r="Y66" s="946" t="n"/>
      <c r="Z66" s="946" t="n"/>
      <c r="AA66" s="946" t="n"/>
      <c r="AB66" s="946" t="n"/>
      <c r="AC66" s="946" t="n"/>
      <c r="AD66" s="946" t="n"/>
      <c r="AE66" s="946" t="n"/>
      <c r="AF66" s="946" t="n"/>
      <c r="AG66" s="946" t="n"/>
      <c r="AH66" s="946" t="n"/>
      <c r="AI66" s="946" t="n"/>
      <c r="AJ66" s="946" t="n"/>
      <c r="AK66" s="946" t="n"/>
      <c r="AL66" s="946" t="n"/>
      <c r="AM66" s="946" t="n"/>
      <c r="AN66" s="946" t="n"/>
      <c r="AO66" s="946" t="n"/>
      <c r="AP66" s="946" t="n"/>
      <c r="AQ66" s="946" t="n"/>
      <c r="AR66" s="946" t="n"/>
      <c r="AS66" s="946" t="n"/>
      <c r="AT66" s="946" t="n"/>
      <c r="AU66" s="946" t="n"/>
      <c r="AV66" s="946" t="n"/>
    </row>
    <row r="67" ht="16.5" customHeight="1" s="838">
      <c r="G67" s="958" t="n"/>
      <c r="H67" s="958" t="n"/>
      <c r="I67" s="958" t="n"/>
      <c r="J67" s="958" t="n"/>
      <c r="K67" s="958" t="n"/>
      <c r="L67" s="958" t="n"/>
      <c r="M67" s="958" t="n"/>
      <c r="N67" s="958" t="n"/>
      <c r="O67" s="958" t="n"/>
      <c r="P67" s="958" t="n"/>
      <c r="Q67" s="958" t="n"/>
      <c r="R67" s="958" t="n"/>
      <c r="S67" s="958" t="n"/>
      <c r="X67" s="958" t="n"/>
      <c r="Y67" s="958" t="n"/>
      <c r="Z67" s="958" t="n"/>
      <c r="AA67" s="958" t="n"/>
      <c r="AB67" s="958" t="n"/>
      <c r="AC67" s="958" t="n"/>
      <c r="AD67" s="958" t="n"/>
      <c r="AE67" s="958" t="n"/>
      <c r="AF67" s="958" t="n"/>
      <c r="AG67" s="958" t="n"/>
      <c r="AH67" s="958" t="n"/>
      <c r="AI67" s="958" t="n"/>
      <c r="AJ67" s="958" t="n"/>
      <c r="AK67" s="958" t="n"/>
      <c r="AL67" s="958" t="n"/>
      <c r="AM67" s="958" t="n"/>
      <c r="AN67" s="958" t="n"/>
      <c r="AO67" s="958" t="n"/>
      <c r="AP67" s="958" t="n"/>
      <c r="AQ67" s="958" t="n"/>
      <c r="AR67" s="958" t="n"/>
      <c r="AS67" s="958" t="n"/>
      <c r="AT67" s="958" t="n"/>
      <c r="AU67" s="958" t="n"/>
      <c r="AV67" s="958" t="n"/>
    </row>
    <row r="68" ht="16.5" customHeight="1" s="838">
      <c r="G68" s="946" t="n"/>
      <c r="H68" s="946" t="n"/>
      <c r="I68" s="958" t="n"/>
      <c r="J68" s="958" t="n"/>
      <c r="K68" s="958" t="n"/>
      <c r="L68" s="958" t="n"/>
      <c r="M68" s="946" t="n"/>
      <c r="N68" s="958" t="n"/>
      <c r="O68" s="958" t="n"/>
      <c r="P68" s="958" t="n"/>
      <c r="Q68" s="958" t="n"/>
      <c r="R68" s="946" t="n"/>
      <c r="S68" s="958" t="n"/>
      <c r="X68" s="946" t="n"/>
      <c r="Y68" s="946" t="n"/>
      <c r="Z68" s="946" t="n"/>
      <c r="AA68" s="946" t="n"/>
      <c r="AB68" s="946" t="n"/>
      <c r="AC68" s="946" t="n"/>
      <c r="AD68" s="946" t="n"/>
      <c r="AE68" s="946" t="n"/>
      <c r="AF68" s="946" t="n"/>
      <c r="AG68" s="946" t="n"/>
      <c r="AH68" s="946" t="n"/>
      <c r="AI68" s="946" t="n"/>
      <c r="AJ68" s="946" t="n"/>
      <c r="AK68" s="946" t="n"/>
      <c r="AL68" s="946" t="n"/>
      <c r="AM68" s="946" t="n"/>
      <c r="AN68" s="946" t="n"/>
      <c r="AO68" s="946" t="n"/>
      <c r="AP68" s="946" t="n"/>
      <c r="AQ68" s="946" t="n"/>
      <c r="AR68" s="946" t="n"/>
      <c r="AS68" s="946" t="n"/>
      <c r="AT68" s="946" t="n"/>
      <c r="AU68" s="946" t="n"/>
      <c r="AV68" s="946" t="n"/>
    </row>
    <row r="69" ht="16.5" customHeight="1" s="838">
      <c r="G69" s="958" t="n"/>
      <c r="H69" s="958" t="n"/>
      <c r="I69" s="958" t="n"/>
      <c r="J69" s="958" t="n"/>
      <c r="K69" s="958" t="n"/>
      <c r="L69" s="958" t="n"/>
      <c r="M69" s="958" t="n"/>
      <c r="N69" s="958" t="n"/>
      <c r="O69" s="958" t="n"/>
      <c r="P69" s="958" t="n"/>
      <c r="Q69" s="958" t="n"/>
      <c r="R69" s="958" t="n"/>
      <c r="S69" s="958" t="n"/>
      <c r="X69" s="958" t="n"/>
      <c r="Y69" s="958" t="n"/>
      <c r="Z69" s="958" t="n"/>
      <c r="AA69" s="958" t="n"/>
      <c r="AB69" s="958" t="n"/>
      <c r="AC69" s="958" t="n"/>
      <c r="AD69" s="958" t="n"/>
      <c r="AE69" s="958" t="n"/>
      <c r="AF69" s="958" t="n"/>
      <c r="AG69" s="958" t="n"/>
      <c r="AH69" s="958" t="n"/>
      <c r="AI69" s="958" t="n"/>
      <c r="AJ69" s="958" t="n"/>
      <c r="AK69" s="958" t="n"/>
      <c r="AL69" s="958" t="n"/>
      <c r="AM69" s="958" t="n"/>
      <c r="AN69" s="958" t="n"/>
      <c r="AO69" s="958" t="n"/>
      <c r="AP69" s="958" t="n"/>
      <c r="AQ69" s="958" t="n"/>
      <c r="AR69" s="958" t="n"/>
      <c r="AS69" s="958" t="n"/>
      <c r="AT69" s="958" t="n"/>
      <c r="AU69" s="958" t="n"/>
      <c r="AV69" s="958" t="n"/>
    </row>
    <row r="70" ht="16.5" customHeight="1" s="838">
      <c r="G70" s="946" t="n"/>
      <c r="H70" s="946" t="n"/>
      <c r="I70" s="958" t="n"/>
      <c r="J70" s="958" t="n"/>
      <c r="K70" s="958" t="n"/>
      <c r="L70" s="958" t="n"/>
      <c r="M70" s="946" t="n"/>
      <c r="N70" s="958" t="n"/>
      <c r="O70" s="958" t="n"/>
      <c r="P70" s="958" t="n"/>
      <c r="Q70" s="958" t="n"/>
      <c r="R70" s="946" t="n"/>
      <c r="S70" s="958" t="n"/>
      <c r="X70" s="946" t="n"/>
      <c r="Y70" s="946" t="n"/>
      <c r="Z70" s="946" t="n"/>
      <c r="AA70" s="946" t="n"/>
      <c r="AB70" s="946" t="n"/>
      <c r="AC70" s="946" t="n"/>
      <c r="AD70" s="946" t="n"/>
      <c r="AE70" s="946" t="n"/>
      <c r="AF70" s="946" t="n"/>
      <c r="AG70" s="946" t="n"/>
      <c r="AH70" s="946" t="n"/>
      <c r="AI70" s="946" t="n"/>
      <c r="AJ70" s="946" t="n"/>
      <c r="AK70" s="946" t="n"/>
      <c r="AL70" s="946" t="n"/>
      <c r="AM70" s="946" t="n"/>
      <c r="AN70" s="946" t="n"/>
      <c r="AO70" s="946" t="n"/>
      <c r="AP70" s="946" t="n"/>
      <c r="AQ70" s="946" t="n"/>
      <c r="AR70" s="946" t="n"/>
      <c r="AS70" s="946" t="n"/>
      <c r="AT70" s="946" t="n"/>
      <c r="AU70" s="946" t="n"/>
      <c r="AV70" s="946" t="n"/>
    </row>
    <row r="71" ht="16.5" customHeight="1" s="838">
      <c r="G71" s="958" t="n"/>
      <c r="H71" s="958" t="n"/>
      <c r="I71" s="958" t="n"/>
      <c r="J71" s="958" t="n"/>
      <c r="K71" s="958" t="n"/>
      <c r="L71" s="958" t="n"/>
      <c r="M71" s="958" t="n"/>
      <c r="N71" s="958" t="n"/>
      <c r="O71" s="958" t="n"/>
      <c r="P71" s="958" t="n"/>
      <c r="Q71" s="958" t="n"/>
      <c r="R71" s="958" t="n"/>
      <c r="S71" s="958" t="n"/>
      <c r="X71" s="958" t="n"/>
      <c r="Y71" s="958" t="n"/>
      <c r="Z71" s="958" t="n"/>
      <c r="AA71" s="958" t="n"/>
      <c r="AB71" s="958" t="n"/>
      <c r="AC71" s="958" t="n"/>
      <c r="AD71" s="958" t="n"/>
      <c r="AE71" s="958" t="n"/>
      <c r="AF71" s="958" t="n"/>
      <c r="AG71" s="958" t="n"/>
      <c r="AH71" s="958" t="n"/>
      <c r="AI71" s="958" t="n"/>
      <c r="AJ71" s="958" t="n"/>
      <c r="AK71" s="958" t="n"/>
      <c r="AL71" s="958" t="n"/>
      <c r="AM71" s="958" t="n"/>
      <c r="AN71" s="958" t="n"/>
      <c r="AO71" s="958" t="n"/>
      <c r="AP71" s="958" t="n"/>
      <c r="AQ71" s="958" t="n"/>
      <c r="AR71" s="958" t="n"/>
      <c r="AS71" s="958" t="n"/>
      <c r="AT71" s="958" t="n"/>
      <c r="AU71" s="958" t="n"/>
      <c r="AV71" s="958" t="n"/>
    </row>
    <row r="72" ht="16.5" customHeight="1" s="838">
      <c r="G72" s="946" t="n"/>
      <c r="H72" s="946" t="n"/>
      <c r="I72" s="958" t="n"/>
      <c r="J72" s="958" t="n"/>
      <c r="K72" s="958" t="n"/>
      <c r="L72" s="958" t="n"/>
      <c r="M72" s="946" t="n"/>
      <c r="N72" s="958" t="n"/>
      <c r="O72" s="958" t="n"/>
      <c r="P72" s="958" t="n"/>
      <c r="Q72" s="958" t="n"/>
      <c r="R72" s="946" t="n"/>
      <c r="S72" s="958" t="n"/>
      <c r="X72" s="946" t="n"/>
      <c r="Y72" s="946" t="n"/>
      <c r="Z72" s="946" t="n"/>
      <c r="AA72" s="946" t="n"/>
      <c r="AB72" s="946" t="n"/>
      <c r="AC72" s="946" t="n"/>
      <c r="AD72" s="946" t="n"/>
      <c r="AE72" s="946" t="n"/>
      <c r="AF72" s="946" t="n"/>
      <c r="AG72" s="946" t="n"/>
      <c r="AH72" s="946" t="n"/>
      <c r="AI72" s="946" t="n"/>
      <c r="AJ72" s="946" t="n"/>
      <c r="AK72" s="946" t="n"/>
      <c r="AL72" s="946" t="n"/>
      <c r="AM72" s="946" t="n"/>
      <c r="AN72" s="946" t="n"/>
      <c r="AO72" s="946" t="n"/>
      <c r="AP72" s="946" t="n"/>
      <c r="AQ72" s="946" t="n"/>
      <c r="AR72" s="946" t="n"/>
      <c r="AS72" s="946" t="n"/>
      <c r="AT72" s="946" t="n"/>
      <c r="AU72" s="946" t="n"/>
      <c r="AV72" s="946" t="n"/>
    </row>
  </sheetData>
  <mergeCells count="59">
    <mergeCell ref="C14:C17"/>
    <mergeCell ref="B4:B9"/>
    <mergeCell ref="D16:E17"/>
    <mergeCell ref="BD2:BI2"/>
    <mergeCell ref="E48:E49"/>
    <mergeCell ref="BP2:BU2"/>
    <mergeCell ref="E42:E43"/>
    <mergeCell ref="BJ2:BO2"/>
    <mergeCell ref="D12:E13"/>
    <mergeCell ref="C26:C29"/>
    <mergeCell ref="E60:E61"/>
    <mergeCell ref="D28:E29"/>
    <mergeCell ref="D24:E25"/>
    <mergeCell ref="C30:C33"/>
    <mergeCell ref="D18:E19"/>
    <mergeCell ref="C10:C13"/>
    <mergeCell ref="AQ2:AV2"/>
    <mergeCell ref="C6:E7"/>
    <mergeCell ref="C34:C43"/>
    <mergeCell ref="C22:C25"/>
    <mergeCell ref="M2:Q2"/>
    <mergeCell ref="E38:E39"/>
    <mergeCell ref="C18:C21"/>
    <mergeCell ref="BV2:CA2"/>
    <mergeCell ref="D20:E21"/>
    <mergeCell ref="C4:E5"/>
    <mergeCell ref="D14:E15"/>
    <mergeCell ref="D46:D53"/>
    <mergeCell ref="E46:E47"/>
    <mergeCell ref="B22:B33"/>
    <mergeCell ref="D30:E31"/>
    <mergeCell ref="E40:E41"/>
    <mergeCell ref="D36:D43"/>
    <mergeCell ref="D26:E27"/>
    <mergeCell ref="D10:E11"/>
    <mergeCell ref="C54:C63"/>
    <mergeCell ref="AW2:BC2"/>
    <mergeCell ref="D54:E55"/>
    <mergeCell ref="C44:C53"/>
    <mergeCell ref="R2:W2"/>
    <mergeCell ref="D34:E35"/>
    <mergeCell ref="AK2:AP2"/>
    <mergeCell ref="E36:E37"/>
    <mergeCell ref="D44:E45"/>
    <mergeCell ref="B34:B63"/>
    <mergeCell ref="D22:E23"/>
    <mergeCell ref="E50:E51"/>
    <mergeCell ref="X2:AC2"/>
    <mergeCell ref="E62:E63"/>
    <mergeCell ref="D56:D63"/>
    <mergeCell ref="B10:B21"/>
    <mergeCell ref="E56:E57"/>
    <mergeCell ref="G2:L2"/>
    <mergeCell ref="B2:F3"/>
    <mergeCell ref="C8:E9"/>
    <mergeCell ref="D32:E33"/>
    <mergeCell ref="E58:E59"/>
    <mergeCell ref="AD2:AJ2"/>
    <mergeCell ref="E52:E5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006600"/>
    <outlinePr summaryBelow="1" summaryRight="1"/>
    <pageSetUpPr/>
  </sheetPr>
  <dimension ref="B1:BZ183"/>
  <sheetViews>
    <sheetView showGridLines="0" zoomScale="75" zoomScaleNormal="75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I23" sqref="I23"/>
    </sheetView>
  </sheetViews>
  <sheetFormatPr baseColWidth="8" defaultColWidth="9" defaultRowHeight="16.5" customHeight="1"/>
  <cols>
    <col width="4.375" customWidth="1" style="831" min="1" max="1"/>
    <col width="13.875" customWidth="1" style="831" min="2" max="2"/>
    <col width="12.125" customWidth="1" style="831" min="3" max="3"/>
    <col width="18.5" customWidth="1" style="831" min="4" max="4"/>
    <col width="11" customWidth="1" style="831" min="5" max="5"/>
    <col width="8.375" customWidth="1" style="831" min="6" max="7"/>
    <col outlineLevel="1" width="8.375" customWidth="1" style="831" min="8" max="9"/>
    <col outlineLevel="1" width="7.5" customWidth="1" style="831" min="10" max="10"/>
    <col outlineLevel="1" width="8.375" customWidth="1" style="831" min="11" max="12"/>
    <col width="8.375" customWidth="1" style="831" min="13" max="13"/>
    <col outlineLevel="1" width="8.375" customWidth="1" style="831" min="14" max="14"/>
    <col outlineLevel="1" width="7.5" customWidth="1" style="831" min="15" max="15"/>
    <col outlineLevel="1" width="8.375" customWidth="1" style="831" min="16" max="17"/>
    <col width="8.375" customWidth="1" style="831" min="18" max="18"/>
    <col outlineLevel="1" width="9" customWidth="1" style="831" min="19" max="23"/>
    <col width="7.5" customWidth="1" style="831" min="24" max="24"/>
    <col outlineLevel="1" width="8.375" customWidth="1" style="831" min="25" max="25"/>
    <col outlineLevel="1" width="7.5" customWidth="1" style="831" min="26" max="26"/>
    <col outlineLevel="1" width="8.375" customWidth="1" style="831" min="27" max="29"/>
    <col width="8.375" customWidth="1" style="831" min="30" max="30"/>
    <col outlineLevel="1" width="8.375" customWidth="1" style="831" min="31" max="36"/>
    <col width="8.375" customWidth="1" style="831" min="37" max="37"/>
    <col outlineLevel="1" width="8.375" customWidth="1" style="831" min="38" max="42"/>
    <col width="8.375" customWidth="1" style="831" min="43" max="43"/>
    <col outlineLevel="1" width="8.375" customWidth="1" style="831" min="44" max="48"/>
    <col width="7.5" customWidth="1" style="831" min="49" max="49"/>
    <col outlineLevel="1" width="7.5" customWidth="1" style="831" min="50" max="55"/>
    <col width="8.375" customWidth="1" style="831" min="56" max="56"/>
    <col outlineLevel="1" width="8.375" customWidth="1" style="831" min="57" max="61"/>
    <col width="7.5" customWidth="1" style="831" min="62" max="62"/>
    <col outlineLevel="1" width="7.5" customWidth="1" style="831" min="63" max="67"/>
    <col width="7.5" customWidth="1" style="831" min="68" max="68"/>
    <col outlineLevel="1" width="7.5" customWidth="1" style="831" min="69" max="71"/>
    <col outlineLevel="1" width="8.375" customWidth="1" style="831" min="72" max="72"/>
    <col width="8.375" customWidth="1" style="831" min="73" max="73"/>
    <col outlineLevel="1" width="8.375" customWidth="1" style="831" min="74" max="78"/>
    <col width="9" customWidth="1" style="831" min="79" max="79"/>
    <col width="9" customWidth="1" style="831" min="80" max="16384"/>
  </cols>
  <sheetData>
    <row r="1" ht="16.5" customHeight="1" s="838">
      <c r="F1" s="189" t="inlineStr">
        <is>
          <t>계획환율</t>
        </is>
      </c>
      <c r="G1" s="959" t="n">
        <v>1340</v>
      </c>
      <c r="H1" s="959" t="n">
        <v>1340</v>
      </c>
      <c r="I1" s="959" t="n">
        <v>1340</v>
      </c>
      <c r="J1" s="959" t="n">
        <v>1340</v>
      </c>
      <c r="K1" s="959" t="n">
        <v>1340</v>
      </c>
      <c r="L1" s="959" t="n">
        <v>1340</v>
      </c>
      <c r="M1" s="959" t="n">
        <v>1340</v>
      </c>
      <c r="N1" s="959" t="n">
        <v>1340</v>
      </c>
      <c r="O1" s="959" t="n">
        <v>1340</v>
      </c>
      <c r="P1" s="959" t="n">
        <v>1340</v>
      </c>
      <c r="Q1" s="959" t="n">
        <v>1340</v>
      </c>
      <c r="R1" s="959" t="n">
        <v>1340</v>
      </c>
      <c r="S1" s="959" t="n">
        <v>1340</v>
      </c>
      <c r="T1" s="959" t="n">
        <v>1340</v>
      </c>
      <c r="U1" s="189" t="n">
        <v>1340</v>
      </c>
      <c r="V1" s="189" t="n">
        <v>1340</v>
      </c>
      <c r="W1" s="189" t="n">
        <v>1340</v>
      </c>
      <c r="X1" s="189" t="n">
        <v>1340</v>
      </c>
      <c r="Y1" s="189" t="n">
        <v>1340</v>
      </c>
      <c r="Z1" s="189" t="n">
        <v>1340</v>
      </c>
      <c r="AA1" s="189" t="n">
        <v>1340</v>
      </c>
      <c r="AB1" s="189" t="n">
        <v>1340</v>
      </c>
      <c r="AC1" s="189" t="n">
        <v>1340</v>
      </c>
      <c r="AD1" s="189" t="n"/>
      <c r="AE1" s="189" t="n"/>
      <c r="AF1" s="189" t="n"/>
      <c r="AG1" s="189" t="n"/>
      <c r="AH1" s="189" t="n"/>
      <c r="AI1" s="189" t="n"/>
      <c r="AJ1" s="189" t="n"/>
      <c r="AK1" s="189" t="n"/>
      <c r="AL1" s="189" t="n"/>
      <c r="AM1" s="189" t="n"/>
      <c r="AN1" s="189" t="n"/>
      <c r="AO1" s="189" t="n"/>
      <c r="AP1" s="189" t="n"/>
      <c r="AQ1" s="189" t="n"/>
      <c r="AR1" s="189" t="n"/>
      <c r="AS1" s="189" t="n"/>
      <c r="AT1" s="189" t="n"/>
      <c r="AU1" s="189" t="n"/>
      <c r="AV1" s="189" t="n"/>
      <c r="AW1" s="189" t="n"/>
      <c r="AX1" s="189" t="n"/>
      <c r="AY1" s="189" t="n"/>
      <c r="AZ1" s="189" t="n"/>
      <c r="BA1" s="189" t="n"/>
      <c r="BB1" s="189" t="n"/>
      <c r="BC1" s="189" t="n"/>
      <c r="BD1" s="189" t="n"/>
      <c r="BE1" s="189" t="n"/>
      <c r="BF1" s="189" t="n"/>
      <c r="BG1" s="189" t="n"/>
      <c r="BH1" s="189" t="n"/>
      <c r="BI1" s="189" t="n"/>
      <c r="BJ1" s="189" t="n"/>
      <c r="BK1" s="189" t="n"/>
      <c r="BL1" s="189" t="n"/>
      <c r="BM1" s="189" t="n"/>
      <c r="BN1" s="189" t="n"/>
      <c r="BO1" s="189" t="n"/>
      <c r="BP1" s="189" t="n"/>
      <c r="BQ1" s="189" t="n"/>
      <c r="BR1" s="189" t="n"/>
      <c r="BS1" s="189" t="n"/>
      <c r="BT1" s="189" t="n"/>
      <c r="BU1" s="189" t="n"/>
      <c r="BV1" s="189" t="n"/>
      <c r="BW1" s="189" t="n"/>
      <c r="BX1" s="189" t="n"/>
      <c r="BY1" s="189" t="n"/>
      <c r="BZ1" s="189" t="n"/>
    </row>
    <row r="2" ht="16.5" customHeight="1" s="838">
      <c r="F2" s="189" t="inlineStr">
        <is>
          <t>실적환율</t>
        </is>
      </c>
      <c r="G2" s="959" t="n">
        <v>1454.62580645161</v>
      </c>
      <c r="H2" s="959" t="n">
        <v>1454.62580645161</v>
      </c>
      <c r="I2" s="959" t="n">
        <v>1454.62580645161</v>
      </c>
      <c r="J2" s="959" t="n">
        <v>1454.62580645161</v>
      </c>
      <c r="K2" s="959" t="n">
        <v>1454.62580645161</v>
      </c>
      <c r="L2" s="959" t="n">
        <v>1454.62580645161</v>
      </c>
      <c r="M2" s="959" t="n">
        <v>1450</v>
      </c>
      <c r="N2" s="959" t="n">
        <v>1450</v>
      </c>
      <c r="O2" s="959" t="n">
        <v>1450</v>
      </c>
      <c r="P2" s="959" t="n">
        <v>1450</v>
      </c>
      <c r="Q2" s="959" t="n">
        <v>1450</v>
      </c>
      <c r="R2" s="959" t="n">
        <v>1450</v>
      </c>
      <c r="S2" s="959" t="n">
        <v>1440</v>
      </c>
      <c r="T2" s="959" t="n">
        <v>1440</v>
      </c>
      <c r="U2" s="191" t="n">
        <v>1487.63</v>
      </c>
      <c r="V2" s="189" t="n">
        <v>1480.00000000001</v>
      </c>
      <c r="W2" s="189" t="n">
        <v>1480.00000000001</v>
      </c>
      <c r="X2" s="189" t="n">
        <v>1480.00000000001</v>
      </c>
      <c r="Y2" s="189" t="n">
        <v>1480.00000000001</v>
      </c>
      <c r="Z2" s="191" t="n">
        <v>1488.46129032258</v>
      </c>
      <c r="AA2" s="191" t="n">
        <v>1488.46129032258</v>
      </c>
      <c r="AB2" s="191" t="n">
        <v>1488.46129032258</v>
      </c>
      <c r="AC2" s="191" t="n">
        <v>1488.46129032258</v>
      </c>
      <c r="AD2" s="191" t="n"/>
      <c r="AE2" s="191" t="n"/>
      <c r="AF2" s="191" t="n"/>
      <c r="AG2" s="191" t="n"/>
      <c r="AH2" s="191" t="n"/>
      <c r="AI2" s="191" t="n"/>
      <c r="AJ2" s="189" t="n"/>
      <c r="AK2" s="189" t="n"/>
      <c r="AL2" s="189" t="n"/>
      <c r="AM2" s="189" t="n"/>
      <c r="AN2" s="191" t="n"/>
      <c r="AO2" s="191" t="n"/>
      <c r="AP2" s="191" t="n"/>
      <c r="AQ2" s="191" t="n"/>
      <c r="AR2" s="191" t="n"/>
      <c r="AS2" s="191" t="n"/>
      <c r="AT2" s="189" t="n"/>
      <c r="AU2" s="189" t="n"/>
      <c r="AV2" s="189" t="n"/>
      <c r="AW2" s="189" t="n"/>
      <c r="AX2" s="191" t="n"/>
      <c r="AY2" s="191" t="n"/>
      <c r="AZ2" s="191" t="n"/>
      <c r="BA2" s="191" t="n"/>
      <c r="BB2" s="191" t="n"/>
      <c r="BC2" s="189" t="n"/>
      <c r="BD2" s="189" t="n"/>
      <c r="BE2" s="189" t="n"/>
      <c r="BF2" s="189" t="n"/>
      <c r="BG2" s="191" t="n"/>
      <c r="BH2" s="191" t="n"/>
      <c r="BI2" s="191" t="n"/>
      <c r="BJ2" s="191" t="n"/>
      <c r="BK2" s="191" t="n"/>
      <c r="BL2" s="191" t="n"/>
      <c r="BM2" s="191" t="n"/>
      <c r="BN2" s="191" t="n"/>
      <c r="BO2" s="191" t="n"/>
      <c r="BP2" s="189" t="n"/>
      <c r="BQ2" s="191" t="n"/>
      <c r="BR2" s="191" t="n"/>
      <c r="BS2" s="191" t="n"/>
      <c r="BT2" s="189" t="n"/>
      <c r="BU2" s="191" t="n"/>
      <c r="BV2" s="191" t="n"/>
      <c r="BW2" s="191" t="n"/>
      <c r="BX2" s="189" t="n"/>
      <c r="BY2" s="189" t="n"/>
      <c r="BZ2" s="189" t="n"/>
    </row>
    <row r="3" ht="16.5" customHeight="1" s="838">
      <c r="G3" s="192" t="n"/>
      <c r="H3" s="192" t="n"/>
      <c r="I3" s="192" t="n"/>
      <c r="J3" s="192" t="n"/>
      <c r="K3" s="192" t="n"/>
      <c r="L3" s="192" t="n"/>
      <c r="M3" s="192" t="n"/>
      <c r="N3" s="192" t="n"/>
      <c r="O3" s="192" t="n"/>
      <c r="P3" s="192" t="n"/>
      <c r="Q3" s="192" t="n"/>
      <c r="R3" s="192" t="n"/>
      <c r="S3" s="192" t="n"/>
      <c r="T3" s="192" t="n"/>
      <c r="U3" s="192" t="n"/>
      <c r="V3" s="192" t="n"/>
      <c r="W3" s="192" t="n"/>
      <c r="X3" s="192" t="n"/>
      <c r="Y3" s="192" t="n"/>
      <c r="Z3" s="192" t="n"/>
      <c r="AA3" s="192" t="n"/>
      <c r="AB3" s="192" t="n"/>
      <c r="AC3" s="192" t="n"/>
      <c r="AD3" s="192" t="n"/>
      <c r="AE3" s="192" t="n"/>
      <c r="AF3" s="192" t="n"/>
      <c r="AG3" s="192" t="n"/>
      <c r="AH3" s="192" t="n"/>
      <c r="AI3" s="192" t="n"/>
      <c r="AJ3" s="192" t="n"/>
      <c r="AK3" s="192" t="n"/>
      <c r="AL3" s="192" t="n"/>
      <c r="AM3" s="192" t="n"/>
      <c r="AN3" s="192" t="n"/>
      <c r="AO3" s="192" t="n"/>
      <c r="AP3" s="192" t="n"/>
      <c r="AQ3" s="192" t="n"/>
      <c r="AR3" s="192" t="n"/>
      <c r="AS3" s="192" t="n"/>
      <c r="AT3" s="192" t="n"/>
      <c r="AU3" s="192" t="n"/>
      <c r="AV3" s="192" t="n"/>
      <c r="AW3" s="192" t="n"/>
      <c r="AX3" s="192" t="n"/>
      <c r="AY3" s="192" t="n"/>
      <c r="AZ3" s="192" t="n"/>
      <c r="BA3" s="192" t="n"/>
      <c r="BB3" s="192" t="n"/>
      <c r="BC3" s="192" t="n"/>
      <c r="BD3" s="192" t="n"/>
      <c r="BE3" s="192" t="n"/>
      <c r="BF3" s="192" t="n"/>
      <c r="BG3" s="192" t="n"/>
      <c r="BH3" s="192" t="n"/>
      <c r="BI3" s="192" t="n"/>
      <c r="BJ3" s="192" t="n"/>
      <c r="BK3" s="192" t="n"/>
      <c r="BL3" s="192" t="n"/>
      <c r="BM3" s="192" t="n"/>
      <c r="BN3" s="192" t="n"/>
      <c r="BO3" s="192" t="n"/>
      <c r="BP3" s="192" t="n"/>
      <c r="BQ3" s="192" t="n"/>
      <c r="BR3" s="192" t="n"/>
      <c r="BS3" s="192" t="n"/>
      <c r="BT3" s="192" t="n"/>
      <c r="BU3" s="192" t="n"/>
      <c r="BV3" s="192" t="n"/>
      <c r="BW3" s="192" t="n"/>
      <c r="BX3" s="192" t="n"/>
      <c r="BY3" s="192" t="n"/>
      <c r="BZ3" s="192" t="n"/>
    </row>
    <row r="4" ht="16.5" customHeight="1" s="838">
      <c r="B4" s="733" t="n"/>
      <c r="C4" s="745" t="n"/>
      <c r="D4" s="745" t="n"/>
      <c r="E4" s="745" t="n"/>
      <c r="F4" s="734" t="n"/>
      <c r="G4" s="733" t="inlineStr">
        <is>
          <t>1월</t>
        </is>
      </c>
      <c r="H4" s="740" t="n"/>
      <c r="I4" s="740" t="n"/>
      <c r="J4" s="740" t="n"/>
      <c r="K4" s="740" t="n"/>
      <c r="L4" s="741" t="n"/>
      <c r="M4" s="733" t="inlineStr">
        <is>
          <t>2월</t>
        </is>
      </c>
      <c r="N4" s="740" t="n"/>
      <c r="O4" s="740" t="n"/>
      <c r="P4" s="740" t="n"/>
      <c r="Q4" s="741" t="n"/>
      <c r="R4" s="733" t="inlineStr">
        <is>
          <t>3월</t>
        </is>
      </c>
      <c r="S4" s="740" t="n"/>
      <c r="T4" s="740" t="n"/>
      <c r="U4" s="740" t="n"/>
      <c r="V4" s="740" t="n"/>
      <c r="W4" s="741" t="n"/>
      <c r="X4" s="733" t="inlineStr">
        <is>
          <t>4월</t>
        </is>
      </c>
      <c r="Y4" s="740" t="n"/>
      <c r="Z4" s="740" t="n"/>
      <c r="AA4" s="740" t="n"/>
      <c r="AB4" s="740" t="n"/>
      <c r="AC4" s="741" t="n"/>
      <c r="AD4" s="777" t="inlineStr">
        <is>
          <t>5월</t>
        </is>
      </c>
      <c r="AE4" s="740" t="n"/>
      <c r="AF4" s="740" t="n"/>
      <c r="AG4" s="740" t="n"/>
      <c r="AH4" s="740" t="n"/>
      <c r="AI4" s="740" t="n"/>
      <c r="AJ4" s="741" t="n"/>
      <c r="AK4" s="733" t="inlineStr">
        <is>
          <t>6월</t>
        </is>
      </c>
      <c r="AL4" s="740" t="n"/>
      <c r="AM4" s="740" t="n"/>
      <c r="AN4" s="740" t="n"/>
      <c r="AO4" s="740" t="n"/>
      <c r="AP4" s="741" t="n"/>
      <c r="AQ4" s="778" t="inlineStr">
        <is>
          <t>7월</t>
        </is>
      </c>
      <c r="AR4" s="740" t="n"/>
      <c r="AS4" s="740" t="n"/>
      <c r="AT4" s="740" t="n"/>
      <c r="AU4" s="740" t="n"/>
      <c r="AV4" s="741" t="n"/>
      <c r="AW4" s="776" t="inlineStr">
        <is>
          <t>8월</t>
        </is>
      </c>
      <c r="AX4" s="740" t="n"/>
      <c r="AY4" s="740" t="n"/>
      <c r="AZ4" s="740" t="n"/>
      <c r="BA4" s="740" t="n"/>
      <c r="BB4" s="740" t="n"/>
      <c r="BC4" s="741" t="n"/>
      <c r="BD4" s="776" t="inlineStr">
        <is>
          <t>9월</t>
        </is>
      </c>
      <c r="BE4" s="740" t="n"/>
      <c r="BF4" s="740" t="n"/>
      <c r="BG4" s="740" t="n"/>
      <c r="BH4" s="740" t="n"/>
      <c r="BI4" s="741" t="n"/>
      <c r="BJ4" s="776" t="inlineStr">
        <is>
          <t>10월</t>
        </is>
      </c>
      <c r="BK4" s="740" t="n"/>
      <c r="BL4" s="740" t="n"/>
      <c r="BM4" s="740" t="n"/>
      <c r="BN4" s="740" t="n"/>
      <c r="BO4" s="741" t="n"/>
      <c r="BP4" s="776" t="inlineStr">
        <is>
          <t>11월</t>
        </is>
      </c>
      <c r="BQ4" s="740" t="n"/>
      <c r="BR4" s="740" t="n"/>
      <c r="BS4" s="740" t="n"/>
      <c r="BT4" s="741" t="n"/>
      <c r="BU4" s="776" t="inlineStr">
        <is>
          <t>12월</t>
        </is>
      </c>
      <c r="BV4" s="740" t="n"/>
      <c r="BW4" s="740" t="n"/>
      <c r="BX4" s="740" t="n"/>
      <c r="BY4" s="740" t="n"/>
      <c r="BZ4" s="741" t="n"/>
    </row>
    <row r="5" ht="17.25" customHeight="1" s="838" thickBot="1">
      <c r="B5" s="735" t="n"/>
      <c r="C5" s="752" t="n"/>
      <c r="D5" s="752" t="n"/>
      <c r="E5" s="752" t="n"/>
      <c r="F5" s="736" t="n"/>
      <c r="G5" s="749" t="inlineStr">
        <is>
          <t>실적</t>
        </is>
      </c>
      <c r="H5" s="744" t="inlineStr">
        <is>
          <t>W1</t>
        </is>
      </c>
      <c r="I5" s="744" t="inlineStr">
        <is>
          <t>W2</t>
        </is>
      </c>
      <c r="J5" s="744" t="inlineStr">
        <is>
          <t>W3</t>
        </is>
      </c>
      <c r="K5" s="744" t="inlineStr">
        <is>
          <t>W4</t>
        </is>
      </c>
      <c r="L5" s="744" t="inlineStr">
        <is>
          <t>W5</t>
        </is>
      </c>
      <c r="M5" s="749" t="inlineStr">
        <is>
          <t>실적</t>
        </is>
      </c>
      <c r="N5" s="744" t="inlineStr">
        <is>
          <t>W6</t>
        </is>
      </c>
      <c r="O5" s="744" t="inlineStr">
        <is>
          <t>W7</t>
        </is>
      </c>
      <c r="P5" s="744" t="inlineStr">
        <is>
          <t>W8</t>
        </is>
      </c>
      <c r="Q5" s="744" t="inlineStr">
        <is>
          <t>W9</t>
        </is>
      </c>
      <c r="R5" s="749" t="inlineStr">
        <is>
          <t>실적</t>
        </is>
      </c>
      <c r="S5" s="744" t="inlineStr">
        <is>
          <t>W10</t>
        </is>
      </c>
      <c r="T5" s="744" t="inlineStr">
        <is>
          <t>W11</t>
        </is>
      </c>
      <c r="U5" s="744" t="inlineStr">
        <is>
          <t>W12</t>
        </is>
      </c>
      <c r="V5" s="744" t="inlineStr">
        <is>
          <t>W13</t>
        </is>
      </c>
      <c r="W5" s="744" t="inlineStr">
        <is>
          <t>W14</t>
        </is>
      </c>
      <c r="X5" s="749" t="inlineStr">
        <is>
          <t>실적</t>
        </is>
      </c>
      <c r="Y5" s="744" t="inlineStr">
        <is>
          <t>W14</t>
        </is>
      </c>
      <c r="Z5" s="744" t="inlineStr">
        <is>
          <t>W15</t>
        </is>
      </c>
      <c r="AA5" s="744" t="inlineStr">
        <is>
          <t>W16</t>
        </is>
      </c>
      <c r="AB5" s="744" t="inlineStr">
        <is>
          <t>W17</t>
        </is>
      </c>
      <c r="AC5" s="744" t="inlineStr">
        <is>
          <t>W18</t>
        </is>
      </c>
      <c r="AD5" s="194" t="inlineStr">
        <is>
          <t>실적</t>
        </is>
      </c>
      <c r="AE5" s="797" t="inlineStr">
        <is>
          <t>W18</t>
        </is>
      </c>
      <c r="AF5" s="797" t="inlineStr">
        <is>
          <t>W19</t>
        </is>
      </c>
      <c r="AG5" s="797" t="inlineStr">
        <is>
          <t>W20</t>
        </is>
      </c>
      <c r="AH5" s="797" t="inlineStr">
        <is>
          <t>W21</t>
        </is>
      </c>
      <c r="AI5" s="797" t="inlineStr">
        <is>
          <t>W22</t>
        </is>
      </c>
      <c r="AJ5" s="797" t="inlineStr">
        <is>
          <t>W23</t>
        </is>
      </c>
      <c r="AK5" s="83" t="inlineStr">
        <is>
          <t>실적</t>
        </is>
      </c>
      <c r="AL5" s="797" t="inlineStr">
        <is>
          <t>W23</t>
        </is>
      </c>
      <c r="AM5" s="797" t="inlineStr">
        <is>
          <t>W24</t>
        </is>
      </c>
      <c r="AN5" s="797" t="inlineStr">
        <is>
          <t>W25</t>
        </is>
      </c>
      <c r="AO5" s="797" t="inlineStr">
        <is>
          <t>W26</t>
        </is>
      </c>
      <c r="AP5" s="797" t="inlineStr">
        <is>
          <t>W27</t>
        </is>
      </c>
      <c r="AQ5" s="83" t="inlineStr">
        <is>
          <t>실적</t>
        </is>
      </c>
      <c r="AR5" s="797" t="inlineStr">
        <is>
          <t>W27</t>
        </is>
      </c>
      <c r="AS5" s="797" t="inlineStr">
        <is>
          <t>W28</t>
        </is>
      </c>
      <c r="AT5" s="797" t="inlineStr">
        <is>
          <t>W29</t>
        </is>
      </c>
      <c r="AU5" s="797" t="inlineStr">
        <is>
          <t>W30</t>
        </is>
      </c>
      <c r="AV5" s="797" t="inlineStr">
        <is>
          <t>W31</t>
        </is>
      </c>
      <c r="AW5" s="195" t="inlineStr">
        <is>
          <t>실적</t>
        </is>
      </c>
      <c r="AX5" s="196" t="inlineStr">
        <is>
          <t>W31</t>
        </is>
      </c>
      <c r="AY5" s="196" t="inlineStr">
        <is>
          <t>W32</t>
        </is>
      </c>
      <c r="AZ5" s="196" t="inlineStr">
        <is>
          <t>W33</t>
        </is>
      </c>
      <c r="BA5" s="196" t="inlineStr">
        <is>
          <t>W34</t>
        </is>
      </c>
      <c r="BB5" s="196" t="inlineStr">
        <is>
          <t>W35</t>
        </is>
      </c>
      <c r="BC5" s="196" t="inlineStr">
        <is>
          <t>W36</t>
        </is>
      </c>
      <c r="BD5" s="195" t="inlineStr">
        <is>
          <t>실적</t>
        </is>
      </c>
      <c r="BE5" s="196" t="inlineStr">
        <is>
          <t>W36</t>
        </is>
      </c>
      <c r="BF5" s="196" t="inlineStr">
        <is>
          <t>W37</t>
        </is>
      </c>
      <c r="BG5" s="196" t="inlineStr">
        <is>
          <t>W38</t>
        </is>
      </c>
      <c r="BH5" s="196" t="inlineStr">
        <is>
          <t>W39</t>
        </is>
      </c>
      <c r="BI5" s="196" t="inlineStr">
        <is>
          <t>W40</t>
        </is>
      </c>
      <c r="BJ5" s="195" t="inlineStr">
        <is>
          <t>실적</t>
        </is>
      </c>
      <c r="BK5" s="196" t="inlineStr">
        <is>
          <t>W40</t>
        </is>
      </c>
      <c r="BL5" s="196" t="inlineStr">
        <is>
          <t>W41</t>
        </is>
      </c>
      <c r="BM5" s="196" t="inlineStr">
        <is>
          <t>W42</t>
        </is>
      </c>
      <c r="BN5" s="196" t="inlineStr">
        <is>
          <t>W43</t>
        </is>
      </c>
      <c r="BO5" s="196" t="inlineStr">
        <is>
          <t>W44</t>
        </is>
      </c>
      <c r="BP5" s="195" t="inlineStr">
        <is>
          <t>실적</t>
        </is>
      </c>
      <c r="BQ5" s="196" t="inlineStr">
        <is>
          <t>W45</t>
        </is>
      </c>
      <c r="BR5" s="196" t="inlineStr">
        <is>
          <t>W46</t>
        </is>
      </c>
      <c r="BS5" s="196" t="inlineStr">
        <is>
          <t>W47</t>
        </is>
      </c>
      <c r="BT5" s="196" t="inlineStr">
        <is>
          <t>W48</t>
        </is>
      </c>
      <c r="BU5" s="195" t="inlineStr">
        <is>
          <t>실적</t>
        </is>
      </c>
      <c r="BV5" s="196" t="inlineStr">
        <is>
          <t>W49</t>
        </is>
      </c>
      <c r="BW5" s="196" t="inlineStr">
        <is>
          <t>W50</t>
        </is>
      </c>
      <c r="BX5" s="196" t="inlineStr">
        <is>
          <t>W51</t>
        </is>
      </c>
      <c r="BY5" s="196" t="inlineStr">
        <is>
          <t>W52</t>
        </is>
      </c>
      <c r="BZ5" s="196" t="inlineStr">
        <is>
          <t>W53</t>
        </is>
      </c>
    </row>
    <row r="6" ht="16.5" customHeight="1" s="838" thickBot="1">
      <c r="B6" s="824" t="inlineStr">
        <is>
          <t>개선금액</t>
        </is>
      </c>
      <c r="C6" s="750" t="inlineStr">
        <is>
          <t>키친솔루션</t>
        </is>
      </c>
      <c r="D6" s="750" t="inlineStr">
        <is>
          <t>제품1 + 제품2</t>
        </is>
      </c>
      <c r="E6" s="743" t="n"/>
      <c r="F6" s="197" t="inlineStr">
        <is>
          <t>`26 목표</t>
        </is>
      </c>
      <c r="G6" s="960">
        <f>G32*G1/10^2</f>
        <v/>
      </c>
      <c r="H6" s="961">
        <f>H32*H1/10^2</f>
        <v/>
      </c>
      <c r="I6" s="961">
        <f>I32*I1/10^2</f>
        <v/>
      </c>
      <c r="J6" s="961">
        <f>J32*J1/10^2</f>
        <v/>
      </c>
      <c r="K6" s="961">
        <f>K32*K1/10^2</f>
        <v/>
      </c>
      <c r="L6" s="961">
        <f>L32*L1/10^2</f>
        <v/>
      </c>
      <c r="M6" s="962">
        <f>M32*M1/10^2</f>
        <v/>
      </c>
      <c r="N6" s="963">
        <f>N32*N1/10^2</f>
        <v/>
      </c>
      <c r="O6" s="963">
        <f>O32*O1/10^2</f>
        <v/>
      </c>
      <c r="P6" s="963">
        <f>P32*P1/10^2</f>
        <v/>
      </c>
      <c r="Q6" s="964">
        <f>Q32*Q1/10^2</f>
        <v/>
      </c>
      <c r="R6" s="965">
        <f>R32*R1/10^2</f>
        <v/>
      </c>
      <c r="S6" s="963">
        <f>S32*S1/10^2</f>
        <v/>
      </c>
      <c r="T6" s="963">
        <f>T32*T1/10^2</f>
        <v/>
      </c>
      <c r="U6" s="963">
        <f>U32*U1/10^2</f>
        <v/>
      </c>
      <c r="V6" s="963">
        <f>V32*V1/10^2</f>
        <v/>
      </c>
      <c r="W6" s="963">
        <f>W32*W1/10^2</f>
        <v/>
      </c>
      <c r="X6" s="962">
        <f>X32*X1/10^2</f>
        <v/>
      </c>
      <c r="Y6" s="963">
        <f>Y32*Y1/10^2</f>
        <v/>
      </c>
      <c r="Z6" s="963">
        <f>Z32*Z1/10^2</f>
        <v/>
      </c>
      <c r="AA6" s="963">
        <f>AA32*AA1/10^2</f>
        <v/>
      </c>
      <c r="AB6" s="963">
        <f>AB32*AB1/10^2</f>
        <v/>
      </c>
      <c r="AC6" s="964">
        <f>AC32*AC1/10^2</f>
        <v/>
      </c>
      <c r="AD6" s="966" t="n"/>
      <c r="AE6" s="961" t="n"/>
      <c r="AF6" s="961" t="n"/>
      <c r="AG6" s="961" t="n"/>
      <c r="AH6" s="961" t="n"/>
      <c r="AI6" s="961" t="n"/>
      <c r="AJ6" s="967" t="n"/>
      <c r="AK6" s="968" t="n"/>
      <c r="AL6" s="961" t="n"/>
      <c r="AM6" s="961" t="n"/>
      <c r="AN6" s="961" t="n"/>
      <c r="AO6" s="961" t="n"/>
      <c r="AP6" s="961" t="n"/>
      <c r="AQ6" s="969" t="n"/>
      <c r="AR6" s="970" t="n"/>
      <c r="AS6" s="961" t="n"/>
      <c r="AT6" s="961" t="n"/>
      <c r="AU6" s="961" t="n"/>
      <c r="AV6" s="961" t="n"/>
      <c r="AW6" s="971" t="n"/>
      <c r="AX6" s="961" t="n"/>
      <c r="AY6" s="961" t="n"/>
      <c r="AZ6" s="961" t="n"/>
      <c r="BA6" s="961" t="n"/>
      <c r="BB6" s="961" t="n"/>
      <c r="BC6" s="967" t="n"/>
      <c r="BD6" s="971" t="n"/>
      <c r="BE6" s="961" t="n"/>
      <c r="BF6" s="961" t="n"/>
      <c r="BG6" s="961" t="n"/>
      <c r="BH6" s="961" t="n"/>
      <c r="BI6" s="967" t="n"/>
      <c r="BJ6" s="971" t="n"/>
      <c r="BK6" s="961" t="n"/>
      <c r="BL6" s="961" t="n"/>
      <c r="BM6" s="961" t="n"/>
      <c r="BN6" s="961" t="n"/>
      <c r="BO6" s="967" t="n"/>
      <c r="BP6" s="971" t="n"/>
      <c r="BQ6" s="961" t="n"/>
      <c r="BR6" s="961" t="n"/>
      <c r="BS6" s="961" t="n"/>
      <c r="BT6" s="967" t="n"/>
      <c r="BU6" s="971" t="n"/>
      <c r="BV6" s="961" t="n"/>
      <c r="BW6" s="961" t="n"/>
      <c r="BX6" s="961" t="n"/>
      <c r="BY6" s="961" t="n"/>
      <c r="BZ6" s="972" t="n"/>
    </row>
    <row r="7" ht="16.5" customHeight="1" s="838">
      <c r="B7" s="756" t="n"/>
      <c r="C7" s="739" t="n"/>
      <c r="D7" s="735" t="n"/>
      <c r="E7" s="736" t="n"/>
      <c r="F7" s="134" t="inlineStr">
        <is>
          <t>`26 실적</t>
        </is>
      </c>
      <c r="G7" s="973">
        <f>G33*G2/10^2</f>
        <v/>
      </c>
      <c r="H7" s="974">
        <f>H33*H2/10^2</f>
        <v/>
      </c>
      <c r="I7" s="974">
        <f>I33*I2/10^2</f>
        <v/>
      </c>
      <c r="J7" s="974">
        <f>J33*J2/10^2</f>
        <v/>
      </c>
      <c r="K7" s="974">
        <f>K33*K2/10^2</f>
        <v/>
      </c>
      <c r="L7" s="974">
        <f>L33*L2/10^2</f>
        <v/>
      </c>
      <c r="M7" s="973">
        <f>M33*M2/10^2</f>
        <v/>
      </c>
      <c r="N7" s="974">
        <f>N33*N2/10^2</f>
        <v/>
      </c>
      <c r="O7" s="974">
        <f>O33*O2/10^2</f>
        <v/>
      </c>
      <c r="P7" s="974">
        <f>P33*P2/10^2</f>
        <v/>
      </c>
      <c r="Q7" s="975">
        <f>Q33*Q2/10^2</f>
        <v/>
      </c>
      <c r="R7" s="965">
        <f>R33*R2/10^2</f>
        <v/>
      </c>
      <c r="S7" s="963">
        <f>S33*S2/10^2</f>
        <v/>
      </c>
      <c r="T7" s="963">
        <f>T33*T2/10^2</f>
        <v/>
      </c>
      <c r="U7" s="963">
        <f>U33*U2/10^2</f>
        <v/>
      </c>
      <c r="V7" s="963">
        <f>V33*V2/10^2</f>
        <v/>
      </c>
      <c r="W7" s="963">
        <f>W33*W2/10^2</f>
        <v/>
      </c>
      <c r="X7" s="962">
        <f>X33*X2/10^2</f>
        <v/>
      </c>
      <c r="Y7" s="963">
        <f>Y33*Y2/10^2</f>
        <v/>
      </c>
      <c r="Z7" s="963">
        <f>Z33*Z2/10^2</f>
        <v/>
      </c>
      <c r="AA7" s="963">
        <f>AA33*AA2/10^2</f>
        <v/>
      </c>
      <c r="AB7" s="963">
        <f>AB33*AB2/10^2</f>
        <v/>
      </c>
      <c r="AC7" s="964">
        <f>AC33*AC2/10^2</f>
        <v/>
      </c>
      <c r="AD7" s="976" t="n"/>
      <c r="AE7" s="963" t="n"/>
      <c r="AF7" s="963" t="n"/>
      <c r="AG7" s="963" t="n"/>
      <c r="AH7" s="963" t="n"/>
      <c r="AI7" s="963" t="n"/>
      <c r="AJ7" s="964" t="n"/>
      <c r="AK7" s="977" t="n"/>
      <c r="AL7" s="963" t="n"/>
      <c r="AM7" s="963" t="n"/>
      <c r="AN7" s="963" t="n"/>
      <c r="AO7" s="963" t="n"/>
      <c r="AP7" s="963" t="n"/>
      <c r="AQ7" s="978" t="n"/>
      <c r="AR7" s="979" t="n"/>
      <c r="AS7" s="963" t="n"/>
      <c r="AT7" s="963" t="n"/>
      <c r="AU7" s="963" t="n"/>
      <c r="AV7" s="963" t="n"/>
      <c r="AW7" s="980" t="n"/>
      <c r="AX7" s="963" t="n"/>
      <c r="AY7" s="963" t="n"/>
      <c r="AZ7" s="963" t="n"/>
      <c r="BA7" s="963" t="n"/>
      <c r="BB7" s="963" t="n"/>
      <c r="BC7" s="964" t="n"/>
      <c r="BD7" s="980" t="n"/>
      <c r="BE7" s="963" t="n"/>
      <c r="BF7" s="963" t="n"/>
      <c r="BG7" s="963" t="n"/>
      <c r="BH7" s="963" t="n"/>
      <c r="BI7" s="964" t="n"/>
      <c r="BJ7" s="980" t="n"/>
      <c r="BK7" s="963" t="n"/>
      <c r="BL7" s="963" t="n"/>
      <c r="BM7" s="963" t="n"/>
      <c r="BN7" s="963" t="n"/>
      <c r="BO7" s="964" t="n"/>
      <c r="BP7" s="980" t="n"/>
      <c r="BQ7" s="963" t="n"/>
      <c r="BR7" s="963" t="n"/>
      <c r="BS7" s="963" t="n"/>
      <c r="BT7" s="964" t="n"/>
      <c r="BU7" s="980" t="n"/>
      <c r="BV7" s="963" t="n"/>
      <c r="BW7" s="963" t="n"/>
      <c r="BX7" s="963" t="n"/>
      <c r="BY7" s="963" t="n"/>
      <c r="BZ7" s="981" t="n"/>
    </row>
    <row r="8" ht="16.5" customHeight="1" s="838">
      <c r="B8" s="756" t="n"/>
      <c r="C8" s="737" t="inlineStr">
        <is>
          <t>제품1</t>
        </is>
      </c>
      <c r="D8" s="775" t="inlineStr">
        <is>
          <t>지역 합계</t>
        </is>
      </c>
      <c r="E8" s="734" t="n"/>
      <c r="F8" s="220" t="inlineStr">
        <is>
          <t>`26 목표</t>
        </is>
      </c>
      <c r="G8" s="982">
        <f>G34*G1/10^2</f>
        <v/>
      </c>
      <c r="H8" s="983">
        <f>H34*H1/10^2</f>
        <v/>
      </c>
      <c r="I8" s="983">
        <f>I34*I1/10^2</f>
        <v/>
      </c>
      <c r="J8" s="983">
        <f>J34*J1/10^2</f>
        <v/>
      </c>
      <c r="K8" s="983">
        <f>K34*K1/10^2</f>
        <v/>
      </c>
      <c r="L8" s="983">
        <f>L34*L1/10^2</f>
        <v/>
      </c>
      <c r="M8" s="982">
        <f>M34*M1/10^2</f>
        <v/>
      </c>
      <c r="N8" s="983">
        <f>N34*N1/10^2</f>
        <v/>
      </c>
      <c r="O8" s="983">
        <f>O34*O1/10^2</f>
        <v/>
      </c>
      <c r="P8" s="983">
        <f>P34*P1/10^2</f>
        <v/>
      </c>
      <c r="Q8" s="984">
        <f>Q34*Q1/10^2</f>
        <v/>
      </c>
      <c r="R8" s="985">
        <f>R34*R1/10^2</f>
        <v/>
      </c>
      <c r="S8" s="983">
        <f>S34*S1/10^2</f>
        <v/>
      </c>
      <c r="T8" s="983">
        <f>T34*T1/10^2</f>
        <v/>
      </c>
      <c r="U8" s="983">
        <f>U34*U1/10^2</f>
        <v/>
      </c>
      <c r="V8" s="983">
        <f>V34*V1/10^2</f>
        <v/>
      </c>
      <c r="W8" s="983">
        <f>W34*W1/10^2</f>
        <v/>
      </c>
      <c r="X8" s="982">
        <f>X34*X1/10^2</f>
        <v/>
      </c>
      <c r="Y8" s="983">
        <f>Y34*Y1/10^2</f>
        <v/>
      </c>
      <c r="Z8" s="983">
        <f>Z34*Z1/10^2</f>
        <v/>
      </c>
      <c r="AA8" s="983">
        <f>AA34*AA1/10^2</f>
        <v/>
      </c>
      <c r="AB8" s="983">
        <f>AB34*AB1/10^2</f>
        <v/>
      </c>
      <c r="AC8" s="984">
        <f>AC34*AC1/10^2</f>
        <v/>
      </c>
      <c r="AD8" s="986" t="n"/>
      <c r="AE8" s="983" t="n"/>
      <c r="AF8" s="983" t="n"/>
      <c r="AG8" s="983" t="n"/>
      <c r="AH8" s="983" t="n"/>
      <c r="AI8" s="983" t="n"/>
      <c r="AJ8" s="984" t="n"/>
      <c r="AK8" s="987" t="n"/>
      <c r="AL8" s="983" t="n"/>
      <c r="AM8" s="983" t="n"/>
      <c r="AN8" s="983" t="n"/>
      <c r="AO8" s="983" t="n"/>
      <c r="AP8" s="983" t="n"/>
      <c r="AQ8" s="988" t="n"/>
      <c r="AR8" s="989" t="n"/>
      <c r="AS8" s="983" t="n"/>
      <c r="AT8" s="983" t="n"/>
      <c r="AU8" s="983" t="n"/>
      <c r="AV8" s="983" t="n"/>
      <c r="AW8" s="990" t="n"/>
      <c r="AX8" s="983" t="n"/>
      <c r="AY8" s="983" t="n"/>
      <c r="AZ8" s="983" t="n"/>
      <c r="BA8" s="983" t="n"/>
      <c r="BB8" s="983" t="n"/>
      <c r="BC8" s="984" t="n"/>
      <c r="BD8" s="990" t="n"/>
      <c r="BE8" s="983" t="n"/>
      <c r="BF8" s="983" t="n"/>
      <c r="BG8" s="983" t="n"/>
      <c r="BH8" s="983" t="n"/>
      <c r="BI8" s="984" t="n"/>
      <c r="BJ8" s="990" t="n"/>
      <c r="BK8" s="983" t="n"/>
      <c r="BL8" s="983" t="n"/>
      <c r="BM8" s="983" t="n"/>
      <c r="BN8" s="983" t="n"/>
      <c r="BO8" s="984" t="n"/>
      <c r="BP8" s="990" t="n"/>
      <c r="BQ8" s="983" t="n"/>
      <c r="BR8" s="983" t="n"/>
      <c r="BS8" s="983" t="n"/>
      <c r="BT8" s="984" t="n"/>
      <c r="BU8" s="990" t="n"/>
      <c r="BV8" s="983" t="n"/>
      <c r="BW8" s="983" t="n"/>
      <c r="BX8" s="983" t="n"/>
      <c r="BY8" s="983" t="n"/>
      <c r="BZ8" s="991" t="n"/>
    </row>
    <row r="9" ht="16.5" customHeight="1" s="838">
      <c r="B9" s="756" t="n"/>
      <c r="C9" s="738" t="n"/>
      <c r="D9" s="735" t="n"/>
      <c r="E9" s="736" t="n"/>
      <c r="F9" s="134" t="inlineStr">
        <is>
          <t>`26 실적</t>
        </is>
      </c>
      <c r="G9" s="973">
        <f>G35*G2/10^2</f>
        <v/>
      </c>
      <c r="H9" s="974">
        <f>H35*H2/10^2</f>
        <v/>
      </c>
      <c r="I9" s="974">
        <f>I35*I2/10^2</f>
        <v/>
      </c>
      <c r="J9" s="974">
        <f>J35*J2/10^2</f>
        <v/>
      </c>
      <c r="K9" s="974">
        <f>K35*K2/10^2</f>
        <v/>
      </c>
      <c r="L9" s="974">
        <f>L35*L2/10^2</f>
        <v/>
      </c>
      <c r="M9" s="973">
        <f>M35*M2/10^2</f>
        <v/>
      </c>
      <c r="N9" s="974">
        <f>N35*N2/10^2</f>
        <v/>
      </c>
      <c r="O9" s="974">
        <f>O35*O2/10^2</f>
        <v/>
      </c>
      <c r="P9" s="974">
        <f>P35*P2/10^2</f>
        <v/>
      </c>
      <c r="Q9" s="975">
        <f>Q35*Q2/10^2</f>
        <v/>
      </c>
      <c r="R9" s="992">
        <f>R35*R2/10^2</f>
        <v/>
      </c>
      <c r="S9" s="974">
        <f>S35*S2/10^2</f>
        <v/>
      </c>
      <c r="T9" s="974">
        <f>T35*T2/10^2</f>
        <v/>
      </c>
      <c r="U9" s="974">
        <f>U35*U2/10^2</f>
        <v/>
      </c>
      <c r="V9" s="974">
        <f>V35*V2/10^2</f>
        <v/>
      </c>
      <c r="W9" s="974">
        <f>W35*W2/10^2</f>
        <v/>
      </c>
      <c r="X9" s="973">
        <f>X35*X2/10^2</f>
        <v/>
      </c>
      <c r="Y9" s="974">
        <f>Y35*Y2/10^2</f>
        <v/>
      </c>
      <c r="Z9" s="974">
        <f>Z35*Z2/10^2</f>
        <v/>
      </c>
      <c r="AA9" s="974">
        <f>AA35*AA2/10^2</f>
        <v/>
      </c>
      <c r="AB9" s="974">
        <f>AB35*AB2/10^2</f>
        <v/>
      </c>
      <c r="AC9" s="975">
        <f>AC35*AC2/10^2</f>
        <v/>
      </c>
      <c r="AD9" s="993" t="n"/>
      <c r="AE9" s="974" t="n"/>
      <c r="AF9" s="974" t="n"/>
      <c r="AG9" s="974" t="n"/>
      <c r="AH9" s="974" t="n"/>
      <c r="AI9" s="974" t="n"/>
      <c r="AJ9" s="975" t="n"/>
      <c r="AK9" s="994" t="n"/>
      <c r="AL9" s="974" t="n"/>
      <c r="AM9" s="974" t="n"/>
      <c r="AN9" s="974" t="n"/>
      <c r="AO9" s="974" t="n"/>
      <c r="AP9" s="974" t="n"/>
      <c r="AQ9" s="995" t="n"/>
      <c r="AR9" s="996" t="n"/>
      <c r="AS9" s="974" t="n"/>
      <c r="AT9" s="974" t="n"/>
      <c r="AU9" s="974" t="n"/>
      <c r="AV9" s="974" t="n"/>
      <c r="AW9" s="997" t="n"/>
      <c r="AX9" s="974" t="n"/>
      <c r="AY9" s="974" t="n"/>
      <c r="AZ9" s="974" t="n"/>
      <c r="BA9" s="974" t="n"/>
      <c r="BB9" s="974" t="n"/>
      <c r="BC9" s="975" t="n"/>
      <c r="BD9" s="997" t="n"/>
      <c r="BE9" s="974" t="n"/>
      <c r="BF9" s="974" t="n"/>
      <c r="BG9" s="974" t="n"/>
      <c r="BH9" s="974" t="n"/>
      <c r="BI9" s="975" t="n"/>
      <c r="BJ9" s="997" t="n"/>
      <c r="BK9" s="974" t="n"/>
      <c r="BL9" s="974" t="n"/>
      <c r="BM9" s="974" t="n"/>
      <c r="BN9" s="974" t="n"/>
      <c r="BO9" s="975" t="n"/>
      <c r="BP9" s="997" t="n"/>
      <c r="BQ9" s="974" t="n"/>
      <c r="BR9" s="974" t="n"/>
      <c r="BS9" s="974" t="n"/>
      <c r="BT9" s="975" t="n"/>
      <c r="BU9" s="997" t="n"/>
      <c r="BV9" s="974" t="n"/>
      <c r="BW9" s="974" t="n"/>
      <c r="BX9" s="974" t="n"/>
      <c r="BY9" s="974" t="n"/>
      <c r="BZ9" s="998" t="n"/>
    </row>
    <row r="10" ht="16.5" customHeight="1" s="838">
      <c r="B10" s="756" t="n"/>
      <c r="C10" s="738" t="n"/>
      <c r="D10" s="737" t="inlineStr">
        <is>
          <t>지역1</t>
        </is>
      </c>
      <c r="E10" s="734" t="n"/>
      <c r="F10" s="220" t="inlineStr">
        <is>
          <t>`26 목표</t>
        </is>
      </c>
      <c r="G10" s="982">
        <f>G36*G1/10^2</f>
        <v/>
      </c>
      <c r="H10" s="983">
        <f>H36*H1/10^2</f>
        <v/>
      </c>
      <c r="I10" s="983">
        <f>I36*I1/10^2</f>
        <v/>
      </c>
      <c r="J10" s="983">
        <f>J36*J1/10^2</f>
        <v/>
      </c>
      <c r="K10" s="983">
        <f>K36*K1/10^2</f>
        <v/>
      </c>
      <c r="L10" s="983">
        <f>L36*L1/10^2</f>
        <v/>
      </c>
      <c r="M10" s="982">
        <f>M36*M1/10^2</f>
        <v/>
      </c>
      <c r="N10" s="983">
        <f>N36*N1/10^2</f>
        <v/>
      </c>
      <c r="O10" s="983">
        <f>O36*O1/10^2</f>
        <v/>
      </c>
      <c r="P10" s="983">
        <f>P36*P1/10^2</f>
        <v/>
      </c>
      <c r="Q10" s="984">
        <f>Q36*Q1/10^2</f>
        <v/>
      </c>
      <c r="R10" s="985">
        <f>R36*R1/10^2</f>
        <v/>
      </c>
      <c r="S10" s="983">
        <f>S36*S1/10^2</f>
        <v/>
      </c>
      <c r="T10" s="983">
        <f>T36*T1/10^2</f>
        <v/>
      </c>
      <c r="U10" s="983">
        <f>U36*U1/10^2</f>
        <v/>
      </c>
      <c r="V10" s="983">
        <f>V36*V1/10^2</f>
        <v/>
      </c>
      <c r="W10" s="983">
        <f>W36*W1/10^2</f>
        <v/>
      </c>
      <c r="X10" s="982">
        <f>X36*X1/10^2</f>
        <v/>
      </c>
      <c r="Y10" s="983">
        <f>Y36*Y1/10^2</f>
        <v/>
      </c>
      <c r="Z10" s="983">
        <f>Z36*Z1/10^2</f>
        <v/>
      </c>
      <c r="AA10" s="983">
        <f>AA36*AA1/10^2</f>
        <v/>
      </c>
      <c r="AB10" s="983">
        <f>AB36*AB1/10^2</f>
        <v/>
      </c>
      <c r="AC10" s="984">
        <f>AC36*AC1/10^2</f>
        <v/>
      </c>
      <c r="AD10" s="986" t="n"/>
      <c r="AE10" s="983" t="n"/>
      <c r="AF10" s="983" t="n"/>
      <c r="AG10" s="983" t="n"/>
      <c r="AH10" s="983" t="n"/>
      <c r="AI10" s="983" t="n"/>
      <c r="AJ10" s="984" t="n"/>
      <c r="AK10" s="987" t="n"/>
      <c r="AL10" s="983" t="n"/>
      <c r="AM10" s="983" t="n"/>
      <c r="AN10" s="983" t="n"/>
      <c r="AO10" s="983" t="n"/>
      <c r="AP10" s="983" t="n"/>
      <c r="AQ10" s="988" t="n"/>
      <c r="AR10" s="989" t="n"/>
      <c r="AS10" s="983" t="n"/>
      <c r="AT10" s="983" t="n"/>
      <c r="AU10" s="983" t="n"/>
      <c r="AV10" s="983" t="n"/>
      <c r="AW10" s="990" t="n"/>
      <c r="AX10" s="983" t="n"/>
      <c r="AY10" s="983" t="n"/>
      <c r="AZ10" s="983" t="n"/>
      <c r="BA10" s="983" t="n"/>
      <c r="BB10" s="983" t="n"/>
      <c r="BC10" s="984" t="n"/>
      <c r="BD10" s="990" t="n"/>
      <c r="BE10" s="983" t="n"/>
      <c r="BF10" s="983" t="n"/>
      <c r="BG10" s="983" t="n"/>
      <c r="BH10" s="983" t="n"/>
      <c r="BI10" s="984" t="n"/>
      <c r="BJ10" s="990" t="n"/>
      <c r="BK10" s="983" t="n"/>
      <c r="BL10" s="983" t="n"/>
      <c r="BM10" s="983" t="n"/>
      <c r="BN10" s="983" t="n"/>
      <c r="BO10" s="984" t="n"/>
      <c r="BP10" s="990" t="n"/>
      <c r="BQ10" s="983" t="n"/>
      <c r="BR10" s="983" t="n"/>
      <c r="BS10" s="983" t="n"/>
      <c r="BT10" s="984" t="n"/>
      <c r="BU10" s="990" t="n"/>
      <c r="BV10" s="983" t="n"/>
      <c r="BW10" s="983" t="n"/>
      <c r="BX10" s="983" t="n"/>
      <c r="BY10" s="983" t="n"/>
      <c r="BZ10" s="991" t="n"/>
    </row>
    <row r="11" ht="16.5" customHeight="1" s="838">
      <c r="B11" s="756" t="n"/>
      <c r="C11" s="738" t="n"/>
      <c r="D11" s="735" t="n"/>
      <c r="E11" s="736" t="n"/>
      <c r="F11" s="134" t="inlineStr">
        <is>
          <t>`26 실적</t>
        </is>
      </c>
      <c r="G11" s="973">
        <f>G37*G2/10^2</f>
        <v/>
      </c>
      <c r="H11" s="974">
        <f>H37*H2/10^2</f>
        <v/>
      </c>
      <c r="I11" s="974">
        <f>I37*I2/10^2</f>
        <v/>
      </c>
      <c r="J11" s="974">
        <f>J37*J2/10^2</f>
        <v/>
      </c>
      <c r="K11" s="974">
        <f>K37*K2/10^2</f>
        <v/>
      </c>
      <c r="L11" s="974">
        <f>L37*L2/10^2</f>
        <v/>
      </c>
      <c r="M11" s="973">
        <f>M37*M2/10^2</f>
        <v/>
      </c>
      <c r="N11" s="974">
        <f>N37*N2/10^2</f>
        <v/>
      </c>
      <c r="O11" s="974">
        <f>O37*O2/10^2</f>
        <v/>
      </c>
      <c r="P11" s="974">
        <f>P37*P2/10^2</f>
        <v/>
      </c>
      <c r="Q11" s="975">
        <f>Q37*Q2/10^2</f>
        <v/>
      </c>
      <c r="R11" s="992">
        <f>R37*R2/10^2</f>
        <v/>
      </c>
      <c r="S11" s="974">
        <f>S37*S2/10^2</f>
        <v/>
      </c>
      <c r="T11" s="974">
        <f>T37*T2/10^2</f>
        <v/>
      </c>
      <c r="U11" s="974">
        <f>U37*U2/10^2</f>
        <v/>
      </c>
      <c r="V11" s="974">
        <f>V37*V2/10^2</f>
        <v/>
      </c>
      <c r="W11" s="974">
        <f>W37*W2/10^2</f>
        <v/>
      </c>
      <c r="X11" s="973">
        <f>X37*X2/10^2</f>
        <v/>
      </c>
      <c r="Y11" s="974">
        <f>Y37*Y2/10^2</f>
        <v/>
      </c>
      <c r="Z11" s="974">
        <f>Z37*Z2/10^2</f>
        <v/>
      </c>
      <c r="AA11" s="974">
        <f>AA37*AA2/10^2</f>
        <v/>
      </c>
      <c r="AB11" s="974">
        <f>AB37*AB2/10^2</f>
        <v/>
      </c>
      <c r="AC11" s="975">
        <f>AC37*AC2/10^2</f>
        <v/>
      </c>
      <c r="AD11" s="993" t="n"/>
      <c r="AE11" s="974" t="n"/>
      <c r="AF11" s="974" t="n"/>
      <c r="AG11" s="974" t="n"/>
      <c r="AH11" s="974" t="n"/>
      <c r="AI11" s="974" t="n"/>
      <c r="AJ11" s="975" t="n"/>
      <c r="AK11" s="994" t="n"/>
      <c r="AL11" s="974" t="n"/>
      <c r="AM11" s="974" t="n"/>
      <c r="AN11" s="974" t="n"/>
      <c r="AO11" s="974" t="n"/>
      <c r="AP11" s="974" t="n"/>
      <c r="AQ11" s="995" t="n"/>
      <c r="AR11" s="996" t="n"/>
      <c r="AS11" s="974" t="n"/>
      <c r="AT11" s="974" t="n"/>
      <c r="AU11" s="974" t="n"/>
      <c r="AV11" s="974" t="n"/>
      <c r="AW11" s="997" t="n"/>
      <c r="AX11" s="974" t="n"/>
      <c r="AY11" s="974" t="n"/>
      <c r="AZ11" s="974" t="n"/>
      <c r="BA11" s="974" t="n"/>
      <c r="BB11" s="974" t="n"/>
      <c r="BC11" s="975" t="n"/>
      <c r="BD11" s="997" t="n"/>
      <c r="BE11" s="974" t="n"/>
      <c r="BF11" s="974" t="n"/>
      <c r="BG11" s="974" t="n"/>
      <c r="BH11" s="974" t="n"/>
      <c r="BI11" s="975" t="n"/>
      <c r="BJ11" s="997" t="n"/>
      <c r="BK11" s="974" t="n"/>
      <c r="BL11" s="974" t="n"/>
      <c r="BM11" s="974" t="n"/>
      <c r="BN11" s="974" t="n"/>
      <c r="BO11" s="975" t="n"/>
      <c r="BP11" s="997" t="n"/>
      <c r="BQ11" s="974" t="n"/>
      <c r="BR11" s="974" t="n"/>
      <c r="BS11" s="974" t="n"/>
      <c r="BT11" s="975" t="n"/>
      <c r="BU11" s="997" t="n"/>
      <c r="BV11" s="974" t="n"/>
      <c r="BW11" s="974" t="n"/>
      <c r="BX11" s="974" t="n"/>
      <c r="BY11" s="974" t="n"/>
      <c r="BZ11" s="998" t="n"/>
    </row>
    <row r="12" ht="16.5" customHeight="1" s="838">
      <c r="B12" s="756" t="n"/>
      <c r="C12" s="738" t="n"/>
      <c r="D12" s="737" t="inlineStr">
        <is>
          <t>지역2</t>
        </is>
      </c>
      <c r="E12" s="734" t="n"/>
      <c r="F12" s="220" t="inlineStr">
        <is>
          <t>`26 목표</t>
        </is>
      </c>
      <c r="G12" s="982">
        <f>G38*G1/10^2</f>
        <v/>
      </c>
      <c r="H12" s="983">
        <f>H38*H1/10^2</f>
        <v/>
      </c>
      <c r="I12" s="983">
        <f>I38*I1/10^2</f>
        <v/>
      </c>
      <c r="J12" s="983">
        <f>J38*J1/10^2</f>
        <v/>
      </c>
      <c r="K12" s="983">
        <f>K38*K1/10^2</f>
        <v/>
      </c>
      <c r="L12" s="983">
        <f>L38*L1/10^2</f>
        <v/>
      </c>
      <c r="M12" s="982">
        <f>M38*M1/10^2</f>
        <v/>
      </c>
      <c r="N12" s="983">
        <f>N38*N1/10^2</f>
        <v/>
      </c>
      <c r="O12" s="983">
        <f>O38*O1/10^2</f>
        <v/>
      </c>
      <c r="P12" s="983">
        <f>P38*P1/10^2</f>
        <v/>
      </c>
      <c r="Q12" s="984">
        <f>Q38*Q1/10^2</f>
        <v/>
      </c>
      <c r="R12" s="985">
        <f>R38*R1/10^2</f>
        <v/>
      </c>
      <c r="S12" s="983">
        <f>S38*S1/10^2</f>
        <v/>
      </c>
      <c r="T12" s="983">
        <f>T38*T1/10^2</f>
        <v/>
      </c>
      <c r="U12" s="983" t="n">
        <v>2.6091041</v>
      </c>
      <c r="V12" s="983" t="n">
        <v>1.74286035</v>
      </c>
      <c r="W12" s="983">
        <f>W38*W1/10^2</f>
        <v/>
      </c>
      <c r="X12" s="982">
        <f>X38*X1/10^2</f>
        <v/>
      </c>
      <c r="Y12" s="983">
        <f>Y38*Y1/10^2</f>
        <v/>
      </c>
      <c r="Z12" s="983">
        <f>Z38*Z1/10^2</f>
        <v/>
      </c>
      <c r="AA12" s="983">
        <f>AA38*AA1/10^2</f>
        <v/>
      </c>
      <c r="AB12" s="983">
        <f>AB38*AB1/10^2</f>
        <v/>
      </c>
      <c r="AC12" s="984">
        <f>AC38*AC1/10^2</f>
        <v/>
      </c>
      <c r="AD12" s="986" t="n"/>
      <c r="AE12" s="983" t="n"/>
      <c r="AF12" s="983" t="n"/>
      <c r="AG12" s="983" t="n"/>
      <c r="AH12" s="983" t="n"/>
      <c r="AI12" s="983" t="n"/>
      <c r="AJ12" s="984" t="n"/>
      <c r="AK12" s="987" t="n"/>
      <c r="AL12" s="983" t="n"/>
      <c r="AM12" s="983" t="n"/>
      <c r="AN12" s="983" t="n"/>
      <c r="AO12" s="983" t="n"/>
      <c r="AP12" s="983" t="n"/>
      <c r="AQ12" s="988" t="n"/>
      <c r="AR12" s="989" t="n"/>
      <c r="AS12" s="983" t="n"/>
      <c r="AT12" s="983" t="n"/>
      <c r="AU12" s="983" t="n"/>
      <c r="AV12" s="983" t="n"/>
      <c r="AW12" s="990" t="n"/>
      <c r="AX12" s="983" t="n"/>
      <c r="AY12" s="983" t="n"/>
      <c r="AZ12" s="983" t="n"/>
      <c r="BA12" s="983" t="n"/>
      <c r="BB12" s="983" t="n"/>
      <c r="BC12" s="984" t="n"/>
      <c r="BD12" s="990" t="n"/>
      <c r="BE12" s="983" t="n"/>
      <c r="BF12" s="983" t="n"/>
      <c r="BG12" s="983" t="n"/>
      <c r="BH12" s="983" t="n"/>
      <c r="BI12" s="984" t="n"/>
      <c r="BJ12" s="990" t="n"/>
      <c r="BK12" s="983" t="n"/>
      <c r="BL12" s="983" t="n"/>
      <c r="BM12" s="983" t="n"/>
      <c r="BN12" s="983" t="n"/>
      <c r="BO12" s="984" t="n"/>
      <c r="BP12" s="990" t="n"/>
      <c r="BQ12" s="983" t="n"/>
      <c r="BR12" s="983" t="n"/>
      <c r="BS12" s="983" t="n"/>
      <c r="BT12" s="984" t="n"/>
      <c r="BU12" s="990" t="n"/>
      <c r="BV12" s="983" t="n"/>
      <c r="BW12" s="983" t="n"/>
      <c r="BX12" s="983" t="n"/>
      <c r="BY12" s="983" t="n"/>
      <c r="BZ12" s="991" t="n"/>
    </row>
    <row r="13" ht="16.5" customHeight="1" s="838">
      <c r="B13" s="756" t="n"/>
      <c r="C13" s="738" t="n"/>
      <c r="D13" s="735" t="n"/>
      <c r="E13" s="736" t="n"/>
      <c r="F13" s="134" t="inlineStr">
        <is>
          <t>`26 실적</t>
        </is>
      </c>
      <c r="G13" s="973">
        <f>G39*G2/10^2</f>
        <v/>
      </c>
      <c r="H13" s="974">
        <f>H39*H2/10^2</f>
        <v/>
      </c>
      <c r="I13" s="974">
        <f>I39*I2/10^2</f>
        <v/>
      </c>
      <c r="J13" s="974">
        <f>J39*J2/10^2</f>
        <v/>
      </c>
      <c r="K13" s="974">
        <f>K39*K2/10^2</f>
        <v/>
      </c>
      <c r="L13" s="974">
        <f>L39*L2/10^2</f>
        <v/>
      </c>
      <c r="M13" s="973">
        <f>M39*M2/10^2</f>
        <v/>
      </c>
      <c r="N13" s="974">
        <f>N39*N2/10^2</f>
        <v/>
      </c>
      <c r="O13" s="974">
        <f>O39*O2/10^2</f>
        <v/>
      </c>
      <c r="P13" s="974">
        <f>P39*P2/10^2</f>
        <v/>
      </c>
      <c r="Q13" s="975">
        <f>Q39*Q2/10^2</f>
        <v/>
      </c>
      <c r="R13" s="992">
        <f>R39*R2/10^2</f>
        <v/>
      </c>
      <c r="S13" s="974">
        <f>S39*S2/10^2</f>
        <v/>
      </c>
      <c r="T13" s="974">
        <f>T39*T2/10^2</f>
        <v/>
      </c>
      <c r="U13" s="974" t="n">
        <v>8.709679059999999</v>
      </c>
      <c r="V13" s="974" t="n">
        <v>6.02290638</v>
      </c>
      <c r="W13" s="974">
        <f>W39*W2/10^2</f>
        <v/>
      </c>
      <c r="X13" s="973">
        <f>X39*X2/10^2</f>
        <v/>
      </c>
      <c r="Y13" s="974">
        <f>Y39*Y2/10^2</f>
        <v/>
      </c>
      <c r="Z13" s="974">
        <f>Z39*Z2/10^2</f>
        <v/>
      </c>
      <c r="AA13" s="974">
        <f>AA39*AA2/10^2</f>
        <v/>
      </c>
      <c r="AB13" s="974">
        <f>AB39*AB2/10^2</f>
        <v/>
      </c>
      <c r="AC13" s="975">
        <f>AC39*AC2/10^2</f>
        <v/>
      </c>
      <c r="AD13" s="993" t="n"/>
      <c r="AE13" s="974" t="n"/>
      <c r="AF13" s="974" t="n"/>
      <c r="AG13" s="974" t="n"/>
      <c r="AH13" s="974" t="n"/>
      <c r="AI13" s="974" t="n"/>
      <c r="AJ13" s="975" t="n"/>
      <c r="AK13" s="994" t="n"/>
      <c r="AL13" s="974" t="n"/>
      <c r="AM13" s="974" t="n"/>
      <c r="AN13" s="974" t="n"/>
      <c r="AO13" s="974" t="n"/>
      <c r="AP13" s="974" t="n"/>
      <c r="AQ13" s="995" t="n"/>
      <c r="AR13" s="996" t="n"/>
      <c r="AS13" s="974" t="n"/>
      <c r="AT13" s="974" t="n"/>
      <c r="AU13" s="974" t="n"/>
      <c r="AV13" s="974" t="n"/>
      <c r="AW13" s="997" t="n"/>
      <c r="AX13" s="974" t="n"/>
      <c r="AY13" s="974" t="n"/>
      <c r="AZ13" s="974" t="n"/>
      <c r="BA13" s="974" t="n"/>
      <c r="BB13" s="974" t="n"/>
      <c r="BC13" s="975" t="n"/>
      <c r="BD13" s="997" t="n"/>
      <c r="BE13" s="974" t="n"/>
      <c r="BF13" s="974" t="n"/>
      <c r="BG13" s="974" t="n"/>
      <c r="BH13" s="974" t="n"/>
      <c r="BI13" s="975" t="n"/>
      <c r="BJ13" s="997" t="n"/>
      <c r="BK13" s="974" t="n"/>
      <c r="BL13" s="974" t="n"/>
      <c r="BM13" s="974" t="n"/>
      <c r="BN13" s="974" t="n"/>
      <c r="BO13" s="975" t="n"/>
      <c r="BP13" s="997" t="n"/>
      <c r="BQ13" s="974" t="n"/>
      <c r="BR13" s="974" t="n"/>
      <c r="BS13" s="974" t="n"/>
      <c r="BT13" s="975" t="n"/>
      <c r="BU13" s="997" t="n"/>
      <c r="BV13" s="974" t="n"/>
      <c r="BW13" s="974" t="n"/>
      <c r="BX13" s="974" t="n"/>
      <c r="BY13" s="974" t="n"/>
      <c r="BZ13" s="998" t="n"/>
    </row>
    <row r="14" ht="16.5" customHeight="1" s="838">
      <c r="B14" s="756" t="n"/>
      <c r="C14" s="738" t="n"/>
      <c r="D14" s="737" t="inlineStr">
        <is>
          <t>지역3</t>
        </is>
      </c>
      <c r="E14" s="734" t="n"/>
      <c r="F14" s="220" t="inlineStr">
        <is>
          <t>`26 목표</t>
        </is>
      </c>
      <c r="G14" s="982">
        <f>G40*G1/10^2</f>
        <v/>
      </c>
      <c r="H14" s="983">
        <f>H40*H1/10^2</f>
        <v/>
      </c>
      <c r="I14" s="983">
        <f>I40*I1/10^2</f>
        <v/>
      </c>
      <c r="J14" s="983">
        <f>J40*J1/10^2</f>
        <v/>
      </c>
      <c r="K14" s="983">
        <f>K40*K1/10^2</f>
        <v/>
      </c>
      <c r="L14" s="983">
        <f>L40*L1/10^2</f>
        <v/>
      </c>
      <c r="M14" s="982">
        <f>M40*M1/10^2</f>
        <v/>
      </c>
      <c r="N14" s="983">
        <f>N40*N1/10^2</f>
        <v/>
      </c>
      <c r="O14" s="983">
        <f>O40*O1/10^2</f>
        <v/>
      </c>
      <c r="P14" s="983">
        <f>P40*P1/10^2</f>
        <v/>
      </c>
      <c r="Q14" s="984">
        <f>Q40*Q1/10^2</f>
        <v/>
      </c>
      <c r="R14" s="985">
        <f>R40*R1/10^2</f>
        <v/>
      </c>
      <c r="S14" s="983">
        <f>S40*S1/10^2</f>
        <v/>
      </c>
      <c r="T14" s="983">
        <f>T40*T1/10^2</f>
        <v/>
      </c>
      <c r="U14" s="983">
        <f>U40*U1/10^2</f>
        <v/>
      </c>
      <c r="V14" s="983">
        <f>V40*V1/10^2</f>
        <v/>
      </c>
      <c r="W14" s="983">
        <f>W40*W1/10^2</f>
        <v/>
      </c>
      <c r="X14" s="982">
        <f>X40*X1/10^2</f>
        <v/>
      </c>
      <c r="Y14" s="983">
        <f>Y40*Y1/10^2</f>
        <v/>
      </c>
      <c r="Z14" s="983">
        <f>Z40*Z1/10^2</f>
        <v/>
      </c>
      <c r="AA14" s="983">
        <f>AA40*AA1/10^2</f>
        <v/>
      </c>
      <c r="AB14" s="983">
        <f>AB40*AB1/10^2</f>
        <v/>
      </c>
      <c r="AC14" s="984">
        <f>AC40*AC1/10^2</f>
        <v/>
      </c>
      <c r="AD14" s="986" t="n"/>
      <c r="AE14" s="983" t="n"/>
      <c r="AF14" s="983" t="n"/>
      <c r="AG14" s="983" t="n"/>
      <c r="AH14" s="983" t="n"/>
      <c r="AI14" s="983" t="n"/>
      <c r="AJ14" s="984" t="n"/>
      <c r="AK14" s="987" t="n"/>
      <c r="AL14" s="983" t="n"/>
      <c r="AM14" s="983" t="n"/>
      <c r="AN14" s="983" t="n"/>
      <c r="AO14" s="983" t="n"/>
      <c r="AP14" s="983" t="n"/>
      <c r="AQ14" s="988" t="n"/>
      <c r="AR14" s="989" t="n"/>
      <c r="AS14" s="983" t="n"/>
      <c r="AT14" s="983" t="n"/>
      <c r="AU14" s="983" t="n"/>
      <c r="AV14" s="983" t="n"/>
      <c r="AW14" s="990" t="n"/>
      <c r="AX14" s="983" t="n"/>
      <c r="AY14" s="983" t="n"/>
      <c r="AZ14" s="983" t="n"/>
      <c r="BA14" s="983" t="n"/>
      <c r="BB14" s="983" t="n"/>
      <c r="BC14" s="984" t="n"/>
      <c r="BD14" s="990" t="n"/>
      <c r="BE14" s="983" t="n"/>
      <c r="BF14" s="983" t="n"/>
      <c r="BG14" s="983" t="n"/>
      <c r="BH14" s="983" t="n"/>
      <c r="BI14" s="984" t="n"/>
      <c r="BJ14" s="990" t="n"/>
      <c r="BK14" s="983" t="n"/>
      <c r="BL14" s="983" t="n"/>
      <c r="BM14" s="983" t="n"/>
      <c r="BN14" s="983" t="n"/>
      <c r="BO14" s="984" t="n"/>
      <c r="BP14" s="990" t="n"/>
      <c r="BQ14" s="983" t="n"/>
      <c r="BR14" s="983" t="n"/>
      <c r="BS14" s="983" t="n"/>
      <c r="BT14" s="984" t="n"/>
      <c r="BU14" s="990" t="n"/>
      <c r="BV14" s="983" t="n"/>
      <c r="BW14" s="983" t="n"/>
      <c r="BX14" s="983" t="n"/>
      <c r="BY14" s="983" t="n"/>
      <c r="BZ14" s="991" t="n"/>
    </row>
    <row r="15" ht="16.5" customHeight="1" s="838">
      <c r="B15" s="756" t="n"/>
      <c r="C15" s="738" t="n"/>
      <c r="D15" s="735" t="n"/>
      <c r="E15" s="736" t="n"/>
      <c r="F15" s="134" t="inlineStr">
        <is>
          <t>`26 실적</t>
        </is>
      </c>
      <c r="G15" s="973">
        <f>G41*G2/10^2</f>
        <v/>
      </c>
      <c r="H15" s="974">
        <f>H41*H2/10^2</f>
        <v/>
      </c>
      <c r="I15" s="974">
        <f>I41*I2/10^2</f>
        <v/>
      </c>
      <c r="J15" s="974">
        <f>J41*J2/10^2</f>
        <v/>
      </c>
      <c r="K15" s="974">
        <f>K41*K2/10^2</f>
        <v/>
      </c>
      <c r="L15" s="974">
        <f>L41*L2/10^2</f>
        <v/>
      </c>
      <c r="M15" s="973">
        <f>M41*M2/10^2</f>
        <v/>
      </c>
      <c r="N15" s="974">
        <f>N41*N2/10^2</f>
        <v/>
      </c>
      <c r="O15" s="974">
        <f>O41*O2/10^2</f>
        <v/>
      </c>
      <c r="P15" s="974">
        <f>P41*P2/10^2</f>
        <v/>
      </c>
      <c r="Q15" s="975">
        <f>Q41*Q2/10^2</f>
        <v/>
      </c>
      <c r="R15" s="992">
        <f>R41*R2/10^2</f>
        <v/>
      </c>
      <c r="S15" s="974">
        <f>S41*S2/10^2</f>
        <v/>
      </c>
      <c r="T15" s="974">
        <f>T41*T2/10^2</f>
        <v/>
      </c>
      <c r="U15" s="974">
        <f>U41*U2/10^2</f>
        <v/>
      </c>
      <c r="V15" s="974">
        <f>V41*V2/10^2</f>
        <v/>
      </c>
      <c r="W15" s="974">
        <f>W41*W2/10^2</f>
        <v/>
      </c>
      <c r="X15" s="973">
        <f>X41*X2/10^2</f>
        <v/>
      </c>
      <c r="Y15" s="974">
        <f>Y41*Y2/10^2</f>
        <v/>
      </c>
      <c r="Z15" s="974">
        <f>Z41*Z2/10^2</f>
        <v/>
      </c>
      <c r="AA15" s="974">
        <f>AA41*AA2/10^2</f>
        <v/>
      </c>
      <c r="AB15" s="974">
        <f>AB41*AB2/10^2</f>
        <v/>
      </c>
      <c r="AC15" s="975">
        <f>AC41*AC2/10^2</f>
        <v/>
      </c>
      <c r="AD15" s="993" t="n"/>
      <c r="AE15" s="974" t="n"/>
      <c r="AF15" s="974" t="n"/>
      <c r="AG15" s="974" t="n"/>
      <c r="AH15" s="974" t="n"/>
      <c r="AI15" s="974" t="n"/>
      <c r="AJ15" s="975" t="n"/>
      <c r="AK15" s="994" t="n"/>
      <c r="AL15" s="974" t="n"/>
      <c r="AM15" s="974" t="n"/>
      <c r="AN15" s="974" t="n"/>
      <c r="AO15" s="974" t="n"/>
      <c r="AP15" s="974" t="n"/>
      <c r="AQ15" s="995" t="n"/>
      <c r="AR15" s="996" t="n"/>
      <c r="AS15" s="974" t="n"/>
      <c r="AT15" s="974" t="n"/>
      <c r="AU15" s="974" t="n"/>
      <c r="AV15" s="974" t="n"/>
      <c r="AW15" s="997" t="n"/>
      <c r="AX15" s="974" t="n"/>
      <c r="AY15" s="974" t="n"/>
      <c r="AZ15" s="974" t="n"/>
      <c r="BA15" s="974" t="n"/>
      <c r="BB15" s="974" t="n"/>
      <c r="BC15" s="975" t="n"/>
      <c r="BD15" s="997" t="n"/>
      <c r="BE15" s="974" t="n"/>
      <c r="BF15" s="974" t="n"/>
      <c r="BG15" s="974" t="n"/>
      <c r="BH15" s="974" t="n"/>
      <c r="BI15" s="975" t="n"/>
      <c r="BJ15" s="997" t="n"/>
      <c r="BK15" s="974" t="n"/>
      <c r="BL15" s="974" t="n"/>
      <c r="BM15" s="974" t="n"/>
      <c r="BN15" s="974" t="n"/>
      <c r="BO15" s="975" t="n"/>
      <c r="BP15" s="997" t="n"/>
      <c r="BQ15" s="974" t="n"/>
      <c r="BR15" s="974" t="n"/>
      <c r="BS15" s="974" t="n"/>
      <c r="BT15" s="975" t="n"/>
      <c r="BU15" s="997" t="n"/>
      <c r="BV15" s="974" t="n"/>
      <c r="BW15" s="974" t="n"/>
      <c r="BX15" s="974" t="n"/>
      <c r="BY15" s="974" t="n"/>
      <c r="BZ15" s="998" t="n"/>
    </row>
    <row r="16" ht="16.5" customHeight="1" s="838">
      <c r="B16" s="756" t="n"/>
      <c r="C16" s="738" t="n"/>
      <c r="D16" s="737" t="inlineStr">
        <is>
          <t>지역4</t>
        </is>
      </c>
      <c r="E16" s="734" t="n"/>
      <c r="F16" s="220" t="inlineStr">
        <is>
          <t>`26 목표</t>
        </is>
      </c>
      <c r="G16" s="982">
        <f>G42*G1/10^2</f>
        <v/>
      </c>
      <c r="H16" s="983">
        <f>H42*H1/10^2</f>
        <v/>
      </c>
      <c r="I16" s="983">
        <f>I42*I1/10^2</f>
        <v/>
      </c>
      <c r="J16" s="983">
        <f>J42*J1/10^2</f>
        <v/>
      </c>
      <c r="K16" s="983">
        <f>K42*K1/10^2</f>
        <v/>
      </c>
      <c r="L16" s="983">
        <f>L42*L1/10^2</f>
        <v/>
      </c>
      <c r="M16" s="982">
        <f>M42*M1/10^2</f>
        <v/>
      </c>
      <c r="N16" s="983">
        <f>N42*N1/10^2</f>
        <v/>
      </c>
      <c r="O16" s="983">
        <f>O42*O1/10^2</f>
        <v/>
      </c>
      <c r="P16" s="983">
        <f>P42*P1/10^2</f>
        <v/>
      </c>
      <c r="Q16" s="984">
        <f>Q42*Q1/10^2</f>
        <v/>
      </c>
      <c r="R16" s="985">
        <f>R42*R1/10^2</f>
        <v/>
      </c>
      <c r="S16" s="983">
        <f>S42*S1/10^2</f>
        <v/>
      </c>
      <c r="T16" s="983">
        <f>T42*T1/10^2</f>
        <v/>
      </c>
      <c r="U16" s="983">
        <f>U42*U1/10^2</f>
        <v/>
      </c>
      <c r="V16" s="983">
        <f>V42*V1/10^2</f>
        <v/>
      </c>
      <c r="W16" s="983">
        <f>W42*W1/10^2</f>
        <v/>
      </c>
      <c r="X16" s="982">
        <f>X42*X1/10^2</f>
        <v/>
      </c>
      <c r="Y16" s="983">
        <f>Y42*Y1/10^2</f>
        <v/>
      </c>
      <c r="Z16" s="983">
        <f>Z42*Z1/10^2</f>
        <v/>
      </c>
      <c r="AA16" s="983">
        <f>AA42*AA1/10^2</f>
        <v/>
      </c>
      <c r="AB16" s="983">
        <f>AB42*AB1/10^2</f>
        <v/>
      </c>
      <c r="AC16" s="984">
        <f>AC42*AC1/10^2</f>
        <v/>
      </c>
      <c r="AD16" s="986" t="n"/>
      <c r="AE16" s="983" t="n"/>
      <c r="AF16" s="983" t="n"/>
      <c r="AG16" s="983" t="n"/>
      <c r="AH16" s="983" t="n"/>
      <c r="AI16" s="983" t="n"/>
      <c r="AJ16" s="984" t="n"/>
      <c r="AK16" s="987" t="n"/>
      <c r="AL16" s="983" t="n"/>
      <c r="AM16" s="983" t="n"/>
      <c r="AN16" s="983" t="n"/>
      <c r="AO16" s="983" t="n"/>
      <c r="AP16" s="983" t="n"/>
      <c r="AQ16" s="988" t="n"/>
      <c r="AR16" s="989" t="n"/>
      <c r="AS16" s="983" t="n"/>
      <c r="AT16" s="983" t="n"/>
      <c r="AU16" s="983" t="n"/>
      <c r="AV16" s="983" t="n"/>
      <c r="AW16" s="990" t="n"/>
      <c r="AX16" s="983" t="n"/>
      <c r="AY16" s="983" t="n"/>
      <c r="AZ16" s="983" t="n"/>
      <c r="BA16" s="983" t="n"/>
      <c r="BB16" s="983" t="n"/>
      <c r="BC16" s="984" t="n"/>
      <c r="BD16" s="990" t="n"/>
      <c r="BE16" s="983" t="n"/>
      <c r="BF16" s="983" t="n"/>
      <c r="BG16" s="983" t="n"/>
      <c r="BH16" s="983" t="n"/>
      <c r="BI16" s="984" t="n"/>
      <c r="BJ16" s="990" t="n"/>
      <c r="BK16" s="983" t="n"/>
      <c r="BL16" s="983" t="n"/>
      <c r="BM16" s="983" t="n"/>
      <c r="BN16" s="983" t="n"/>
      <c r="BO16" s="984" t="n"/>
      <c r="BP16" s="990" t="n"/>
      <c r="BQ16" s="983" t="n"/>
      <c r="BR16" s="983" t="n"/>
      <c r="BS16" s="983" t="n"/>
      <c r="BT16" s="984" t="n"/>
      <c r="BU16" s="990" t="n"/>
      <c r="BV16" s="983" t="n"/>
      <c r="BW16" s="983" t="n"/>
      <c r="BX16" s="983" t="n"/>
      <c r="BY16" s="983" t="n"/>
      <c r="BZ16" s="991" t="n"/>
    </row>
    <row r="17" ht="16.5" customHeight="1" s="838">
      <c r="B17" s="756" t="n"/>
      <c r="C17" s="738" t="n"/>
      <c r="D17" s="735" t="n"/>
      <c r="E17" s="736" t="n"/>
      <c r="F17" s="134" t="inlineStr">
        <is>
          <t>`26 실적</t>
        </is>
      </c>
      <c r="G17" s="973">
        <f>G43*G2/10^2</f>
        <v/>
      </c>
      <c r="H17" s="974">
        <f>H43*H2/10^2</f>
        <v/>
      </c>
      <c r="I17" s="974">
        <f>I43*I2/10^2</f>
        <v/>
      </c>
      <c r="J17" s="974">
        <f>J43*J2/10^2</f>
        <v/>
      </c>
      <c r="K17" s="974">
        <f>K43*K2/10^2</f>
        <v/>
      </c>
      <c r="L17" s="974">
        <f>L43*L2/10^2</f>
        <v/>
      </c>
      <c r="M17" s="973">
        <f>M43*M2/10^2</f>
        <v/>
      </c>
      <c r="N17" s="974">
        <f>N43*N2/10^2</f>
        <v/>
      </c>
      <c r="O17" s="974">
        <f>O43*O2/10^2</f>
        <v/>
      </c>
      <c r="P17" s="974">
        <f>P43*P2/10^2</f>
        <v/>
      </c>
      <c r="Q17" s="975">
        <f>Q43*Q2/10^2</f>
        <v/>
      </c>
      <c r="R17" s="992">
        <f>R43*R2/10^2</f>
        <v/>
      </c>
      <c r="S17" s="974">
        <f>S43*S2/10^2</f>
        <v/>
      </c>
      <c r="T17" s="974">
        <f>T43*T2/10^2</f>
        <v/>
      </c>
      <c r="U17" s="974">
        <f>U43*U2/10^2</f>
        <v/>
      </c>
      <c r="V17" s="974">
        <f>V43*V2/10^2</f>
        <v/>
      </c>
      <c r="W17" s="974">
        <f>W43*W2/10^2</f>
        <v/>
      </c>
      <c r="X17" s="973">
        <f>X43*X2/10^2</f>
        <v/>
      </c>
      <c r="Y17" s="974">
        <f>Y43*Y2/10^2</f>
        <v/>
      </c>
      <c r="Z17" s="974">
        <f>Z43*Z2/10^2</f>
        <v/>
      </c>
      <c r="AA17" s="974">
        <f>AA43*AA2/10^2</f>
        <v/>
      </c>
      <c r="AB17" s="974">
        <f>AB43*AB2/10^2</f>
        <v/>
      </c>
      <c r="AC17" s="975">
        <f>AC43*AC2/10^2</f>
        <v/>
      </c>
      <c r="AD17" s="993" t="n"/>
      <c r="AE17" s="974" t="n"/>
      <c r="AF17" s="974" t="n"/>
      <c r="AG17" s="974" t="n"/>
      <c r="AH17" s="974" t="n"/>
      <c r="AI17" s="974" t="n"/>
      <c r="AJ17" s="975" t="n"/>
      <c r="AK17" s="994" t="n"/>
      <c r="AL17" s="974" t="n"/>
      <c r="AM17" s="974" t="n"/>
      <c r="AN17" s="974" t="n"/>
      <c r="AO17" s="974" t="n"/>
      <c r="AP17" s="974" t="n"/>
      <c r="AQ17" s="995" t="n"/>
      <c r="AR17" s="996" t="n"/>
      <c r="AS17" s="974" t="n"/>
      <c r="AT17" s="974" t="n"/>
      <c r="AU17" s="974" t="n"/>
      <c r="AV17" s="974" t="n"/>
      <c r="AW17" s="997" t="n"/>
      <c r="AX17" s="974" t="n"/>
      <c r="AY17" s="974" t="n"/>
      <c r="AZ17" s="974" t="n"/>
      <c r="BA17" s="974" t="n"/>
      <c r="BB17" s="974" t="n"/>
      <c r="BC17" s="975" t="n"/>
      <c r="BD17" s="997" t="n"/>
      <c r="BE17" s="974" t="n"/>
      <c r="BF17" s="974" t="n"/>
      <c r="BG17" s="974" t="n"/>
      <c r="BH17" s="974" t="n"/>
      <c r="BI17" s="975" t="n"/>
      <c r="BJ17" s="997" t="n"/>
      <c r="BK17" s="974" t="n"/>
      <c r="BL17" s="974" t="n"/>
      <c r="BM17" s="974" t="n"/>
      <c r="BN17" s="974" t="n"/>
      <c r="BO17" s="975" t="n"/>
      <c r="BP17" s="997" t="n"/>
      <c r="BQ17" s="974" t="n"/>
      <c r="BR17" s="974" t="n"/>
      <c r="BS17" s="974" t="n"/>
      <c r="BT17" s="975" t="n"/>
      <c r="BU17" s="997" t="n"/>
      <c r="BV17" s="974" t="n"/>
      <c r="BW17" s="974" t="n"/>
      <c r="BX17" s="974" t="n"/>
      <c r="BY17" s="974" t="n"/>
      <c r="BZ17" s="998" t="n"/>
    </row>
    <row r="18" ht="16.5" customHeight="1" s="838">
      <c r="B18" s="756" t="n"/>
      <c r="C18" s="738" t="n"/>
      <c r="D18" s="737" t="inlineStr">
        <is>
          <t>지역5</t>
        </is>
      </c>
      <c r="E18" s="734" t="n"/>
      <c r="F18" s="220" t="inlineStr">
        <is>
          <t>`26 목표</t>
        </is>
      </c>
      <c r="G18" s="982">
        <f>G44*G1/10^2</f>
        <v/>
      </c>
      <c r="H18" s="983">
        <f>H44*H1/10^2</f>
        <v/>
      </c>
      <c r="I18" s="983">
        <f>I44*I1/10^2</f>
        <v/>
      </c>
      <c r="J18" s="983">
        <f>J44*J1/10^2</f>
        <v/>
      </c>
      <c r="K18" s="983">
        <f>K44*K1/10^2</f>
        <v/>
      </c>
      <c r="L18" s="983">
        <f>L44*L1/10^2</f>
        <v/>
      </c>
      <c r="M18" s="982">
        <f>M44*M1/10^2</f>
        <v/>
      </c>
      <c r="N18" s="983">
        <f>N44*N1/10^2</f>
        <v/>
      </c>
      <c r="O18" s="983">
        <f>O44*O1/10^2</f>
        <v/>
      </c>
      <c r="P18" s="983">
        <f>P44*P1/10^2</f>
        <v/>
      </c>
      <c r="Q18" s="984">
        <f>Q44*Q1/10^2</f>
        <v/>
      </c>
      <c r="R18" s="985">
        <f>R44*R1/10^2</f>
        <v/>
      </c>
      <c r="S18" s="983">
        <f>S44*S1/10^2</f>
        <v/>
      </c>
      <c r="T18" s="983">
        <f>T44*T1/10^2</f>
        <v/>
      </c>
      <c r="U18" s="983">
        <f>U44*U1/10^2</f>
        <v/>
      </c>
      <c r="V18" s="983">
        <f>V44*V1/10^2</f>
        <v/>
      </c>
      <c r="W18" s="983">
        <f>W44*W1/10^2</f>
        <v/>
      </c>
      <c r="X18" s="982">
        <f>X44*X1/10^2</f>
        <v/>
      </c>
      <c r="Y18" s="983">
        <f>Y44*Y1/10^2</f>
        <v/>
      </c>
      <c r="Z18" s="983">
        <f>Z44*Z1/10^2</f>
        <v/>
      </c>
      <c r="AA18" s="983">
        <f>AA44*AA1/10^2</f>
        <v/>
      </c>
      <c r="AB18" s="983">
        <f>AB44*AB1/10^2</f>
        <v/>
      </c>
      <c r="AC18" s="984">
        <f>AC44*AC1/10^2</f>
        <v/>
      </c>
      <c r="AD18" s="986" t="n"/>
      <c r="AE18" s="983" t="n"/>
      <c r="AF18" s="983" t="n"/>
      <c r="AG18" s="983" t="n"/>
      <c r="AH18" s="983" t="n"/>
      <c r="AI18" s="983" t="n"/>
      <c r="AJ18" s="984" t="n"/>
      <c r="AK18" s="987" t="n"/>
      <c r="AL18" s="983" t="n"/>
      <c r="AM18" s="983" t="n"/>
      <c r="AN18" s="983" t="n"/>
      <c r="AO18" s="983" t="n"/>
      <c r="AP18" s="983" t="n"/>
      <c r="AQ18" s="988" t="n"/>
      <c r="AR18" s="989" t="n"/>
      <c r="AS18" s="983" t="n"/>
      <c r="AT18" s="983" t="n"/>
      <c r="AU18" s="983" t="n"/>
      <c r="AV18" s="983" t="n"/>
      <c r="AW18" s="990" t="n"/>
      <c r="AX18" s="983" t="n"/>
      <c r="AY18" s="983" t="n"/>
      <c r="AZ18" s="983" t="n"/>
      <c r="BA18" s="983" t="n"/>
      <c r="BB18" s="983" t="n"/>
      <c r="BC18" s="984" t="n"/>
      <c r="BD18" s="990" t="n"/>
      <c r="BE18" s="983" t="n"/>
      <c r="BF18" s="983" t="n"/>
      <c r="BG18" s="983" t="n"/>
      <c r="BH18" s="983" t="n"/>
      <c r="BI18" s="984" t="n"/>
      <c r="BJ18" s="990" t="n"/>
      <c r="BK18" s="983" t="n"/>
      <c r="BL18" s="983" t="n"/>
      <c r="BM18" s="983" t="n"/>
      <c r="BN18" s="983" t="n"/>
      <c r="BO18" s="984" t="n"/>
      <c r="BP18" s="990" t="n"/>
      <c r="BQ18" s="983" t="n"/>
      <c r="BR18" s="983" t="n"/>
      <c r="BS18" s="983" t="n"/>
      <c r="BT18" s="984" t="n"/>
      <c r="BU18" s="990" t="n"/>
      <c r="BV18" s="983" t="n"/>
      <c r="BW18" s="983" t="n"/>
      <c r="BX18" s="983" t="n"/>
      <c r="BY18" s="983" t="n"/>
      <c r="BZ18" s="991" t="n"/>
    </row>
    <row r="19" ht="16.5" customHeight="1" s="838">
      <c r="B19" s="756" t="n"/>
      <c r="C19" s="738" t="n"/>
      <c r="D19" s="735" t="n"/>
      <c r="E19" s="736" t="n"/>
      <c r="F19" s="134" t="inlineStr">
        <is>
          <t>`26 실적</t>
        </is>
      </c>
      <c r="G19" s="973">
        <f>G45*G2/10^2</f>
        <v/>
      </c>
      <c r="H19" s="974">
        <f>H45*H2/10^2</f>
        <v/>
      </c>
      <c r="I19" s="974">
        <f>I45*I2/10^2</f>
        <v/>
      </c>
      <c r="J19" s="974">
        <f>J45*J2/10^2</f>
        <v/>
      </c>
      <c r="K19" s="974">
        <f>K45*K2/10^2</f>
        <v/>
      </c>
      <c r="L19" s="974">
        <f>L45*L2/10^2</f>
        <v/>
      </c>
      <c r="M19" s="973">
        <f>M45*M2/10^2</f>
        <v/>
      </c>
      <c r="N19" s="974">
        <f>N45*N2/10^2</f>
        <v/>
      </c>
      <c r="O19" s="974">
        <f>O45*O2/10^2</f>
        <v/>
      </c>
      <c r="P19" s="974">
        <f>P45*P2/10^2</f>
        <v/>
      </c>
      <c r="Q19" s="975">
        <f>Q45*Q2/10^2</f>
        <v/>
      </c>
      <c r="R19" s="992">
        <f>R45*R2/10^2</f>
        <v/>
      </c>
      <c r="S19" s="974">
        <f>S45*S2/10^2</f>
        <v/>
      </c>
      <c r="T19" s="974">
        <f>T45*T2/10^2</f>
        <v/>
      </c>
      <c r="U19" s="974">
        <f>U45*U2/10^2</f>
        <v/>
      </c>
      <c r="V19" s="974">
        <f>V45*V2/10^2</f>
        <v/>
      </c>
      <c r="W19" s="974">
        <f>W45*W2/10^2</f>
        <v/>
      </c>
      <c r="X19" s="973">
        <f>X45*X2/10^2</f>
        <v/>
      </c>
      <c r="Y19" s="974">
        <f>Y45*Y2/10^2</f>
        <v/>
      </c>
      <c r="Z19" s="974">
        <f>Z45*Z2/10^2</f>
        <v/>
      </c>
      <c r="AA19" s="974">
        <f>AA45*AA2/10^2</f>
        <v/>
      </c>
      <c r="AB19" s="974">
        <f>AB45*AB2/10^2</f>
        <v/>
      </c>
      <c r="AC19" s="975">
        <f>AC45*AC2/10^2</f>
        <v/>
      </c>
      <c r="AD19" s="993" t="n"/>
      <c r="AE19" s="974" t="n"/>
      <c r="AF19" s="974" t="n"/>
      <c r="AG19" s="974" t="n"/>
      <c r="AH19" s="974" t="n"/>
      <c r="AI19" s="974" t="n"/>
      <c r="AJ19" s="975" t="n"/>
      <c r="AK19" s="994" t="n"/>
      <c r="AL19" s="974" t="n"/>
      <c r="AM19" s="974" t="n"/>
      <c r="AN19" s="974" t="n"/>
      <c r="AO19" s="974" t="n"/>
      <c r="AP19" s="974" t="n"/>
      <c r="AQ19" s="995" t="n"/>
      <c r="AR19" s="996" t="n"/>
      <c r="AS19" s="974" t="n"/>
      <c r="AT19" s="974" t="n"/>
      <c r="AU19" s="974" t="n"/>
      <c r="AV19" s="974" t="n"/>
      <c r="AW19" s="997" t="n"/>
      <c r="AX19" s="974" t="n"/>
      <c r="AY19" s="974" t="n"/>
      <c r="AZ19" s="974" t="n"/>
      <c r="BA19" s="974" t="n"/>
      <c r="BB19" s="974" t="n"/>
      <c r="BC19" s="975" t="n"/>
      <c r="BD19" s="997" t="n"/>
      <c r="BE19" s="974" t="n"/>
      <c r="BF19" s="974" t="n"/>
      <c r="BG19" s="974" t="n"/>
      <c r="BH19" s="974" t="n"/>
      <c r="BI19" s="975" t="n"/>
      <c r="BJ19" s="997" t="n"/>
      <c r="BK19" s="974" t="n"/>
      <c r="BL19" s="974" t="n"/>
      <c r="BM19" s="974" t="n"/>
      <c r="BN19" s="974" t="n"/>
      <c r="BO19" s="975" t="n"/>
      <c r="BP19" s="997" t="n"/>
      <c r="BQ19" s="974" t="n"/>
      <c r="BR19" s="974" t="n"/>
      <c r="BS19" s="974" t="n"/>
      <c r="BT19" s="975" t="n"/>
      <c r="BU19" s="997" t="n"/>
      <c r="BV19" s="974" t="n"/>
      <c r="BW19" s="974" t="n"/>
      <c r="BX19" s="974" t="n"/>
      <c r="BY19" s="974" t="n"/>
      <c r="BZ19" s="998" t="n"/>
    </row>
    <row r="20" ht="16.5" customHeight="1" s="838">
      <c r="B20" s="756" t="n"/>
      <c r="C20" s="738" t="n"/>
      <c r="D20" s="737" t="inlineStr">
        <is>
          <t>지역6</t>
        </is>
      </c>
      <c r="E20" s="734" t="n"/>
      <c r="F20" s="220" t="inlineStr">
        <is>
          <t>`26 목표</t>
        </is>
      </c>
      <c r="G20" s="982">
        <f>G46*G1/10^2</f>
        <v/>
      </c>
      <c r="H20" s="983">
        <f>H46*H1/10^2</f>
        <v/>
      </c>
      <c r="I20" s="983">
        <f>I46*I1/10^2</f>
        <v/>
      </c>
      <c r="J20" s="983">
        <f>J46*J1/10^2</f>
        <v/>
      </c>
      <c r="K20" s="983">
        <f>K46*K1/10^2</f>
        <v/>
      </c>
      <c r="L20" s="983">
        <f>L46*L1/10^2</f>
        <v/>
      </c>
      <c r="M20" s="982">
        <f>M46*M1/10^2</f>
        <v/>
      </c>
      <c r="N20" s="983">
        <f>N46*N1/10^2</f>
        <v/>
      </c>
      <c r="O20" s="983">
        <f>O46*O1/10^2</f>
        <v/>
      </c>
      <c r="P20" s="983">
        <f>P46*P1/10^2</f>
        <v/>
      </c>
      <c r="Q20" s="984">
        <f>Q46*Q1/10^2</f>
        <v/>
      </c>
      <c r="R20" s="985">
        <f>R46*R1/10^2</f>
        <v/>
      </c>
      <c r="S20" s="983">
        <f>S46*S1/10^2</f>
        <v/>
      </c>
      <c r="T20" s="983">
        <f>T46*T1/10^2</f>
        <v/>
      </c>
      <c r="U20" s="983">
        <f>U46*U1/10^2</f>
        <v/>
      </c>
      <c r="V20" s="983">
        <f>V46*V1/10^2</f>
        <v/>
      </c>
      <c r="W20" s="983">
        <f>W46*W1/10^2</f>
        <v/>
      </c>
      <c r="X20" s="982">
        <f>X46*X1/10^2</f>
        <v/>
      </c>
      <c r="Y20" s="983">
        <f>Y46*Y1/10^2</f>
        <v/>
      </c>
      <c r="Z20" s="983">
        <f>Z46*Z1/10^2</f>
        <v/>
      </c>
      <c r="AA20" s="983">
        <f>AA46*AA1/10^2</f>
        <v/>
      </c>
      <c r="AB20" s="983">
        <f>AB46*AB1/10^2</f>
        <v/>
      </c>
      <c r="AC20" s="984">
        <f>AC46*AC1/10^2</f>
        <v/>
      </c>
      <c r="AD20" s="986" t="n"/>
      <c r="AE20" s="983" t="n"/>
      <c r="AF20" s="983" t="n"/>
      <c r="AG20" s="983" t="n"/>
      <c r="AH20" s="983" t="n"/>
      <c r="AI20" s="983" t="n"/>
      <c r="AJ20" s="984" t="n"/>
      <c r="AK20" s="987" t="n"/>
      <c r="AL20" s="983" t="n"/>
      <c r="AM20" s="983" t="n"/>
      <c r="AN20" s="983" t="n"/>
      <c r="AO20" s="983" t="n"/>
      <c r="AP20" s="983" t="n"/>
      <c r="AQ20" s="988" t="n"/>
      <c r="AR20" s="989" t="n"/>
      <c r="AS20" s="983" t="n"/>
      <c r="AT20" s="983" t="n"/>
      <c r="AU20" s="983" t="n"/>
      <c r="AV20" s="983" t="n"/>
      <c r="AW20" s="990" t="n"/>
      <c r="AX20" s="983" t="n"/>
      <c r="AY20" s="983" t="n"/>
      <c r="AZ20" s="983" t="n"/>
      <c r="BA20" s="983" t="n"/>
      <c r="BB20" s="983" t="n"/>
      <c r="BC20" s="984" t="n"/>
      <c r="BD20" s="990" t="n"/>
      <c r="BE20" s="983" t="n"/>
      <c r="BF20" s="983" t="n"/>
      <c r="BG20" s="983" t="n"/>
      <c r="BH20" s="983" t="n"/>
      <c r="BI20" s="984" t="n"/>
      <c r="BJ20" s="990" t="n"/>
      <c r="BK20" s="983" t="n"/>
      <c r="BL20" s="983" t="n"/>
      <c r="BM20" s="983" t="n"/>
      <c r="BN20" s="983" t="n"/>
      <c r="BO20" s="984" t="n"/>
      <c r="BP20" s="990" t="n"/>
      <c r="BQ20" s="983" t="n"/>
      <c r="BR20" s="983" t="n"/>
      <c r="BS20" s="983" t="n"/>
      <c r="BT20" s="984" t="n"/>
      <c r="BU20" s="990" t="n"/>
      <c r="BV20" s="983" t="n"/>
      <c r="BW20" s="983" t="n"/>
      <c r="BX20" s="983" t="n"/>
      <c r="BY20" s="983" t="n"/>
      <c r="BZ20" s="991" t="n"/>
    </row>
    <row r="21" ht="16.5" customHeight="1" s="838">
      <c r="B21" s="756" t="n"/>
      <c r="C21" s="738" t="n"/>
      <c r="D21" s="735" t="n"/>
      <c r="E21" s="736" t="n"/>
      <c r="F21" s="134" t="inlineStr">
        <is>
          <t>`26 실적</t>
        </is>
      </c>
      <c r="G21" s="973">
        <f>G47*G2/10^2</f>
        <v/>
      </c>
      <c r="H21" s="974">
        <f>H47*H2/10^2</f>
        <v/>
      </c>
      <c r="I21" s="974">
        <f>I47*I2/10^2</f>
        <v/>
      </c>
      <c r="J21" s="974">
        <f>J47*J2/10^2</f>
        <v/>
      </c>
      <c r="K21" s="974">
        <f>K47*K2/10^2</f>
        <v/>
      </c>
      <c r="L21" s="974">
        <f>L47*L2/10^2</f>
        <v/>
      </c>
      <c r="M21" s="973">
        <f>M47*M2/10^2</f>
        <v/>
      </c>
      <c r="N21" s="974">
        <f>N47*N2/10^2</f>
        <v/>
      </c>
      <c r="O21" s="974">
        <f>O47*O2/10^2</f>
        <v/>
      </c>
      <c r="P21" s="974">
        <f>P47*P2/10^2</f>
        <v/>
      </c>
      <c r="Q21" s="975">
        <f>Q47*Q2/10^2</f>
        <v/>
      </c>
      <c r="R21" s="992">
        <f>R47*R2/10^2</f>
        <v/>
      </c>
      <c r="S21" s="974">
        <f>S47*S2/10^2</f>
        <v/>
      </c>
      <c r="T21" s="974">
        <f>T47*T2/10^2</f>
        <v/>
      </c>
      <c r="U21" s="974">
        <f>U47*U2/10^2</f>
        <v/>
      </c>
      <c r="V21" s="974">
        <f>V47*V2/10^2</f>
        <v/>
      </c>
      <c r="W21" s="974">
        <f>W47*W2/10^2</f>
        <v/>
      </c>
      <c r="X21" s="973">
        <f>X47*X2/10^2</f>
        <v/>
      </c>
      <c r="Y21" s="974">
        <f>Y47*Y2/10^2</f>
        <v/>
      </c>
      <c r="Z21" s="974">
        <f>Z47*Z2/10^2</f>
        <v/>
      </c>
      <c r="AA21" s="974">
        <f>AA47*AA2/10^2</f>
        <v/>
      </c>
      <c r="AB21" s="974">
        <f>AB47*AB2/10^2</f>
        <v/>
      </c>
      <c r="AC21" s="975">
        <f>AC47*AC2/10^2</f>
        <v/>
      </c>
      <c r="AD21" s="993" t="n"/>
      <c r="AE21" s="974" t="n"/>
      <c r="AF21" s="974" t="n"/>
      <c r="AG21" s="974" t="n"/>
      <c r="AH21" s="974" t="n"/>
      <c r="AI21" s="974" t="n"/>
      <c r="AJ21" s="975" t="n"/>
      <c r="AK21" s="994" t="n"/>
      <c r="AL21" s="974" t="n"/>
      <c r="AM21" s="974" t="n"/>
      <c r="AN21" s="974" t="n"/>
      <c r="AO21" s="974" t="n"/>
      <c r="AP21" s="974" t="n"/>
      <c r="AQ21" s="995" t="n"/>
      <c r="AR21" s="996" t="n"/>
      <c r="AS21" s="974" t="n"/>
      <c r="AT21" s="974" t="n"/>
      <c r="AU21" s="974" t="n"/>
      <c r="AV21" s="974" t="n"/>
      <c r="AW21" s="997" t="n"/>
      <c r="AX21" s="974" t="n"/>
      <c r="AY21" s="974" t="n"/>
      <c r="AZ21" s="974" t="n"/>
      <c r="BA21" s="974" t="n"/>
      <c r="BB21" s="974" t="n"/>
      <c r="BC21" s="975" t="n"/>
      <c r="BD21" s="997" t="n"/>
      <c r="BE21" s="974" t="n"/>
      <c r="BF21" s="974" t="n"/>
      <c r="BG21" s="974" t="n"/>
      <c r="BH21" s="974" t="n"/>
      <c r="BI21" s="975" t="n"/>
      <c r="BJ21" s="997" t="n"/>
      <c r="BK21" s="974" t="n"/>
      <c r="BL21" s="974" t="n"/>
      <c r="BM21" s="974" t="n"/>
      <c r="BN21" s="974" t="n"/>
      <c r="BO21" s="975" t="n"/>
      <c r="BP21" s="997" t="n"/>
      <c r="BQ21" s="974" t="n"/>
      <c r="BR21" s="974" t="n"/>
      <c r="BS21" s="974" t="n"/>
      <c r="BT21" s="975" t="n"/>
      <c r="BU21" s="997" t="n"/>
      <c r="BV21" s="974" t="n"/>
      <c r="BW21" s="974" t="n"/>
      <c r="BX21" s="974" t="n"/>
      <c r="BY21" s="974" t="n"/>
      <c r="BZ21" s="998" t="n"/>
    </row>
    <row r="22" ht="16.5" customHeight="1" s="838">
      <c r="B22" s="756" t="n"/>
      <c r="C22" s="738" t="n"/>
      <c r="D22" s="737" t="inlineStr">
        <is>
          <t>지역7</t>
        </is>
      </c>
      <c r="E22" s="734" t="n"/>
      <c r="F22" s="220" t="inlineStr">
        <is>
          <t>`26 목표</t>
        </is>
      </c>
      <c r="G22" s="982">
        <f>G48*G1/10^2</f>
        <v/>
      </c>
      <c r="H22" s="983">
        <f>H48*H1/10^2</f>
        <v/>
      </c>
      <c r="I22" s="983">
        <f>I48*I1/10^2</f>
        <v/>
      </c>
      <c r="J22" s="983">
        <f>J48*J1/10^2</f>
        <v/>
      </c>
      <c r="K22" s="983">
        <f>K48*K1/10^2</f>
        <v/>
      </c>
      <c r="L22" s="983">
        <f>L48*L1/10^2</f>
        <v/>
      </c>
      <c r="M22" s="982">
        <f>M48*M1/10^2</f>
        <v/>
      </c>
      <c r="N22" s="983">
        <f>N48*N1/10^2</f>
        <v/>
      </c>
      <c r="O22" s="983">
        <f>O48*O1/10^2</f>
        <v/>
      </c>
      <c r="P22" s="983">
        <f>P48*P1/10^2</f>
        <v/>
      </c>
      <c r="Q22" s="984">
        <f>Q48*Q1/10^2</f>
        <v/>
      </c>
      <c r="R22" s="985">
        <f>R48*R1/10^2</f>
        <v/>
      </c>
      <c r="S22" s="983">
        <f>S48*S1/10^2</f>
        <v/>
      </c>
      <c r="T22" s="983">
        <f>T48*T1/10^2</f>
        <v/>
      </c>
      <c r="U22" s="983">
        <f>U48*U1/10^2</f>
        <v/>
      </c>
      <c r="V22" s="983">
        <f>V48*V1/10^2</f>
        <v/>
      </c>
      <c r="W22" s="983">
        <f>W48*W1/10^2</f>
        <v/>
      </c>
      <c r="X22" s="982">
        <f>X48*X1/10^2</f>
        <v/>
      </c>
      <c r="Y22" s="983">
        <f>Y48*Y1/10^2</f>
        <v/>
      </c>
      <c r="Z22" s="983">
        <f>Z48*Z1/10^2</f>
        <v/>
      </c>
      <c r="AA22" s="983">
        <f>AA48*AA1/10^2</f>
        <v/>
      </c>
      <c r="AB22" s="983">
        <f>AB48*AB1/10^2</f>
        <v/>
      </c>
      <c r="AC22" s="984">
        <f>AC48*AC1/10^2</f>
        <v/>
      </c>
      <c r="AD22" s="986" t="n"/>
      <c r="AE22" s="983" t="n"/>
      <c r="AF22" s="983" t="n"/>
      <c r="AG22" s="983" t="n"/>
      <c r="AH22" s="983" t="n"/>
      <c r="AI22" s="983" t="n"/>
      <c r="AJ22" s="984" t="n"/>
      <c r="AK22" s="987" t="n"/>
      <c r="AL22" s="983" t="n"/>
      <c r="AM22" s="983" t="n"/>
      <c r="AN22" s="983" t="n"/>
      <c r="AO22" s="983" t="n"/>
      <c r="AP22" s="983" t="n"/>
      <c r="AQ22" s="988" t="n"/>
      <c r="AR22" s="989" t="n"/>
      <c r="AS22" s="983" t="n"/>
      <c r="AT22" s="983" t="n"/>
      <c r="AU22" s="983" t="n"/>
      <c r="AV22" s="983" t="n"/>
      <c r="AW22" s="990" t="n"/>
      <c r="AX22" s="983" t="n"/>
      <c r="AY22" s="983" t="n"/>
      <c r="AZ22" s="983" t="n"/>
      <c r="BA22" s="983" t="n"/>
      <c r="BB22" s="983" t="n"/>
      <c r="BC22" s="984" t="n"/>
      <c r="BD22" s="990" t="n"/>
      <c r="BE22" s="983" t="n"/>
      <c r="BF22" s="983" t="n"/>
      <c r="BG22" s="983" t="n"/>
      <c r="BH22" s="983" t="n"/>
      <c r="BI22" s="984" t="n"/>
      <c r="BJ22" s="990" t="n"/>
      <c r="BK22" s="983" t="n"/>
      <c r="BL22" s="983" t="n"/>
      <c r="BM22" s="983" t="n"/>
      <c r="BN22" s="983" t="n"/>
      <c r="BO22" s="984" t="n"/>
      <c r="BP22" s="990" t="n"/>
      <c r="BQ22" s="983" t="n"/>
      <c r="BR22" s="983" t="n"/>
      <c r="BS22" s="983" t="n"/>
      <c r="BT22" s="984" t="n"/>
      <c r="BU22" s="990" t="n"/>
      <c r="BV22" s="983" t="n"/>
      <c r="BW22" s="983" t="n"/>
      <c r="BX22" s="983" t="n"/>
      <c r="BY22" s="983" t="n"/>
      <c r="BZ22" s="991" t="n"/>
    </row>
    <row r="23" ht="16.5" customHeight="1" s="838">
      <c r="B23" s="756" t="n"/>
      <c r="C23" s="738" t="n"/>
      <c r="D23" s="735" t="n"/>
      <c r="E23" s="736" t="n"/>
      <c r="F23" s="134" t="inlineStr">
        <is>
          <t>`26 실적</t>
        </is>
      </c>
      <c r="G23" s="973">
        <f>G49*G2/10^2</f>
        <v/>
      </c>
      <c r="H23" s="974">
        <f>H49*H2/10^2</f>
        <v/>
      </c>
      <c r="I23" s="974">
        <f>I49*I2/10^2</f>
        <v/>
      </c>
      <c r="J23" s="974">
        <f>J49*J2/10^2</f>
        <v/>
      </c>
      <c r="K23" s="974">
        <f>K49*K2/10^2</f>
        <v/>
      </c>
      <c r="L23" s="974">
        <f>L49*L2/10^2</f>
        <v/>
      </c>
      <c r="M23" s="973">
        <f>M49*M2/10^2</f>
        <v/>
      </c>
      <c r="N23" s="974">
        <f>N49*N2/10^2</f>
        <v/>
      </c>
      <c r="O23" s="974">
        <f>O49*O2/10^2</f>
        <v/>
      </c>
      <c r="P23" s="974">
        <f>P49*P2/10^2</f>
        <v/>
      </c>
      <c r="Q23" s="975">
        <f>Q49*Q2/10^2</f>
        <v/>
      </c>
      <c r="R23" s="992">
        <f>R49*R2/10^2</f>
        <v/>
      </c>
      <c r="S23" s="974">
        <f>S49*S2/10^2</f>
        <v/>
      </c>
      <c r="T23" s="974">
        <f>T49*T2/10^2</f>
        <v/>
      </c>
      <c r="U23" s="974">
        <f>U49*U2/10^2</f>
        <v/>
      </c>
      <c r="V23" s="974">
        <f>V49*V2/10^2</f>
        <v/>
      </c>
      <c r="W23" s="974">
        <f>W49*W2/10^2</f>
        <v/>
      </c>
      <c r="X23" s="973">
        <f>X49*X2/10^2</f>
        <v/>
      </c>
      <c r="Y23" s="974">
        <f>Y49*Y2/10^2</f>
        <v/>
      </c>
      <c r="Z23" s="974">
        <f>Z49*Z2/10^2</f>
        <v/>
      </c>
      <c r="AA23" s="974">
        <f>AA49*AA2/10^2</f>
        <v/>
      </c>
      <c r="AB23" s="974">
        <f>AB49*AB2/10^2</f>
        <v/>
      </c>
      <c r="AC23" s="975">
        <f>AC49*AC2/10^2</f>
        <v/>
      </c>
      <c r="AD23" s="993" t="n"/>
      <c r="AE23" s="974" t="n"/>
      <c r="AF23" s="974" t="n"/>
      <c r="AG23" s="974" t="n"/>
      <c r="AH23" s="974" t="n"/>
      <c r="AI23" s="974" t="n"/>
      <c r="AJ23" s="975" t="n"/>
      <c r="AK23" s="994" t="n"/>
      <c r="AL23" s="974" t="n"/>
      <c r="AM23" s="974" t="n"/>
      <c r="AN23" s="974" t="n"/>
      <c r="AO23" s="974" t="n"/>
      <c r="AP23" s="974" t="n"/>
      <c r="AQ23" s="995" t="n"/>
      <c r="AR23" s="996" t="n"/>
      <c r="AS23" s="974" t="n"/>
      <c r="AT23" s="974" t="n"/>
      <c r="AU23" s="974" t="n"/>
      <c r="AV23" s="974" t="n"/>
      <c r="AW23" s="997" t="n"/>
      <c r="AX23" s="974" t="n"/>
      <c r="AY23" s="974" t="n"/>
      <c r="AZ23" s="974" t="n"/>
      <c r="BA23" s="974" t="n"/>
      <c r="BB23" s="974" t="n"/>
      <c r="BC23" s="975" t="n"/>
      <c r="BD23" s="997" t="n"/>
      <c r="BE23" s="974" t="n"/>
      <c r="BF23" s="974" t="n"/>
      <c r="BG23" s="974" t="n"/>
      <c r="BH23" s="974" t="n"/>
      <c r="BI23" s="975" t="n"/>
      <c r="BJ23" s="997" t="n"/>
      <c r="BK23" s="974" t="n"/>
      <c r="BL23" s="974" t="n"/>
      <c r="BM23" s="974" t="n"/>
      <c r="BN23" s="974" t="n"/>
      <c r="BO23" s="975" t="n"/>
      <c r="BP23" s="997" t="n"/>
      <c r="BQ23" s="974" t="n"/>
      <c r="BR23" s="974" t="n"/>
      <c r="BS23" s="974" t="n"/>
      <c r="BT23" s="975" t="n"/>
      <c r="BU23" s="997" t="n"/>
      <c r="BV23" s="974" t="n"/>
      <c r="BW23" s="974" t="n"/>
      <c r="BX23" s="974" t="n"/>
      <c r="BY23" s="974" t="n"/>
      <c r="BZ23" s="998" t="n"/>
    </row>
    <row r="24" ht="16.5" customHeight="1" s="838">
      <c r="B24" s="756" t="n"/>
      <c r="C24" s="738" t="n"/>
      <c r="D24" s="737" t="inlineStr">
        <is>
          <t>지역8</t>
        </is>
      </c>
      <c r="E24" s="734" t="n"/>
      <c r="F24" s="220" t="inlineStr">
        <is>
          <t>`26 목표</t>
        </is>
      </c>
      <c r="G24" s="982">
        <f>G50*G1/10^2</f>
        <v/>
      </c>
      <c r="H24" s="983">
        <f>H50*H1/10^2</f>
        <v/>
      </c>
      <c r="I24" s="983">
        <f>I50*I1/10^2</f>
        <v/>
      </c>
      <c r="J24" s="983">
        <f>J50*J1/10^2</f>
        <v/>
      </c>
      <c r="K24" s="983">
        <f>K50*K1/10^2</f>
        <v/>
      </c>
      <c r="L24" s="983">
        <f>L50*L1/10^2</f>
        <v/>
      </c>
      <c r="M24" s="982">
        <f>M50*M1/10^2</f>
        <v/>
      </c>
      <c r="N24" s="983">
        <f>N50*N1/10^2</f>
        <v/>
      </c>
      <c r="O24" s="983">
        <f>O50*O1/10^2</f>
        <v/>
      </c>
      <c r="P24" s="983">
        <f>P50*P1/10^2</f>
        <v/>
      </c>
      <c r="Q24" s="984">
        <f>Q50*Q1/10^2</f>
        <v/>
      </c>
      <c r="R24" s="985">
        <f>R50*R$1/10^2</f>
        <v/>
      </c>
      <c r="S24" s="983">
        <f>S50*S$1/10^2</f>
        <v/>
      </c>
      <c r="T24" s="983">
        <f>T50*T$1/10^2</f>
        <v/>
      </c>
      <c r="U24" s="983">
        <f>U50*U$1/10^2</f>
        <v/>
      </c>
      <c r="V24" s="983">
        <f>V50*V$1/10^2</f>
        <v/>
      </c>
      <c r="W24" s="983">
        <f>W50*W$1/10^2</f>
        <v/>
      </c>
      <c r="X24" s="982">
        <f>X50*X$1/10^2</f>
        <v/>
      </c>
      <c r="Y24" s="983">
        <f>Y50*Y$1/10^2</f>
        <v/>
      </c>
      <c r="Z24" s="983">
        <f>Z50*Z$1/10^2</f>
        <v/>
      </c>
      <c r="AA24" s="983">
        <f>AA50*AA$1/10^2</f>
        <v/>
      </c>
      <c r="AB24" s="983">
        <f>AB50*AB$1/10^2</f>
        <v/>
      </c>
      <c r="AC24" s="984">
        <f>AC50*AC$1/10^2</f>
        <v/>
      </c>
      <c r="AD24" s="986" t="n"/>
      <c r="AE24" s="983" t="n"/>
      <c r="AF24" s="983" t="n"/>
      <c r="AG24" s="983" t="n"/>
      <c r="AH24" s="983" t="n"/>
      <c r="AI24" s="983" t="n"/>
      <c r="AJ24" s="984" t="n"/>
      <c r="AK24" s="987" t="n"/>
      <c r="AL24" s="983" t="n"/>
      <c r="AM24" s="983" t="n"/>
      <c r="AN24" s="983" t="n"/>
      <c r="AO24" s="983" t="n"/>
      <c r="AP24" s="983" t="n"/>
      <c r="AQ24" s="988" t="n"/>
      <c r="AR24" s="989" t="n"/>
      <c r="AS24" s="983" t="n"/>
      <c r="AT24" s="983" t="n"/>
      <c r="AU24" s="983" t="n"/>
      <c r="AV24" s="983" t="n"/>
      <c r="AW24" s="990" t="n"/>
      <c r="AX24" s="983" t="n"/>
      <c r="AY24" s="983" t="n"/>
      <c r="AZ24" s="983" t="n"/>
      <c r="BA24" s="983" t="n"/>
      <c r="BB24" s="983" t="n"/>
      <c r="BC24" s="984" t="n"/>
      <c r="BD24" s="990" t="n"/>
      <c r="BE24" s="983" t="n"/>
      <c r="BF24" s="983" t="n"/>
      <c r="BG24" s="983" t="n"/>
      <c r="BH24" s="983" t="n"/>
      <c r="BI24" s="984" t="n"/>
      <c r="BJ24" s="990" t="n"/>
      <c r="BK24" s="983" t="n"/>
      <c r="BL24" s="983" t="n"/>
      <c r="BM24" s="983" t="n"/>
      <c r="BN24" s="983" t="n"/>
      <c r="BO24" s="984" t="n"/>
      <c r="BP24" s="990" t="n"/>
      <c r="BQ24" s="983" t="n"/>
      <c r="BR24" s="983" t="n"/>
      <c r="BS24" s="983" t="n"/>
      <c r="BT24" s="984" t="n"/>
      <c r="BU24" s="990" t="n"/>
      <c r="BV24" s="983" t="n"/>
      <c r="BW24" s="983" t="n"/>
      <c r="BX24" s="983" t="n"/>
      <c r="BY24" s="983" t="n"/>
      <c r="BZ24" s="991" t="n"/>
    </row>
    <row r="25" ht="16.5" customHeight="1" s="838">
      <c r="B25" s="756" t="n"/>
      <c r="C25" s="739" t="n"/>
      <c r="D25" s="735" t="n"/>
      <c r="E25" s="736" t="n"/>
      <c r="F25" s="134" t="inlineStr">
        <is>
          <t>`26 실적</t>
        </is>
      </c>
      <c r="G25" s="973">
        <f>G51*G2/10^2</f>
        <v/>
      </c>
      <c r="H25" s="974">
        <f>H51*H2/10^2</f>
        <v/>
      </c>
      <c r="I25" s="974">
        <f>I51*I2/10^2</f>
        <v/>
      </c>
      <c r="J25" s="974">
        <f>J51*J2/10^2</f>
        <v/>
      </c>
      <c r="K25" s="974">
        <f>K51*K2/10^2</f>
        <v/>
      </c>
      <c r="L25" s="974">
        <f>L51*L2/10^2</f>
        <v/>
      </c>
      <c r="M25" s="973">
        <f>M51*M2/10^2</f>
        <v/>
      </c>
      <c r="N25" s="974">
        <f>N51*N2/10^2</f>
        <v/>
      </c>
      <c r="O25" s="974">
        <f>O51*O2/10^2</f>
        <v/>
      </c>
      <c r="P25" s="974">
        <f>P51*P2/10^2</f>
        <v/>
      </c>
      <c r="Q25" s="975">
        <f>Q51*Q2/10^2</f>
        <v/>
      </c>
      <c r="R25" s="992">
        <f>R51*R$2/10^2</f>
        <v/>
      </c>
      <c r="S25" s="974">
        <f>S51*S$2/10^2</f>
        <v/>
      </c>
      <c r="T25" s="974">
        <f>T51*T$2/10^2</f>
        <v/>
      </c>
      <c r="U25" s="974">
        <f>U51*U$2/10^2</f>
        <v/>
      </c>
      <c r="V25" s="974">
        <f>V51*V$2/10^2</f>
        <v/>
      </c>
      <c r="W25" s="974">
        <f>W51*W$2/10^2</f>
        <v/>
      </c>
      <c r="X25" s="973">
        <f>X51*X$2/10^2</f>
        <v/>
      </c>
      <c r="Y25" s="974">
        <f>Y51*Y$2/10^2</f>
        <v/>
      </c>
      <c r="Z25" s="974">
        <f>Z51*Z$2/10^2</f>
        <v/>
      </c>
      <c r="AA25" s="974">
        <f>AA51*AA$2/10^2</f>
        <v/>
      </c>
      <c r="AB25" s="974">
        <f>AB51*AB$2/10^2</f>
        <v/>
      </c>
      <c r="AC25" s="975">
        <f>AC51*AC$2/10^2</f>
        <v/>
      </c>
      <c r="AD25" s="993" t="n"/>
      <c r="AE25" s="974" t="n"/>
      <c r="AF25" s="974" t="n"/>
      <c r="AG25" s="974" t="n"/>
      <c r="AH25" s="974" t="n"/>
      <c r="AI25" s="974" t="n"/>
      <c r="AJ25" s="975" t="n"/>
      <c r="AK25" s="994" t="n"/>
      <c r="AL25" s="974" t="n"/>
      <c r="AM25" s="974" t="n"/>
      <c r="AN25" s="974" t="n"/>
      <c r="AO25" s="974" t="n"/>
      <c r="AP25" s="974" t="n"/>
      <c r="AQ25" s="995" t="n"/>
      <c r="AR25" s="996" t="n"/>
      <c r="AS25" s="974" t="n"/>
      <c r="AT25" s="974" t="n"/>
      <c r="AU25" s="974" t="n"/>
      <c r="AV25" s="974" t="n"/>
      <c r="AW25" s="997" t="n"/>
      <c r="AX25" s="974" t="n"/>
      <c r="AY25" s="974" t="n"/>
      <c r="AZ25" s="974" t="n"/>
      <c r="BA25" s="974" t="n"/>
      <c r="BB25" s="974" t="n"/>
      <c r="BC25" s="975" t="n"/>
      <c r="BD25" s="997" t="n"/>
      <c r="BE25" s="974" t="n"/>
      <c r="BF25" s="974" t="n"/>
      <c r="BG25" s="974" t="n"/>
      <c r="BH25" s="974" t="n"/>
      <c r="BI25" s="975" t="n"/>
      <c r="BJ25" s="997" t="n"/>
      <c r="BK25" s="974" t="n"/>
      <c r="BL25" s="974" t="n"/>
      <c r="BM25" s="974" t="n"/>
      <c r="BN25" s="974" t="n"/>
      <c r="BO25" s="975" t="n"/>
      <c r="BP25" s="997" t="n"/>
      <c r="BQ25" s="974" t="n"/>
      <c r="BR25" s="974" t="n"/>
      <c r="BS25" s="974" t="n"/>
      <c r="BT25" s="975" t="n"/>
      <c r="BU25" s="997" t="n"/>
      <c r="BV25" s="974" t="n"/>
      <c r="BW25" s="974" t="n"/>
      <c r="BX25" s="974" t="n"/>
      <c r="BY25" s="974" t="n"/>
      <c r="BZ25" s="998" t="n"/>
    </row>
    <row r="26" ht="16.5" customHeight="1" s="838">
      <c r="B26" s="756" t="n"/>
      <c r="C26" s="737" t="inlineStr">
        <is>
          <t>제품2</t>
        </is>
      </c>
      <c r="D26" s="775" t="inlineStr">
        <is>
          <t>지역 합계</t>
        </is>
      </c>
      <c r="E26" s="734" t="n"/>
      <c r="F26" s="220" t="inlineStr">
        <is>
          <t>`26 목표</t>
        </is>
      </c>
      <c r="G26" s="982">
        <f>G52*G1/10^2</f>
        <v/>
      </c>
      <c r="H26" s="983">
        <f>H52*H1/10^2</f>
        <v/>
      </c>
      <c r="I26" s="983">
        <f>I52*I1/10^2</f>
        <v/>
      </c>
      <c r="J26" s="983">
        <f>J52*J1/10^2</f>
        <v/>
      </c>
      <c r="K26" s="983">
        <f>K52*K1/10^2</f>
        <v/>
      </c>
      <c r="L26" s="983">
        <f>L52*L1/10^2</f>
        <v/>
      </c>
      <c r="M26" s="982">
        <f>M52*M1/10^2</f>
        <v/>
      </c>
      <c r="N26" s="983">
        <f>N52*N1/10^2</f>
        <v/>
      </c>
      <c r="O26" s="983">
        <f>O52*O1/10^2</f>
        <v/>
      </c>
      <c r="P26" s="983">
        <f>P52*P1/10^2</f>
        <v/>
      </c>
      <c r="Q26" s="984">
        <f>Q52*Q1/10^2</f>
        <v/>
      </c>
      <c r="R26" s="985">
        <f>R52*R1/10^2</f>
        <v/>
      </c>
      <c r="S26" s="983">
        <f>S52*S1/10^2</f>
        <v/>
      </c>
      <c r="T26" s="983">
        <f>T52*T1/10^2</f>
        <v/>
      </c>
      <c r="U26" s="983">
        <f>U52*U1/10^2</f>
        <v/>
      </c>
      <c r="V26" s="983">
        <f>V52*V1/10^2</f>
        <v/>
      </c>
      <c r="W26" s="983">
        <f>W52*W1/10^2</f>
        <v/>
      </c>
      <c r="X26" s="982">
        <f>X52*X1/10^2</f>
        <v/>
      </c>
      <c r="Y26" s="983">
        <f>Y52*Y1/10^2</f>
        <v/>
      </c>
      <c r="Z26" s="983">
        <f>Z52*Z1/10^2</f>
        <v/>
      </c>
      <c r="AA26" s="983">
        <f>AA52*AA1/10^2</f>
        <v/>
      </c>
      <c r="AB26" s="983">
        <f>AB52*AB1/10^2</f>
        <v/>
      </c>
      <c r="AC26" s="984">
        <f>AC52*AC1/10^2</f>
        <v/>
      </c>
      <c r="AD26" s="986" t="n"/>
      <c r="AE26" s="983" t="n"/>
      <c r="AF26" s="983" t="n"/>
      <c r="AG26" s="983" t="n"/>
      <c r="AH26" s="983" t="n"/>
      <c r="AI26" s="983" t="n"/>
      <c r="AJ26" s="984" t="n"/>
      <c r="AK26" s="987" t="n"/>
      <c r="AL26" s="983" t="n"/>
      <c r="AM26" s="983" t="n"/>
      <c r="AN26" s="983" t="n"/>
      <c r="AO26" s="983" t="n"/>
      <c r="AP26" s="983" t="n"/>
      <c r="AQ26" s="988" t="n"/>
      <c r="AR26" s="989" t="n"/>
      <c r="AS26" s="983" t="n"/>
      <c r="AT26" s="983" t="n"/>
      <c r="AU26" s="983" t="n"/>
      <c r="AV26" s="983" t="n"/>
      <c r="AW26" s="990" t="n"/>
      <c r="AX26" s="983" t="n"/>
      <c r="AY26" s="983" t="n"/>
      <c r="AZ26" s="983" t="n"/>
      <c r="BA26" s="983" t="n"/>
      <c r="BB26" s="983" t="n"/>
      <c r="BC26" s="984" t="n"/>
      <c r="BD26" s="990" t="n"/>
      <c r="BE26" s="983" t="n"/>
      <c r="BF26" s="983" t="n"/>
      <c r="BG26" s="983" t="n"/>
      <c r="BH26" s="983" t="n"/>
      <c r="BI26" s="984" t="n"/>
      <c r="BJ26" s="990" t="n"/>
      <c r="BK26" s="983" t="n"/>
      <c r="BL26" s="983" t="n"/>
      <c r="BM26" s="983" t="n"/>
      <c r="BN26" s="983" t="n"/>
      <c r="BO26" s="984" t="n"/>
      <c r="BP26" s="990" t="n"/>
      <c r="BQ26" s="983" t="n"/>
      <c r="BR26" s="983" t="n"/>
      <c r="BS26" s="983" t="n"/>
      <c r="BT26" s="984" t="n"/>
      <c r="BU26" s="990" t="n"/>
      <c r="BV26" s="983" t="n"/>
      <c r="BW26" s="983" t="n"/>
      <c r="BX26" s="983" t="n"/>
      <c r="BY26" s="983" t="n"/>
      <c r="BZ26" s="991" t="n"/>
    </row>
    <row r="27" ht="16.5" customHeight="1" s="838">
      <c r="B27" s="756" t="n"/>
      <c r="C27" s="738" t="n"/>
      <c r="D27" s="735" t="n"/>
      <c r="E27" s="736" t="n"/>
      <c r="F27" s="134" t="inlineStr">
        <is>
          <t>`26 실적</t>
        </is>
      </c>
      <c r="G27" s="973">
        <f>G53*G2/10^2</f>
        <v/>
      </c>
      <c r="H27" s="974">
        <f>H53*H2/10^2</f>
        <v/>
      </c>
      <c r="I27" s="974">
        <f>I53*I2/10^2</f>
        <v/>
      </c>
      <c r="J27" s="974">
        <f>J53*J2/10^2</f>
        <v/>
      </c>
      <c r="K27" s="974">
        <f>K53*K2/10^2</f>
        <v/>
      </c>
      <c r="L27" s="974">
        <f>L53*L2/10^2</f>
        <v/>
      </c>
      <c r="M27" s="973">
        <f>M53*M2/10^2</f>
        <v/>
      </c>
      <c r="N27" s="974">
        <f>N53*N2/10^2</f>
        <v/>
      </c>
      <c r="O27" s="974">
        <f>O53*O2/10^2</f>
        <v/>
      </c>
      <c r="P27" s="974">
        <f>P53*P2/10^2</f>
        <v/>
      </c>
      <c r="Q27" s="975">
        <f>Q53*Q2/10^2</f>
        <v/>
      </c>
      <c r="R27" s="992">
        <f>R53*R2/10^2</f>
        <v/>
      </c>
      <c r="S27" s="974">
        <f>S53*S2/10^2</f>
        <v/>
      </c>
      <c r="T27" s="974">
        <f>T53*T2/10^2</f>
        <v/>
      </c>
      <c r="U27" s="974">
        <f>U53*U2/10^2</f>
        <v/>
      </c>
      <c r="V27" s="974">
        <f>V53*V2/10^2</f>
        <v/>
      </c>
      <c r="W27" s="974">
        <f>W53*W2/10^2</f>
        <v/>
      </c>
      <c r="X27" s="973">
        <f>X53*X2/10^2</f>
        <v/>
      </c>
      <c r="Y27" s="974">
        <f>Y53*Y2/10^2</f>
        <v/>
      </c>
      <c r="Z27" s="974">
        <f>Z53*Z2/10^2</f>
        <v/>
      </c>
      <c r="AA27" s="974">
        <f>AA53*AA2/10^2</f>
        <v/>
      </c>
      <c r="AB27" s="974">
        <f>AB53*AB2/10^2</f>
        <v/>
      </c>
      <c r="AC27" s="975">
        <f>AC53*AC2/10^2</f>
        <v/>
      </c>
      <c r="AD27" s="993" t="n"/>
      <c r="AE27" s="974" t="n"/>
      <c r="AF27" s="974" t="n"/>
      <c r="AG27" s="974" t="n"/>
      <c r="AH27" s="974" t="n"/>
      <c r="AI27" s="974" t="n"/>
      <c r="AJ27" s="975" t="n"/>
      <c r="AK27" s="994" t="n"/>
      <c r="AL27" s="974" t="n"/>
      <c r="AM27" s="974" t="n"/>
      <c r="AN27" s="974" t="n"/>
      <c r="AO27" s="974" t="n"/>
      <c r="AP27" s="974" t="n"/>
      <c r="AQ27" s="995" t="n"/>
      <c r="AR27" s="996" t="n"/>
      <c r="AS27" s="974" t="n"/>
      <c r="AT27" s="974" t="n"/>
      <c r="AU27" s="974" t="n"/>
      <c r="AV27" s="974" t="n"/>
      <c r="AW27" s="997" t="n"/>
      <c r="AX27" s="974" t="n"/>
      <c r="AY27" s="974" t="n"/>
      <c r="AZ27" s="974" t="n"/>
      <c r="BA27" s="974" t="n"/>
      <c r="BB27" s="974" t="n"/>
      <c r="BC27" s="975" t="n"/>
      <c r="BD27" s="997" t="n"/>
      <c r="BE27" s="974" t="n"/>
      <c r="BF27" s="974" t="n"/>
      <c r="BG27" s="974" t="n"/>
      <c r="BH27" s="974" t="n"/>
      <c r="BI27" s="975" t="n"/>
      <c r="BJ27" s="997" t="n"/>
      <c r="BK27" s="974" t="n"/>
      <c r="BL27" s="974" t="n"/>
      <c r="BM27" s="974" t="n"/>
      <c r="BN27" s="974" t="n"/>
      <c r="BO27" s="975" t="n"/>
      <c r="BP27" s="997" t="n"/>
      <c r="BQ27" s="974" t="n"/>
      <c r="BR27" s="974" t="n"/>
      <c r="BS27" s="974" t="n"/>
      <c r="BT27" s="975" t="n"/>
      <c r="BU27" s="997" t="n"/>
      <c r="BV27" s="974" t="n"/>
      <c r="BW27" s="974" t="n"/>
      <c r="BX27" s="974" t="n"/>
      <c r="BY27" s="974" t="n"/>
      <c r="BZ27" s="998" t="n"/>
    </row>
    <row r="28" ht="16.5" customHeight="1" s="838">
      <c r="B28" s="756" t="n"/>
      <c r="C28" s="738" t="n"/>
      <c r="D28" s="737" t="inlineStr">
        <is>
          <t>지역1</t>
        </is>
      </c>
      <c r="E28" s="734" t="n"/>
      <c r="F28" s="220" t="inlineStr">
        <is>
          <t>`26 목표</t>
        </is>
      </c>
      <c r="G28" s="982">
        <f>G54*G1/10^2</f>
        <v/>
      </c>
      <c r="H28" s="983">
        <f>H54*H1/10^2</f>
        <v/>
      </c>
      <c r="I28" s="983">
        <f>I54*I1/10^2</f>
        <v/>
      </c>
      <c r="J28" s="983">
        <f>J54*J1/10^2</f>
        <v/>
      </c>
      <c r="K28" s="983">
        <f>K54*K1/10^2</f>
        <v/>
      </c>
      <c r="L28" s="983">
        <f>L54*L1/10^2</f>
        <v/>
      </c>
      <c r="M28" s="982">
        <f>M54*M1/10^2</f>
        <v/>
      </c>
      <c r="N28" s="983">
        <f>N54*N1/10^2</f>
        <v/>
      </c>
      <c r="O28" s="983">
        <f>O54*O1/10^2</f>
        <v/>
      </c>
      <c r="P28" s="983">
        <f>P54*P1/10^2</f>
        <v/>
      </c>
      <c r="Q28" s="984">
        <f>Q54*Q1/10^2</f>
        <v/>
      </c>
      <c r="R28" s="985">
        <f>R54*R1/10^2</f>
        <v/>
      </c>
      <c r="S28" s="983">
        <f>S54*S1/10^2</f>
        <v/>
      </c>
      <c r="T28" s="983">
        <f>T54*T1/10^2</f>
        <v/>
      </c>
      <c r="U28" s="983">
        <f>U54*U1/10^2</f>
        <v/>
      </c>
      <c r="V28" s="983">
        <f>V54*V1/10^2</f>
        <v/>
      </c>
      <c r="W28" s="983">
        <f>W54*W1/10^2</f>
        <v/>
      </c>
      <c r="X28" s="982">
        <f>X54*X1/10^2</f>
        <v/>
      </c>
      <c r="Y28" s="983">
        <f>Y54*Y1/10^2</f>
        <v/>
      </c>
      <c r="Z28" s="983">
        <f>Z54*Z1/10^2</f>
        <v/>
      </c>
      <c r="AA28" s="983">
        <f>AA54*AA1/10^2</f>
        <v/>
      </c>
      <c r="AB28" s="983">
        <f>AB54*AB1/10^2</f>
        <v/>
      </c>
      <c r="AC28" s="984">
        <f>AC54*AC1/10^2</f>
        <v/>
      </c>
      <c r="AD28" s="986" t="n"/>
      <c r="AE28" s="983" t="n"/>
      <c r="AF28" s="983" t="n"/>
      <c r="AG28" s="983" t="n"/>
      <c r="AH28" s="983" t="n"/>
      <c r="AI28" s="983" t="n"/>
      <c r="AJ28" s="984" t="n"/>
      <c r="AK28" s="987" t="n"/>
      <c r="AL28" s="983" t="n"/>
      <c r="AM28" s="983" t="n"/>
      <c r="AN28" s="983" t="n"/>
      <c r="AO28" s="983" t="n"/>
      <c r="AP28" s="983" t="n"/>
      <c r="AQ28" s="988" t="n"/>
      <c r="AR28" s="989" t="n"/>
      <c r="AS28" s="983" t="n"/>
      <c r="AT28" s="983" t="n"/>
      <c r="AU28" s="983" t="n"/>
      <c r="AV28" s="983" t="n"/>
      <c r="AW28" s="990" t="n"/>
      <c r="AX28" s="983" t="n"/>
      <c r="AY28" s="983" t="n"/>
      <c r="AZ28" s="983" t="n"/>
      <c r="BA28" s="983" t="n"/>
      <c r="BB28" s="983" t="n"/>
      <c r="BC28" s="984" t="n"/>
      <c r="BD28" s="990" t="n"/>
      <c r="BE28" s="983" t="n"/>
      <c r="BF28" s="983" t="n"/>
      <c r="BG28" s="983" t="n"/>
      <c r="BH28" s="983" t="n"/>
      <c r="BI28" s="984" t="n"/>
      <c r="BJ28" s="990" t="n"/>
      <c r="BK28" s="983" t="n"/>
      <c r="BL28" s="983" t="n"/>
      <c r="BM28" s="983" t="n"/>
      <c r="BN28" s="983" t="n"/>
      <c r="BO28" s="984" t="n"/>
      <c r="BP28" s="990" t="n"/>
      <c r="BQ28" s="983" t="n"/>
      <c r="BR28" s="983" t="n"/>
      <c r="BS28" s="983" t="n"/>
      <c r="BT28" s="984" t="n"/>
      <c r="BU28" s="990" t="n"/>
      <c r="BV28" s="983" t="n"/>
      <c r="BW28" s="983" t="n"/>
      <c r="BX28" s="983" t="n"/>
      <c r="BY28" s="983" t="n"/>
      <c r="BZ28" s="991" t="n"/>
    </row>
    <row r="29" ht="16.5" customHeight="1" s="838">
      <c r="B29" s="756" t="n"/>
      <c r="C29" s="738" t="n"/>
      <c r="D29" s="735" t="n"/>
      <c r="E29" s="736" t="n"/>
      <c r="F29" s="134" t="inlineStr">
        <is>
          <t>`26 실적</t>
        </is>
      </c>
      <c r="G29" s="973">
        <f>G55*G2/10^2</f>
        <v/>
      </c>
      <c r="H29" s="974">
        <f>H55*H2/10^2</f>
        <v/>
      </c>
      <c r="I29" s="974">
        <f>I55*I2/10^2</f>
        <v/>
      </c>
      <c r="J29" s="974">
        <f>J55*J2/10^2</f>
        <v/>
      </c>
      <c r="K29" s="974">
        <f>K55*K2/10^2</f>
        <v/>
      </c>
      <c r="L29" s="974">
        <f>L55*L2/10^2</f>
        <v/>
      </c>
      <c r="M29" s="973">
        <f>M55*M2/10^2</f>
        <v/>
      </c>
      <c r="N29" s="974">
        <f>N55*N2/10^2</f>
        <v/>
      </c>
      <c r="O29" s="974">
        <f>O55*O2/10^2</f>
        <v/>
      </c>
      <c r="P29" s="974">
        <f>P55*P2/10^2</f>
        <v/>
      </c>
      <c r="Q29" s="975">
        <f>Q55*Q2/10^2</f>
        <v/>
      </c>
      <c r="R29" s="992">
        <f>R55*R2/10^2</f>
        <v/>
      </c>
      <c r="S29" s="974">
        <f>S55*S2/10^2</f>
        <v/>
      </c>
      <c r="T29" s="974">
        <f>T55*T2/10^2</f>
        <v/>
      </c>
      <c r="U29" s="974">
        <f>U55*U2/10^2</f>
        <v/>
      </c>
      <c r="V29" s="974">
        <f>V55*V2/10^2</f>
        <v/>
      </c>
      <c r="W29" s="974">
        <f>W55*W2/10^2</f>
        <v/>
      </c>
      <c r="X29" s="973">
        <f>X55*X2/10^2</f>
        <v/>
      </c>
      <c r="Y29" s="974">
        <f>Y55*Y2/10^2</f>
        <v/>
      </c>
      <c r="Z29" s="974">
        <f>Z55*Z2/10^2</f>
        <v/>
      </c>
      <c r="AA29" s="974">
        <f>AA55*AA2/10^2</f>
        <v/>
      </c>
      <c r="AB29" s="974">
        <f>AB55*AB2/10^2</f>
        <v/>
      </c>
      <c r="AC29" s="975">
        <f>AC55*AC2/10^2</f>
        <v/>
      </c>
      <c r="AD29" s="993" t="n"/>
      <c r="AE29" s="974" t="n"/>
      <c r="AF29" s="974" t="n"/>
      <c r="AG29" s="974" t="n"/>
      <c r="AH29" s="974" t="n"/>
      <c r="AI29" s="974" t="n"/>
      <c r="AJ29" s="975" t="n"/>
      <c r="AK29" s="994" t="n"/>
      <c r="AL29" s="974" t="n"/>
      <c r="AM29" s="974" t="n"/>
      <c r="AN29" s="974" t="n"/>
      <c r="AO29" s="974" t="n"/>
      <c r="AP29" s="974" t="n"/>
      <c r="AQ29" s="995" t="n"/>
      <c r="AR29" s="996" t="n"/>
      <c r="AS29" s="974" t="n"/>
      <c r="AT29" s="974" t="n"/>
      <c r="AU29" s="974" t="n"/>
      <c r="AV29" s="974" t="n"/>
      <c r="AW29" s="997" t="n"/>
      <c r="AX29" s="974" t="n"/>
      <c r="AY29" s="974" t="n"/>
      <c r="AZ29" s="974" t="n"/>
      <c r="BA29" s="974" t="n"/>
      <c r="BB29" s="974" t="n"/>
      <c r="BC29" s="975" t="n"/>
      <c r="BD29" s="997" t="n"/>
      <c r="BE29" s="974" t="n"/>
      <c r="BF29" s="974" t="n"/>
      <c r="BG29" s="974" t="n"/>
      <c r="BH29" s="974" t="n"/>
      <c r="BI29" s="975" t="n"/>
      <c r="BJ29" s="997" t="n"/>
      <c r="BK29" s="974" t="n"/>
      <c r="BL29" s="974" t="n"/>
      <c r="BM29" s="974" t="n"/>
      <c r="BN29" s="974" t="n"/>
      <c r="BO29" s="975" t="n"/>
      <c r="BP29" s="997" t="n"/>
      <c r="BQ29" s="974" t="n"/>
      <c r="BR29" s="974" t="n"/>
      <c r="BS29" s="974" t="n"/>
      <c r="BT29" s="975" t="n"/>
      <c r="BU29" s="997" t="n"/>
      <c r="BV29" s="974" t="n"/>
      <c r="BW29" s="974" t="n"/>
      <c r="BX29" s="974" t="n"/>
      <c r="BY29" s="974" t="n"/>
      <c r="BZ29" s="998" t="n"/>
    </row>
    <row r="30" ht="16.5" customHeight="1" s="838">
      <c r="B30" s="756" t="n"/>
      <c r="C30" s="738" t="n"/>
      <c r="D30" s="754" t="inlineStr">
        <is>
          <t>지역3</t>
        </is>
      </c>
      <c r="E30" s="766" t="n"/>
      <c r="F30" s="151" t="inlineStr">
        <is>
          <t>`26 목표</t>
        </is>
      </c>
      <c r="G30" s="962">
        <f>G56*G1/10^2</f>
        <v/>
      </c>
      <c r="H30" s="963">
        <f>H56*H1/10^2</f>
        <v/>
      </c>
      <c r="I30" s="963">
        <f>I56*I1/10^2</f>
        <v/>
      </c>
      <c r="J30" s="963">
        <f>J56*J1/10^2</f>
        <v/>
      </c>
      <c r="K30" s="963">
        <f>K56*K1/10^2</f>
        <v/>
      </c>
      <c r="L30" s="963">
        <f>L56*L1/10^2</f>
        <v/>
      </c>
      <c r="M30" s="962">
        <f>M56*M1/10^2</f>
        <v/>
      </c>
      <c r="N30" s="963">
        <f>N56*N1/10^2</f>
        <v/>
      </c>
      <c r="O30" s="963">
        <f>O56*O1/10^2</f>
        <v/>
      </c>
      <c r="P30" s="963">
        <f>P56*P1/10^2</f>
        <v/>
      </c>
      <c r="Q30" s="964">
        <f>Q56*Q1/10^2</f>
        <v/>
      </c>
      <c r="R30" s="965">
        <f>R56*R$1/10^2</f>
        <v/>
      </c>
      <c r="S30" s="963">
        <f>S56*S$1/10^2</f>
        <v/>
      </c>
      <c r="T30" s="963">
        <f>T56*T$1/10^2</f>
        <v/>
      </c>
      <c r="U30" s="963">
        <f>U56*U$1/10^2</f>
        <v/>
      </c>
      <c r="V30" s="963">
        <f>V56*V$1/10^2</f>
        <v/>
      </c>
      <c r="W30" s="963">
        <f>W56*W$1/10^2</f>
        <v/>
      </c>
      <c r="X30" s="962">
        <f>X56*X$1/10^2</f>
        <v/>
      </c>
      <c r="Y30" s="963">
        <f>Y56*Y$1/10^2</f>
        <v/>
      </c>
      <c r="Z30" s="963">
        <f>Z56*Z$1/10^2</f>
        <v/>
      </c>
      <c r="AA30" s="963">
        <f>AA56*AA$1/10^2</f>
        <v/>
      </c>
      <c r="AB30" s="963">
        <f>AB56*AB$1/10^2</f>
        <v/>
      </c>
      <c r="AC30" s="964">
        <f>AC56*AC$1/10^2</f>
        <v/>
      </c>
      <c r="AD30" s="976" t="n"/>
      <c r="AE30" s="963" t="n"/>
      <c r="AF30" s="963" t="n"/>
      <c r="AG30" s="963" t="n"/>
      <c r="AH30" s="963" t="n"/>
      <c r="AI30" s="963" t="n"/>
      <c r="AJ30" s="964" t="n"/>
      <c r="AK30" s="977" t="n"/>
      <c r="AL30" s="963" t="n"/>
      <c r="AM30" s="963" t="n"/>
      <c r="AN30" s="963" t="n"/>
      <c r="AO30" s="963" t="n"/>
      <c r="AP30" s="963" t="n"/>
      <c r="AQ30" s="978" t="n"/>
      <c r="AR30" s="979" t="n"/>
      <c r="AS30" s="963" t="n"/>
      <c r="AT30" s="963" t="n"/>
      <c r="AU30" s="963" t="n"/>
      <c r="AV30" s="963" t="n"/>
      <c r="AW30" s="980" t="n"/>
      <c r="AX30" s="963" t="n"/>
      <c r="AY30" s="963" t="n"/>
      <c r="AZ30" s="963" t="n"/>
      <c r="BA30" s="963" t="n"/>
      <c r="BB30" s="963" t="n"/>
      <c r="BC30" s="964" t="n"/>
      <c r="BD30" s="980" t="n"/>
      <c r="BE30" s="963" t="n"/>
      <c r="BF30" s="963" t="n"/>
      <c r="BG30" s="963" t="n"/>
      <c r="BH30" s="963" t="n"/>
      <c r="BI30" s="964" t="n"/>
      <c r="BJ30" s="980" t="n"/>
      <c r="BK30" s="963" t="n"/>
      <c r="BL30" s="963" t="n"/>
      <c r="BM30" s="963" t="n"/>
      <c r="BN30" s="963" t="n"/>
      <c r="BO30" s="964" t="n"/>
      <c r="BP30" s="980" t="n"/>
      <c r="BQ30" s="963" t="n"/>
      <c r="BR30" s="963" t="n"/>
      <c r="BS30" s="963" t="n"/>
      <c r="BT30" s="964" t="n"/>
      <c r="BU30" s="980" t="n"/>
      <c r="BV30" s="963" t="n"/>
      <c r="BW30" s="963" t="n"/>
      <c r="BX30" s="963" t="n"/>
      <c r="BY30" s="963" t="n"/>
      <c r="BZ30" s="981" t="n"/>
    </row>
    <row r="31" ht="17.25" customHeight="1" s="838" thickBot="1">
      <c r="B31" s="757" t="n"/>
      <c r="C31" s="739" t="n"/>
      <c r="D31" s="735" t="n"/>
      <c r="E31" s="736" t="n"/>
      <c r="F31" s="146" t="inlineStr">
        <is>
          <t>`26 실적</t>
        </is>
      </c>
      <c r="G31" s="999">
        <f>G57*G2/10^2</f>
        <v/>
      </c>
      <c r="H31" s="1000">
        <f>H57*H2/10^2</f>
        <v/>
      </c>
      <c r="I31" s="1000">
        <f>I57*I2/10^2</f>
        <v/>
      </c>
      <c r="J31" s="1000">
        <f>J57*J2/10^2</f>
        <v/>
      </c>
      <c r="K31" s="1000">
        <f>K57*K2/10^2</f>
        <v/>
      </c>
      <c r="L31" s="1000">
        <f>L57*L2/10^2</f>
        <v/>
      </c>
      <c r="M31" s="999">
        <f>M57*M2/10^2</f>
        <v/>
      </c>
      <c r="N31" s="1000">
        <f>N57*N2/10^2</f>
        <v/>
      </c>
      <c r="O31" s="1000">
        <f>O57*O2/10^2</f>
        <v/>
      </c>
      <c r="P31" s="1000">
        <f>P57*P2/10^2</f>
        <v/>
      </c>
      <c r="Q31" s="1001">
        <f>Q57*Q2/10^2</f>
        <v/>
      </c>
      <c r="R31" s="1002">
        <f>R57*R$2/10^2</f>
        <v/>
      </c>
      <c r="S31" s="1000">
        <f>S57*S$2/10^2</f>
        <v/>
      </c>
      <c r="T31" s="1000">
        <f>T57*T$2/10^2</f>
        <v/>
      </c>
      <c r="U31" s="1000">
        <f>U57*U$2/10^2</f>
        <v/>
      </c>
      <c r="V31" s="1000">
        <f>V57*V$2/10^2</f>
        <v/>
      </c>
      <c r="W31" s="1000">
        <f>W57*W$2/10^2</f>
        <v/>
      </c>
      <c r="X31" s="999">
        <f>X57*X$2/10^2</f>
        <v/>
      </c>
      <c r="Y31" s="1000">
        <f>Y57*Y$2/10^2</f>
        <v/>
      </c>
      <c r="Z31" s="1000">
        <f>Z57*Z$2/10^2</f>
        <v/>
      </c>
      <c r="AA31" s="1000">
        <f>AA57*AA$2/10^2</f>
        <v/>
      </c>
      <c r="AB31" s="1000">
        <f>AB57*AB$2/10^2</f>
        <v/>
      </c>
      <c r="AC31" s="1001">
        <f>AC57*AC$2/10^2</f>
        <v/>
      </c>
      <c r="AD31" s="1003" t="n"/>
      <c r="AE31" s="1000" t="n"/>
      <c r="AF31" s="1000" t="n"/>
      <c r="AG31" s="1000" t="n"/>
      <c r="AH31" s="1000" t="n"/>
      <c r="AI31" s="1000" t="n"/>
      <c r="AJ31" s="1001" t="n"/>
      <c r="AK31" s="1004" t="n"/>
      <c r="AL31" s="1000" t="n"/>
      <c r="AM31" s="1000" t="n"/>
      <c r="AN31" s="1000" t="n"/>
      <c r="AO31" s="1000" t="n"/>
      <c r="AP31" s="1000" t="n"/>
      <c r="AQ31" s="1005" t="n"/>
      <c r="AR31" s="1006" t="n"/>
      <c r="AS31" s="1000" t="n"/>
      <c r="AT31" s="1000" t="n"/>
      <c r="AU31" s="1000" t="n"/>
      <c r="AV31" s="1000" t="n"/>
      <c r="AW31" s="1007" t="n"/>
      <c r="AX31" s="1000" t="n"/>
      <c r="AY31" s="1000" t="n"/>
      <c r="AZ31" s="1000" t="n"/>
      <c r="BA31" s="1000" t="n"/>
      <c r="BB31" s="1000" t="n"/>
      <c r="BC31" s="1001" t="n"/>
      <c r="BD31" s="1007" t="n"/>
      <c r="BE31" s="1000" t="n"/>
      <c r="BF31" s="1000" t="n"/>
      <c r="BG31" s="1000" t="n"/>
      <c r="BH31" s="1000" t="n"/>
      <c r="BI31" s="1001" t="n"/>
      <c r="BJ31" s="1007" t="n"/>
      <c r="BK31" s="1000" t="n"/>
      <c r="BL31" s="1000" t="n"/>
      <c r="BM31" s="1000" t="n"/>
      <c r="BN31" s="1000" t="n"/>
      <c r="BO31" s="1001" t="n"/>
      <c r="BP31" s="1007" t="n"/>
      <c r="BQ31" s="1000" t="n"/>
      <c r="BR31" s="1000" t="n"/>
      <c r="BS31" s="1000" t="n"/>
      <c r="BT31" s="1001" t="n"/>
      <c r="BU31" s="1007" t="n"/>
      <c r="BV31" s="1000" t="n"/>
      <c r="BW31" s="1000" t="n"/>
      <c r="BX31" s="1000" t="n"/>
      <c r="BY31" s="1000" t="n"/>
      <c r="BZ31" s="1008" t="n"/>
    </row>
    <row r="32" ht="16.5" customHeight="1" s="838" thickBot="1">
      <c r="B32" s="812" t="inlineStr">
        <is>
          <t>개선금액 (M$)</t>
        </is>
      </c>
      <c r="C32" s="754" t="inlineStr">
        <is>
          <t>키친솔루션</t>
        </is>
      </c>
      <c r="D32" s="754" t="inlineStr">
        <is>
          <t>제품1 + 제품2</t>
        </is>
      </c>
      <c r="E32" s="766" t="n"/>
      <c r="F32" s="197" t="inlineStr">
        <is>
          <t>`26 목표</t>
        </is>
      </c>
      <c r="G32" s="960">
        <f>(G58-G59)*G62</f>
        <v/>
      </c>
      <c r="H32" s="961">
        <f>(H58-H59)*H62</f>
        <v/>
      </c>
      <c r="I32" s="961">
        <f>(I58-I59)*I62</f>
        <v/>
      </c>
      <c r="J32" s="961">
        <f>(J58-J59)*J62</f>
        <v/>
      </c>
      <c r="K32" s="961">
        <f>(K58-K59)*K62</f>
        <v/>
      </c>
      <c r="L32" s="961">
        <f>(L58-L59)*L62</f>
        <v/>
      </c>
      <c r="M32" s="960">
        <f>(M58-M59)*M62</f>
        <v/>
      </c>
      <c r="N32" s="961">
        <f>(N58-N59)*N62</f>
        <v/>
      </c>
      <c r="O32" s="961">
        <f>(O58-O59)*O62</f>
        <v/>
      </c>
      <c r="P32" s="961">
        <f>(P58-P59)*P62</f>
        <v/>
      </c>
      <c r="Q32" s="967">
        <f>(Q58-Q59)*Q62</f>
        <v/>
      </c>
      <c r="R32" s="1009">
        <f>(R58-R59)*R62</f>
        <v/>
      </c>
      <c r="S32" s="961">
        <f>(S58-S59)*S62</f>
        <v/>
      </c>
      <c r="T32" s="961">
        <f>(T58-T59)*T62</f>
        <v/>
      </c>
      <c r="U32" s="961">
        <f>(U58-U59)*U62</f>
        <v/>
      </c>
      <c r="V32" s="961">
        <f>(V58-V59)*V62</f>
        <v/>
      </c>
      <c r="W32" s="961">
        <f>(W58-W59)*W62</f>
        <v/>
      </c>
      <c r="X32" s="960">
        <f>(X58-X59)*X62</f>
        <v/>
      </c>
      <c r="Y32" s="961">
        <f>(Y58-Y59)*Y62</f>
        <v/>
      </c>
      <c r="Z32" s="961">
        <f>(Z58-Z59)*Z62</f>
        <v/>
      </c>
      <c r="AA32" s="961">
        <f>(AA58-AA59)*AA62</f>
        <v/>
      </c>
      <c r="AB32" s="961">
        <f>(AB58-AB59)*AB62</f>
        <v/>
      </c>
      <c r="AC32" s="967">
        <f>(AC58-AC59)*AC62</f>
        <v/>
      </c>
      <c r="AD32" s="966" t="n"/>
      <c r="AE32" s="961" t="n"/>
      <c r="AF32" s="961" t="n"/>
      <c r="AG32" s="961" t="n"/>
      <c r="AH32" s="961" t="n"/>
      <c r="AI32" s="961" t="n"/>
      <c r="AJ32" s="967" t="n"/>
      <c r="AK32" s="968" t="n"/>
      <c r="AL32" s="961" t="n"/>
      <c r="AM32" s="961" t="n"/>
      <c r="AN32" s="961" t="n"/>
      <c r="AO32" s="961" t="n"/>
      <c r="AP32" s="961" t="n"/>
      <c r="AQ32" s="969" t="n"/>
      <c r="AR32" s="970" t="n"/>
      <c r="AS32" s="961" t="n"/>
      <c r="AT32" s="961" t="n"/>
      <c r="AU32" s="961" t="n"/>
      <c r="AV32" s="961" t="n"/>
      <c r="AW32" s="971" t="n"/>
      <c r="AX32" s="961" t="n"/>
      <c r="AY32" s="961" t="n"/>
      <c r="AZ32" s="961" t="n"/>
      <c r="BA32" s="961" t="n"/>
      <c r="BB32" s="961" t="n"/>
      <c r="BC32" s="967" t="n"/>
      <c r="BD32" s="971" t="n"/>
      <c r="BE32" s="961" t="n"/>
      <c r="BF32" s="961" t="n"/>
      <c r="BG32" s="961" t="n"/>
      <c r="BH32" s="961" t="n"/>
      <c r="BI32" s="967" t="n"/>
      <c r="BJ32" s="971" t="n"/>
      <c r="BK32" s="961" t="n"/>
      <c r="BL32" s="961" t="n"/>
      <c r="BM32" s="961" t="n"/>
      <c r="BN32" s="961" t="n"/>
      <c r="BO32" s="967" t="n"/>
      <c r="BP32" s="971" t="n"/>
      <c r="BQ32" s="961" t="n"/>
      <c r="BR32" s="961" t="n"/>
      <c r="BS32" s="961" t="n"/>
      <c r="BT32" s="967" t="n"/>
      <c r="BU32" s="971" t="n"/>
      <c r="BV32" s="961" t="n"/>
      <c r="BW32" s="961" t="n"/>
      <c r="BX32" s="961" t="n"/>
      <c r="BY32" s="961" t="n"/>
      <c r="BZ32" s="972" t="n"/>
    </row>
    <row r="33" ht="16.5" customHeight="1" s="838">
      <c r="B33" s="756" t="n"/>
      <c r="C33" s="739" t="n"/>
      <c r="D33" s="735" t="n"/>
      <c r="E33" s="736" t="n"/>
      <c r="F33" s="151" t="inlineStr">
        <is>
          <t>`26 실적</t>
        </is>
      </c>
      <c r="G33" s="962">
        <f>(G58-G60)*G63</f>
        <v/>
      </c>
      <c r="H33" s="963">
        <f>(H58-H60)*H63</f>
        <v/>
      </c>
      <c r="I33" s="963">
        <f>(I58-I60)*I63</f>
        <v/>
      </c>
      <c r="J33" s="963">
        <f>(J58-J60)*J63</f>
        <v/>
      </c>
      <c r="K33" s="963">
        <f>(K58-K60)*K63</f>
        <v/>
      </c>
      <c r="L33" s="963">
        <f>(L58-L60)*L63</f>
        <v/>
      </c>
      <c r="M33" s="962">
        <f>(M58-M60)*M63</f>
        <v/>
      </c>
      <c r="N33" s="963">
        <f>(N58-N60)*N63</f>
        <v/>
      </c>
      <c r="O33" s="963">
        <f>(O58-O60)*O63</f>
        <v/>
      </c>
      <c r="P33" s="963">
        <f>(P58-P60)*P63</f>
        <v/>
      </c>
      <c r="Q33" s="964">
        <f>(Q58-Q60)*Q63</f>
        <v/>
      </c>
      <c r="R33" s="965">
        <f>(R58-R60)*R63</f>
        <v/>
      </c>
      <c r="S33" s="963">
        <f>(S58-S60)*S63</f>
        <v/>
      </c>
      <c r="T33" s="963">
        <f>(T58-T60)*T63</f>
        <v/>
      </c>
      <c r="U33" s="963">
        <f>(U58-U60)*U63</f>
        <v/>
      </c>
      <c r="V33" s="963">
        <f>(V58-V60)*V63</f>
        <v/>
      </c>
      <c r="W33" s="963">
        <f>(W58-W60)*W63</f>
        <v/>
      </c>
      <c r="X33" s="962">
        <f>(X58-X60)*X63</f>
        <v/>
      </c>
      <c r="Y33" s="963">
        <f>(Y58-Y60)*Y63</f>
        <v/>
      </c>
      <c r="Z33" s="963">
        <f>(Z58-Z60)*Z63</f>
        <v/>
      </c>
      <c r="AA33" s="963">
        <f>(AA58-AA60)*AA63</f>
        <v/>
      </c>
      <c r="AB33" s="963">
        <f>(AB58-AB60)*AB63</f>
        <v/>
      </c>
      <c r="AC33" s="964">
        <f>(AC58-AC60)*AC63</f>
        <v/>
      </c>
      <c r="AD33" s="976" t="n"/>
      <c r="AE33" s="963" t="n"/>
      <c r="AF33" s="963" t="n"/>
      <c r="AG33" s="963" t="n"/>
      <c r="AH33" s="963" t="n"/>
      <c r="AI33" s="963" t="n"/>
      <c r="AJ33" s="964" t="n"/>
      <c r="AK33" s="977" t="n"/>
      <c r="AL33" s="963" t="n"/>
      <c r="AM33" s="963" t="n"/>
      <c r="AN33" s="963" t="n"/>
      <c r="AO33" s="963" t="n"/>
      <c r="AP33" s="963" t="n"/>
      <c r="AQ33" s="978" t="n"/>
      <c r="AR33" s="979" t="n"/>
      <c r="AS33" s="963" t="n"/>
      <c r="AT33" s="963" t="n"/>
      <c r="AU33" s="963" t="n"/>
      <c r="AV33" s="963" t="n"/>
      <c r="AW33" s="980" t="n"/>
      <c r="AX33" s="963" t="n"/>
      <c r="AY33" s="963" t="n"/>
      <c r="AZ33" s="963" t="n"/>
      <c r="BA33" s="963" t="n"/>
      <c r="BB33" s="963" t="n"/>
      <c r="BC33" s="964" t="n"/>
      <c r="BD33" s="980" t="n"/>
      <c r="BE33" s="963" t="n"/>
      <c r="BF33" s="963" t="n"/>
      <c r="BG33" s="963" t="n"/>
      <c r="BH33" s="963" t="n"/>
      <c r="BI33" s="964" t="n"/>
      <c r="BJ33" s="980" t="n"/>
      <c r="BK33" s="963" t="n"/>
      <c r="BL33" s="963" t="n"/>
      <c r="BM33" s="963" t="n"/>
      <c r="BN33" s="963" t="n"/>
      <c r="BO33" s="964" t="n"/>
      <c r="BP33" s="980" t="n"/>
      <c r="BQ33" s="963" t="n"/>
      <c r="BR33" s="963" t="n"/>
      <c r="BS33" s="963" t="n"/>
      <c r="BT33" s="964" t="n"/>
      <c r="BU33" s="980" t="n"/>
      <c r="BV33" s="963" t="n"/>
      <c r="BW33" s="963" t="n"/>
      <c r="BX33" s="963" t="n"/>
      <c r="BY33" s="963" t="n"/>
      <c r="BZ33" s="981" t="n"/>
    </row>
    <row r="34" ht="16.5" customHeight="1" s="838">
      <c r="B34" s="756" t="n"/>
      <c r="C34" s="737" t="inlineStr">
        <is>
          <t>제품1</t>
        </is>
      </c>
      <c r="D34" s="775" t="inlineStr">
        <is>
          <t>지역 합계</t>
        </is>
      </c>
      <c r="E34" s="734" t="n"/>
      <c r="F34" s="220" t="inlineStr">
        <is>
          <t>`26 목표</t>
        </is>
      </c>
      <c r="G34" s="982">
        <f>(G67-G68)*G71</f>
        <v/>
      </c>
      <c r="H34" s="983">
        <f>(H67-H68)*H71</f>
        <v/>
      </c>
      <c r="I34" s="983">
        <f>(I67-I68)*I71</f>
        <v/>
      </c>
      <c r="J34" s="983">
        <f>(J67-J68)*J71</f>
        <v/>
      </c>
      <c r="K34" s="983">
        <f>(K67-K68)*K71</f>
        <v/>
      </c>
      <c r="L34" s="983">
        <f>(L67-L68)*L71</f>
        <v/>
      </c>
      <c r="M34" s="982">
        <f>(M67-M68)*M71</f>
        <v/>
      </c>
      <c r="N34" s="983">
        <f>(N67-N68)*N71</f>
        <v/>
      </c>
      <c r="O34" s="983">
        <f>(O67-O68)*O71</f>
        <v/>
      </c>
      <c r="P34" s="983">
        <f>(P67-P68)*P71</f>
        <v/>
      </c>
      <c r="Q34" s="984">
        <f>(Q67-Q68)*Q71</f>
        <v/>
      </c>
      <c r="R34" s="985">
        <f>(R67-R68)*R71</f>
        <v/>
      </c>
      <c r="S34" s="983">
        <f>(S67-S68)*S71</f>
        <v/>
      </c>
      <c r="T34" s="983">
        <f>(T67-T68)*T71</f>
        <v/>
      </c>
      <c r="U34" s="983">
        <f>(U67-U68)*U71</f>
        <v/>
      </c>
      <c r="V34" s="983">
        <f>(V67-V68)*V71</f>
        <v/>
      </c>
      <c r="W34" s="983">
        <f>(W67-W68)*W71</f>
        <v/>
      </c>
      <c r="X34" s="982">
        <f>(X67-X68)*X71</f>
        <v/>
      </c>
      <c r="Y34" s="983">
        <f>(Y67-Y68)*Y71</f>
        <v/>
      </c>
      <c r="Z34" s="983">
        <f>(Z67-Z68)*Z71</f>
        <v/>
      </c>
      <c r="AA34" s="983">
        <f>(AA67-AA68)*AA71</f>
        <v/>
      </c>
      <c r="AB34" s="983">
        <f>(AB67-AB68)*AB71</f>
        <v/>
      </c>
      <c r="AC34" s="984">
        <f>(AC67-AC68)*AC71</f>
        <v/>
      </c>
      <c r="AD34" s="986" t="n"/>
      <c r="AE34" s="983" t="n"/>
      <c r="AF34" s="983" t="n"/>
      <c r="AG34" s="983" t="n"/>
      <c r="AH34" s="983" t="n"/>
      <c r="AI34" s="983" t="n"/>
      <c r="AJ34" s="984" t="n"/>
      <c r="AK34" s="987" t="n"/>
      <c r="AL34" s="983" t="n"/>
      <c r="AM34" s="983" t="n"/>
      <c r="AN34" s="983" t="n"/>
      <c r="AO34" s="983" t="n"/>
      <c r="AP34" s="983" t="n"/>
      <c r="AQ34" s="988" t="n"/>
      <c r="AR34" s="989" t="n"/>
      <c r="AS34" s="983" t="n"/>
      <c r="AT34" s="983" t="n"/>
      <c r="AU34" s="983" t="n"/>
      <c r="AV34" s="983" t="n"/>
      <c r="AW34" s="990" t="n"/>
      <c r="AX34" s="983" t="n"/>
      <c r="AY34" s="983" t="n"/>
      <c r="AZ34" s="983" t="n"/>
      <c r="BA34" s="983" t="n"/>
      <c r="BB34" s="983" t="n"/>
      <c r="BC34" s="984" t="n"/>
      <c r="BD34" s="990" t="n"/>
      <c r="BE34" s="983" t="n"/>
      <c r="BF34" s="983" t="n"/>
      <c r="BG34" s="983" t="n"/>
      <c r="BH34" s="983" t="n"/>
      <c r="BI34" s="984" t="n"/>
      <c r="BJ34" s="990" t="n"/>
      <c r="BK34" s="983" t="n"/>
      <c r="BL34" s="983" t="n"/>
      <c r="BM34" s="983" t="n"/>
      <c r="BN34" s="983" t="n"/>
      <c r="BO34" s="984" t="n"/>
      <c r="BP34" s="990" t="n"/>
      <c r="BQ34" s="983" t="n"/>
      <c r="BR34" s="983" t="n"/>
      <c r="BS34" s="983" t="n"/>
      <c r="BT34" s="984" t="n"/>
      <c r="BU34" s="990" t="n"/>
      <c r="BV34" s="983" t="n"/>
      <c r="BW34" s="983" t="n"/>
      <c r="BX34" s="983" t="n"/>
      <c r="BY34" s="983" t="n"/>
      <c r="BZ34" s="991" t="n"/>
    </row>
    <row r="35" ht="16.5" customHeight="1" s="838">
      <c r="B35" s="756" t="n"/>
      <c r="C35" s="738" t="n"/>
      <c r="D35" s="735" t="n"/>
      <c r="E35" s="736" t="n"/>
      <c r="F35" s="134" t="inlineStr">
        <is>
          <t>`26 실적</t>
        </is>
      </c>
      <c r="G35" s="973">
        <f>(G67-G69)*G72</f>
        <v/>
      </c>
      <c r="H35" s="974">
        <f>(H67-H69)*H72</f>
        <v/>
      </c>
      <c r="I35" s="974">
        <f>(I67-I69)*I72</f>
        <v/>
      </c>
      <c r="J35" s="974">
        <f>(J67-J69)*J72</f>
        <v/>
      </c>
      <c r="K35" s="974">
        <f>(K67-K69)*K72</f>
        <v/>
      </c>
      <c r="L35" s="974">
        <f>(L67-L69)*L72</f>
        <v/>
      </c>
      <c r="M35" s="973">
        <f>(M67-M69)*M72</f>
        <v/>
      </c>
      <c r="N35" s="974">
        <f>(N67-N69)*N72</f>
        <v/>
      </c>
      <c r="O35" s="974">
        <f>(O67-O69)*O72</f>
        <v/>
      </c>
      <c r="P35" s="974">
        <f>(P67-P69)*P72</f>
        <v/>
      </c>
      <c r="Q35" s="975">
        <f>(Q67-Q69)*Q72</f>
        <v/>
      </c>
      <c r="R35" s="992">
        <f>(R67-R69)*R72</f>
        <v/>
      </c>
      <c r="S35" s="974">
        <f>(S67-S69)*S72</f>
        <v/>
      </c>
      <c r="T35" s="974">
        <f>(T67-T69)*T72</f>
        <v/>
      </c>
      <c r="U35" s="974">
        <f>(U67-U69)*U72</f>
        <v/>
      </c>
      <c r="V35" s="974">
        <f>(V67-V69)*V72</f>
        <v/>
      </c>
      <c r="W35" s="974">
        <f>(W67-W69)*W72</f>
        <v/>
      </c>
      <c r="X35" s="973">
        <f>(X67-X69)*X72</f>
        <v/>
      </c>
      <c r="Y35" s="974">
        <f>(Y67-Y69)*Y72</f>
        <v/>
      </c>
      <c r="Z35" s="974">
        <f>(Z67-Z69)*Z72</f>
        <v/>
      </c>
      <c r="AA35" s="974">
        <f>(AA67-AA69)*AA72</f>
        <v/>
      </c>
      <c r="AB35" s="974">
        <f>(AB67-AB69)*AB72</f>
        <v/>
      </c>
      <c r="AC35" s="975">
        <f>(AC67-AC69)*AC72</f>
        <v/>
      </c>
      <c r="AD35" s="993" t="n"/>
      <c r="AE35" s="974" t="n"/>
      <c r="AF35" s="974" t="n"/>
      <c r="AG35" s="974" t="n"/>
      <c r="AH35" s="974" t="n"/>
      <c r="AI35" s="974" t="n"/>
      <c r="AJ35" s="975" t="n"/>
      <c r="AK35" s="994" t="n"/>
      <c r="AL35" s="974" t="n"/>
      <c r="AM35" s="974" t="n"/>
      <c r="AN35" s="974" t="n"/>
      <c r="AO35" s="974" t="n"/>
      <c r="AP35" s="974" t="n"/>
      <c r="AQ35" s="995" t="n"/>
      <c r="AR35" s="996" t="n"/>
      <c r="AS35" s="974" t="n"/>
      <c r="AT35" s="974" t="n"/>
      <c r="AU35" s="974" t="n"/>
      <c r="AV35" s="974" t="n"/>
      <c r="AW35" s="997" t="n"/>
      <c r="AX35" s="974" t="n"/>
      <c r="AY35" s="974" t="n"/>
      <c r="AZ35" s="974" t="n"/>
      <c r="BA35" s="974" t="n"/>
      <c r="BB35" s="974" t="n"/>
      <c r="BC35" s="975" t="n"/>
      <c r="BD35" s="997" t="n"/>
      <c r="BE35" s="974" t="n"/>
      <c r="BF35" s="974" t="n"/>
      <c r="BG35" s="974" t="n"/>
      <c r="BH35" s="974" t="n"/>
      <c r="BI35" s="975" t="n"/>
      <c r="BJ35" s="997" t="n"/>
      <c r="BK35" s="974" t="n"/>
      <c r="BL35" s="974" t="n"/>
      <c r="BM35" s="974" t="n"/>
      <c r="BN35" s="974" t="n"/>
      <c r="BO35" s="975" t="n"/>
      <c r="BP35" s="997" t="n"/>
      <c r="BQ35" s="974" t="n"/>
      <c r="BR35" s="974" t="n"/>
      <c r="BS35" s="974" t="n"/>
      <c r="BT35" s="975" t="n"/>
      <c r="BU35" s="997" t="n"/>
      <c r="BV35" s="974" t="n"/>
      <c r="BW35" s="974" t="n"/>
      <c r="BX35" s="974" t="n"/>
      <c r="BY35" s="974" t="n"/>
      <c r="BZ35" s="998" t="n"/>
    </row>
    <row r="36" ht="16.5" customHeight="1" s="838">
      <c r="B36" s="756" t="n"/>
      <c r="C36" s="738" t="n"/>
      <c r="D36" s="737" t="inlineStr">
        <is>
          <t>지역1</t>
        </is>
      </c>
      <c r="E36" s="734" t="n"/>
      <c r="F36" s="220" t="inlineStr">
        <is>
          <t>`26 목표</t>
        </is>
      </c>
      <c r="G36" s="982">
        <f>(G76-G77)*G80</f>
        <v/>
      </c>
      <c r="H36" s="983">
        <f>(H76-H77)*H80</f>
        <v/>
      </c>
      <c r="I36" s="983">
        <f>(I76-I77)*I80</f>
        <v/>
      </c>
      <c r="J36" s="983">
        <f>(J76-J77)*J80</f>
        <v/>
      </c>
      <c r="K36" s="983">
        <f>(K76-K77)*K80</f>
        <v/>
      </c>
      <c r="L36" s="983">
        <f>(L76-L77)*L80</f>
        <v/>
      </c>
      <c r="M36" s="982">
        <f>(M76-M77)*M80</f>
        <v/>
      </c>
      <c r="N36" s="983">
        <f>(N76-N77)*N80</f>
        <v/>
      </c>
      <c r="O36" s="983">
        <f>(O76-O77)*O80</f>
        <v/>
      </c>
      <c r="P36" s="983">
        <f>(P76-P77)*P80</f>
        <v/>
      </c>
      <c r="Q36" s="984">
        <f>(Q76-Q77)*Q80</f>
        <v/>
      </c>
      <c r="R36" s="985">
        <f>(R76-R77)*R80</f>
        <v/>
      </c>
      <c r="S36" s="983">
        <f>(S76-S77)*S80</f>
        <v/>
      </c>
      <c r="T36" s="983">
        <f>(T76-T77)*T80</f>
        <v/>
      </c>
      <c r="U36" s="983">
        <f>(U76-U77)*U80</f>
        <v/>
      </c>
      <c r="V36" s="983">
        <f>(V76-V77)*V80</f>
        <v/>
      </c>
      <c r="W36" s="983">
        <f>(W76-W77)*W80</f>
        <v/>
      </c>
      <c r="X36" s="982">
        <f>(X76-X77)*X80</f>
        <v/>
      </c>
      <c r="Y36" s="983">
        <f>(Y76-Y77)*Y80</f>
        <v/>
      </c>
      <c r="Z36" s="983">
        <f>(Z76-Z77)*Z80</f>
        <v/>
      </c>
      <c r="AA36" s="983">
        <f>(AA76-AA77)*AA80</f>
        <v/>
      </c>
      <c r="AB36" s="983">
        <f>(AB76-AB77)*AB80</f>
        <v/>
      </c>
      <c r="AC36" s="984">
        <f>(AC76-AC77)*AC80</f>
        <v/>
      </c>
      <c r="AD36" s="986" t="n"/>
      <c r="AE36" s="983" t="n"/>
      <c r="AF36" s="983" t="n"/>
      <c r="AG36" s="983" t="n"/>
      <c r="AH36" s="983" t="n"/>
      <c r="AI36" s="983" t="n"/>
      <c r="AJ36" s="984" t="n"/>
      <c r="AK36" s="987" t="n"/>
      <c r="AL36" s="983" t="n"/>
      <c r="AM36" s="983" t="n"/>
      <c r="AN36" s="983" t="n"/>
      <c r="AO36" s="983" t="n"/>
      <c r="AP36" s="983" t="n"/>
      <c r="AQ36" s="988" t="n"/>
      <c r="AR36" s="989" t="n"/>
      <c r="AS36" s="983" t="n"/>
      <c r="AT36" s="983" t="n"/>
      <c r="AU36" s="983" t="n"/>
      <c r="AV36" s="983" t="n"/>
      <c r="AW36" s="990" t="n"/>
      <c r="AX36" s="983" t="n"/>
      <c r="AY36" s="983" t="n"/>
      <c r="AZ36" s="983" t="n"/>
      <c r="BA36" s="983" t="n"/>
      <c r="BB36" s="983" t="n"/>
      <c r="BC36" s="984" t="n"/>
      <c r="BD36" s="990" t="n"/>
      <c r="BE36" s="983" t="n"/>
      <c r="BF36" s="983" t="n"/>
      <c r="BG36" s="983" t="n"/>
      <c r="BH36" s="983" t="n"/>
      <c r="BI36" s="984" t="n"/>
      <c r="BJ36" s="990" t="n"/>
      <c r="BK36" s="983" t="n"/>
      <c r="BL36" s="983" t="n"/>
      <c r="BM36" s="983" t="n"/>
      <c r="BN36" s="983" t="n"/>
      <c r="BO36" s="984" t="n"/>
      <c r="BP36" s="990" t="n"/>
      <c r="BQ36" s="983" t="n"/>
      <c r="BR36" s="983" t="n"/>
      <c r="BS36" s="983" t="n"/>
      <c r="BT36" s="984" t="n"/>
      <c r="BU36" s="990" t="n"/>
      <c r="BV36" s="983" t="n"/>
      <c r="BW36" s="983" t="n"/>
      <c r="BX36" s="983" t="n"/>
      <c r="BY36" s="983" t="n"/>
      <c r="BZ36" s="991" t="n"/>
    </row>
    <row r="37" ht="16.5" customHeight="1" s="838">
      <c r="B37" s="756" t="n"/>
      <c r="C37" s="738" t="n"/>
      <c r="D37" s="735" t="n"/>
      <c r="E37" s="736" t="n"/>
      <c r="F37" s="134" t="inlineStr">
        <is>
          <t>`26 실적</t>
        </is>
      </c>
      <c r="G37" s="973">
        <f>($G$76-G78)*G81</f>
        <v/>
      </c>
      <c r="H37" s="974">
        <f>($G$76-H78)*H81</f>
        <v/>
      </c>
      <c r="I37" s="974">
        <f>($G$76-I78)*I81</f>
        <v/>
      </c>
      <c r="J37" s="974">
        <f>($G$76-J78)*J81</f>
        <v/>
      </c>
      <c r="K37" s="974">
        <f>($G$76-K78)*K81</f>
        <v/>
      </c>
      <c r="L37" s="974">
        <f>($G$76-L78)*L81</f>
        <v/>
      </c>
      <c r="M37" s="973">
        <f>($G$76-M78)*M81</f>
        <v/>
      </c>
      <c r="N37" s="974">
        <f>($G$76-N78)*N81</f>
        <v/>
      </c>
      <c r="O37" s="974">
        <f>($G$76-O78)*O81</f>
        <v/>
      </c>
      <c r="P37" s="974">
        <f>($G$76-P78)*P81</f>
        <v/>
      </c>
      <c r="Q37" s="975">
        <f>($G$76-Q78)*Q81</f>
        <v/>
      </c>
      <c r="R37" s="992">
        <f>(R76-R78)*R81</f>
        <v/>
      </c>
      <c r="S37" s="974">
        <f>(S76-S78)*S81</f>
        <v/>
      </c>
      <c r="T37" s="974">
        <f>(T76-T78)*T81</f>
        <v/>
      </c>
      <c r="U37" s="974">
        <f>(U76-U78)*U81</f>
        <v/>
      </c>
      <c r="V37" s="974">
        <f>(V76-V78)*V81</f>
        <v/>
      </c>
      <c r="W37" s="974">
        <f>(W76-W78)*W81</f>
        <v/>
      </c>
      <c r="X37" s="973">
        <f>(X76-X78)*X81</f>
        <v/>
      </c>
      <c r="Y37" s="974">
        <f>(Y76-Y78)*Y81</f>
        <v/>
      </c>
      <c r="Z37" s="974">
        <f>(Z76-Z78)*Z81</f>
        <v/>
      </c>
      <c r="AA37" s="974">
        <f>(AA76-AA78)*AA81</f>
        <v/>
      </c>
      <c r="AB37" s="974">
        <f>(AB76-AB78)*AB81</f>
        <v/>
      </c>
      <c r="AC37" s="975">
        <f>(AC76-AC78)*AC81</f>
        <v/>
      </c>
      <c r="AD37" s="993" t="n"/>
      <c r="AE37" s="974" t="n"/>
      <c r="AF37" s="974" t="n"/>
      <c r="AG37" s="974" t="n"/>
      <c r="AH37" s="974" t="n"/>
      <c r="AI37" s="974" t="n"/>
      <c r="AJ37" s="975" t="n"/>
      <c r="AK37" s="994" t="n"/>
      <c r="AL37" s="974" t="n"/>
      <c r="AM37" s="974" t="n"/>
      <c r="AN37" s="974" t="n"/>
      <c r="AO37" s="974" t="n"/>
      <c r="AP37" s="974" t="n"/>
      <c r="AQ37" s="995" t="n"/>
      <c r="AR37" s="996" t="n"/>
      <c r="AS37" s="974" t="n"/>
      <c r="AT37" s="974" t="n"/>
      <c r="AU37" s="974" t="n"/>
      <c r="AV37" s="974" t="n"/>
      <c r="AW37" s="997" t="n"/>
      <c r="AX37" s="974" t="n"/>
      <c r="AY37" s="974" t="n"/>
      <c r="AZ37" s="974" t="n"/>
      <c r="BA37" s="974" t="n"/>
      <c r="BB37" s="974" t="n"/>
      <c r="BC37" s="975" t="n"/>
      <c r="BD37" s="997" t="n"/>
      <c r="BE37" s="974" t="n"/>
      <c r="BF37" s="974" t="n"/>
      <c r="BG37" s="974" t="n"/>
      <c r="BH37" s="974" t="n"/>
      <c r="BI37" s="975" t="n"/>
      <c r="BJ37" s="997" t="n"/>
      <c r="BK37" s="974" t="n"/>
      <c r="BL37" s="974" t="n"/>
      <c r="BM37" s="974" t="n"/>
      <c r="BN37" s="974" t="n"/>
      <c r="BO37" s="975" t="n"/>
      <c r="BP37" s="997" t="n"/>
      <c r="BQ37" s="974" t="n"/>
      <c r="BR37" s="974" t="n"/>
      <c r="BS37" s="974" t="n"/>
      <c r="BT37" s="975" t="n"/>
      <c r="BU37" s="997" t="n"/>
      <c r="BV37" s="974" t="n"/>
      <c r="BW37" s="974" t="n"/>
      <c r="BX37" s="974" t="n"/>
      <c r="BY37" s="974" t="n"/>
      <c r="BZ37" s="998" t="n"/>
    </row>
    <row r="38" ht="16.5" customHeight="1" s="838">
      <c r="B38" s="756" t="n"/>
      <c r="C38" s="738" t="n"/>
      <c r="D38" s="737" t="inlineStr">
        <is>
          <t>지역2</t>
        </is>
      </c>
      <c r="E38" s="734" t="n"/>
      <c r="F38" s="220" t="inlineStr">
        <is>
          <t>`26 목표</t>
        </is>
      </c>
      <c r="G38" s="982">
        <f>(G85-G86)*G89</f>
        <v/>
      </c>
      <c r="H38" s="983">
        <f>(H85-H86)*H89</f>
        <v/>
      </c>
      <c r="I38" s="983">
        <f>(I85-I86)*I89</f>
        <v/>
      </c>
      <c r="J38" s="983">
        <f>(J85-J86)*J89</f>
        <v/>
      </c>
      <c r="K38" s="983">
        <f>(K85-K86)*K89</f>
        <v/>
      </c>
      <c r="L38" s="983">
        <f>(L85-L86)*L89</f>
        <v/>
      </c>
      <c r="M38" s="982">
        <f>(M85-M86)*M89</f>
        <v/>
      </c>
      <c r="N38" s="983">
        <f>(N85-N86)*N89</f>
        <v/>
      </c>
      <c r="O38" s="983">
        <f>(O85-O86)*O89</f>
        <v/>
      </c>
      <c r="P38" s="983">
        <f>(P85-P86)*P89</f>
        <v/>
      </c>
      <c r="Q38" s="984">
        <f>(Q85-Q86)*Q89</f>
        <v/>
      </c>
      <c r="R38" s="985">
        <f>(R85-R86)*R89</f>
        <v/>
      </c>
      <c r="S38" s="983">
        <f>(S85-S86)*S89</f>
        <v/>
      </c>
      <c r="T38" s="983">
        <f>(T85-T86)*T89</f>
        <v/>
      </c>
      <c r="U38" s="983">
        <f>(U85-U86)*U89</f>
        <v/>
      </c>
      <c r="V38" s="983">
        <f>(V85-V86)*V89</f>
        <v/>
      </c>
      <c r="W38" s="983">
        <f>(W85-W86)*W89</f>
        <v/>
      </c>
      <c r="X38" s="982">
        <f>(X85-X86)*X89</f>
        <v/>
      </c>
      <c r="Y38" s="983">
        <f>(Y85-Y86)*Y89</f>
        <v/>
      </c>
      <c r="Z38" s="983">
        <f>(Z85-Z86)*Z89</f>
        <v/>
      </c>
      <c r="AA38" s="983">
        <f>(AA85-AA86)*AA89</f>
        <v/>
      </c>
      <c r="AB38" s="983">
        <f>(AB85-AB86)*AB89</f>
        <v/>
      </c>
      <c r="AC38" s="984">
        <f>(AC85-AC86)*AC89</f>
        <v/>
      </c>
      <c r="AD38" s="986" t="n"/>
      <c r="AE38" s="983" t="n"/>
      <c r="AF38" s="983" t="n"/>
      <c r="AG38" s="983" t="n"/>
      <c r="AH38" s="983" t="n"/>
      <c r="AI38" s="983" t="n"/>
      <c r="AJ38" s="984" t="n"/>
      <c r="AK38" s="987" t="n"/>
      <c r="AL38" s="983" t="n"/>
      <c r="AM38" s="983" t="n"/>
      <c r="AN38" s="983" t="n"/>
      <c r="AO38" s="983" t="n"/>
      <c r="AP38" s="983" t="n"/>
      <c r="AQ38" s="988" t="n"/>
      <c r="AR38" s="989" t="n"/>
      <c r="AS38" s="983" t="n"/>
      <c r="AT38" s="983" t="n"/>
      <c r="AU38" s="983" t="n"/>
      <c r="AV38" s="983" t="n"/>
      <c r="AW38" s="990" t="n"/>
      <c r="AX38" s="983" t="n"/>
      <c r="AY38" s="983" t="n"/>
      <c r="AZ38" s="983" t="n"/>
      <c r="BA38" s="983" t="n"/>
      <c r="BB38" s="983" t="n"/>
      <c r="BC38" s="984" t="n"/>
      <c r="BD38" s="990" t="n"/>
      <c r="BE38" s="983" t="n"/>
      <c r="BF38" s="983" t="n"/>
      <c r="BG38" s="983" t="n"/>
      <c r="BH38" s="983" t="n"/>
      <c r="BI38" s="984" t="n"/>
      <c r="BJ38" s="990" t="n"/>
      <c r="BK38" s="983" t="n"/>
      <c r="BL38" s="983" t="n"/>
      <c r="BM38" s="983" t="n"/>
      <c r="BN38" s="983" t="n"/>
      <c r="BO38" s="984" t="n"/>
      <c r="BP38" s="990" t="n"/>
      <c r="BQ38" s="983" t="n"/>
      <c r="BR38" s="983" t="n"/>
      <c r="BS38" s="983" t="n"/>
      <c r="BT38" s="984" t="n"/>
      <c r="BU38" s="990" t="n"/>
      <c r="BV38" s="983" t="n"/>
      <c r="BW38" s="983" t="n"/>
      <c r="BX38" s="983" t="n"/>
      <c r="BY38" s="983" t="n"/>
      <c r="BZ38" s="991" t="n"/>
    </row>
    <row r="39" ht="16.5" customHeight="1" s="838">
      <c r="B39" s="756" t="n"/>
      <c r="C39" s="738" t="n"/>
      <c r="D39" s="735" t="n"/>
      <c r="E39" s="736" t="n"/>
      <c r="F39" s="134" t="inlineStr">
        <is>
          <t>`26 실적</t>
        </is>
      </c>
      <c r="G39" s="973">
        <f>(G85-G87)*G90</f>
        <v/>
      </c>
      <c r="H39" s="974">
        <f>(H85-H87)*H90</f>
        <v/>
      </c>
      <c r="I39" s="974">
        <f>(I85-I87)*I90</f>
        <v/>
      </c>
      <c r="J39" s="974">
        <f>(J85-J87)*J90</f>
        <v/>
      </c>
      <c r="K39" s="974">
        <f>(K85-K87)*K90</f>
        <v/>
      </c>
      <c r="L39" s="974">
        <f>(L85-L87)*L90</f>
        <v/>
      </c>
      <c r="M39" s="973">
        <f>(M85-M87)*M90</f>
        <v/>
      </c>
      <c r="N39" s="974">
        <f>(N85-N87)*N90</f>
        <v/>
      </c>
      <c r="O39" s="974">
        <f>(O85-O87)*O90</f>
        <v/>
      </c>
      <c r="P39" s="974">
        <f>(P85-P87)*P90</f>
        <v/>
      </c>
      <c r="Q39" s="975">
        <f>(Q85-Q87)*Q90</f>
        <v/>
      </c>
      <c r="R39" s="992">
        <f>(R85-R87)*R90</f>
        <v/>
      </c>
      <c r="S39" s="974">
        <f>(S85-S87)*S90</f>
        <v/>
      </c>
      <c r="T39" s="974">
        <f>(T85-T87)*T90</f>
        <v/>
      </c>
      <c r="U39" s="974">
        <f>(U85-U87)*U90</f>
        <v/>
      </c>
      <c r="V39" s="974">
        <f>(V85-V87)*V90</f>
        <v/>
      </c>
      <c r="W39" s="974">
        <f>(W85-W87)*W90</f>
        <v/>
      </c>
      <c r="X39" s="973">
        <f>(X85-X87)*X90</f>
        <v/>
      </c>
      <c r="Y39" s="974">
        <f>(Y85-Y87)*Y90</f>
        <v/>
      </c>
      <c r="Z39" s="974">
        <f>(Z85-Z87)*Z90</f>
        <v/>
      </c>
      <c r="AA39" s="974">
        <f>(AA85-AA87)*AA90</f>
        <v/>
      </c>
      <c r="AB39" s="974">
        <f>(AB85-AB87)*AB90</f>
        <v/>
      </c>
      <c r="AC39" s="975">
        <f>(AC85-AC87)*AC90</f>
        <v/>
      </c>
      <c r="AD39" s="993" t="n"/>
      <c r="AE39" s="974" t="n"/>
      <c r="AF39" s="974" t="n"/>
      <c r="AG39" s="974" t="n"/>
      <c r="AH39" s="974" t="n"/>
      <c r="AI39" s="974" t="n"/>
      <c r="AJ39" s="975" t="n"/>
      <c r="AK39" s="994" t="n"/>
      <c r="AL39" s="974" t="n"/>
      <c r="AM39" s="974" t="n"/>
      <c r="AN39" s="974" t="n"/>
      <c r="AO39" s="974" t="n"/>
      <c r="AP39" s="974" t="n"/>
      <c r="AQ39" s="995" t="n"/>
      <c r="AR39" s="996" t="n"/>
      <c r="AS39" s="974" t="n"/>
      <c r="AT39" s="974" t="n"/>
      <c r="AU39" s="974" t="n"/>
      <c r="AV39" s="974" t="n"/>
      <c r="AW39" s="997" t="n"/>
      <c r="AX39" s="974" t="n"/>
      <c r="AY39" s="974" t="n"/>
      <c r="AZ39" s="974" t="n"/>
      <c r="BA39" s="974" t="n"/>
      <c r="BB39" s="974" t="n"/>
      <c r="BC39" s="975" t="n"/>
      <c r="BD39" s="997" t="n"/>
      <c r="BE39" s="974" t="n"/>
      <c r="BF39" s="974" t="n"/>
      <c r="BG39" s="974" t="n"/>
      <c r="BH39" s="974" t="n"/>
      <c r="BI39" s="975" t="n"/>
      <c r="BJ39" s="997" t="n"/>
      <c r="BK39" s="974" t="n"/>
      <c r="BL39" s="974" t="n"/>
      <c r="BM39" s="974" t="n"/>
      <c r="BN39" s="974" t="n"/>
      <c r="BO39" s="975" t="n"/>
      <c r="BP39" s="997" t="n"/>
      <c r="BQ39" s="974" t="n"/>
      <c r="BR39" s="974" t="n"/>
      <c r="BS39" s="974" t="n"/>
      <c r="BT39" s="975" t="n"/>
      <c r="BU39" s="997" t="n"/>
      <c r="BV39" s="974" t="n"/>
      <c r="BW39" s="974" t="n"/>
      <c r="BX39" s="974" t="n"/>
      <c r="BY39" s="974" t="n"/>
      <c r="BZ39" s="998" t="n"/>
    </row>
    <row r="40" ht="16.5" customHeight="1" s="838">
      <c r="B40" s="756" t="n"/>
      <c r="C40" s="738" t="n"/>
      <c r="D40" s="737" t="inlineStr">
        <is>
          <t>지역3</t>
        </is>
      </c>
      <c r="E40" s="734" t="n"/>
      <c r="F40" s="220" t="inlineStr">
        <is>
          <t>`26 목표</t>
        </is>
      </c>
      <c r="G40" s="982">
        <f>(G94-G95)*G98</f>
        <v/>
      </c>
      <c r="H40" s="983">
        <f>(H94-H95)*H98</f>
        <v/>
      </c>
      <c r="I40" s="983">
        <f>(I94-I95)*I98</f>
        <v/>
      </c>
      <c r="J40" s="983">
        <f>(J94-J95)*J98</f>
        <v/>
      </c>
      <c r="K40" s="983">
        <f>(K94-K95)*K98</f>
        <v/>
      </c>
      <c r="L40" s="983">
        <f>(L94-L95)*L98</f>
        <v/>
      </c>
      <c r="M40" s="982">
        <f>(M94-M95)*M98</f>
        <v/>
      </c>
      <c r="N40" s="983">
        <f>(N94-N95)*N98</f>
        <v/>
      </c>
      <c r="O40" s="983">
        <f>(O94-O95)*O98</f>
        <v/>
      </c>
      <c r="P40" s="983">
        <f>(P94-P95)*P98</f>
        <v/>
      </c>
      <c r="Q40" s="984">
        <f>(Q94-Q95)*Q98</f>
        <v/>
      </c>
      <c r="R40" s="985">
        <f>(R94-R95)*R98</f>
        <v/>
      </c>
      <c r="S40" s="983">
        <f>(S94-S95)*S98</f>
        <v/>
      </c>
      <c r="T40" s="983">
        <f>(T94-T95)*T98</f>
        <v/>
      </c>
      <c r="U40" s="983">
        <f>(U94-U95)*U98</f>
        <v/>
      </c>
      <c r="V40" s="983">
        <f>(V94-V95)*V98</f>
        <v/>
      </c>
      <c r="W40" s="983">
        <f>(W94-W95)*W98</f>
        <v/>
      </c>
      <c r="X40" s="982">
        <f>(X94-X95)*X98</f>
        <v/>
      </c>
      <c r="Y40" s="983">
        <f>(Y94-Y95)*Y98</f>
        <v/>
      </c>
      <c r="Z40" s="983">
        <f>(Z94-Z95)*Z98</f>
        <v/>
      </c>
      <c r="AA40" s="983">
        <f>(AA94-AA95)*AA98</f>
        <v/>
      </c>
      <c r="AB40" s="983">
        <f>(AB94-AB95)*AB98</f>
        <v/>
      </c>
      <c r="AC40" s="984">
        <f>(AC94-AC95)*AC98</f>
        <v/>
      </c>
      <c r="AD40" s="986" t="n"/>
      <c r="AE40" s="983" t="n"/>
      <c r="AF40" s="983" t="n"/>
      <c r="AG40" s="983" t="n"/>
      <c r="AH40" s="983" t="n"/>
      <c r="AI40" s="983" t="n"/>
      <c r="AJ40" s="984" t="n"/>
      <c r="AK40" s="987" t="n"/>
      <c r="AL40" s="983" t="n"/>
      <c r="AM40" s="983" t="n"/>
      <c r="AN40" s="983" t="n"/>
      <c r="AO40" s="983" t="n"/>
      <c r="AP40" s="983" t="n"/>
      <c r="AQ40" s="988" t="n"/>
      <c r="AR40" s="989" t="n"/>
      <c r="AS40" s="983" t="n"/>
      <c r="AT40" s="983" t="n"/>
      <c r="AU40" s="983" t="n"/>
      <c r="AV40" s="983" t="n"/>
      <c r="AW40" s="990" t="n"/>
      <c r="AX40" s="983" t="n"/>
      <c r="AY40" s="983" t="n"/>
      <c r="AZ40" s="983" t="n"/>
      <c r="BA40" s="983" t="n"/>
      <c r="BB40" s="983" t="n"/>
      <c r="BC40" s="984" t="n"/>
      <c r="BD40" s="990" t="n"/>
      <c r="BE40" s="983" t="n"/>
      <c r="BF40" s="983" t="n"/>
      <c r="BG40" s="983" t="n"/>
      <c r="BH40" s="983" t="n"/>
      <c r="BI40" s="984" t="n"/>
      <c r="BJ40" s="990" t="n"/>
      <c r="BK40" s="983" t="n"/>
      <c r="BL40" s="983" t="n"/>
      <c r="BM40" s="983" t="n"/>
      <c r="BN40" s="983" t="n"/>
      <c r="BO40" s="984" t="n"/>
      <c r="BP40" s="990" t="n"/>
      <c r="BQ40" s="983" t="n"/>
      <c r="BR40" s="983" t="n"/>
      <c r="BS40" s="983" t="n"/>
      <c r="BT40" s="984" t="n"/>
      <c r="BU40" s="990" t="n"/>
      <c r="BV40" s="983" t="n"/>
      <c r="BW40" s="983" t="n"/>
      <c r="BX40" s="983" t="n"/>
      <c r="BY40" s="983" t="n"/>
      <c r="BZ40" s="991" t="n"/>
    </row>
    <row r="41" ht="16.5" customHeight="1" s="838">
      <c r="B41" s="756" t="n"/>
      <c r="C41" s="738" t="n"/>
      <c r="D41" s="735" t="n"/>
      <c r="E41" s="736" t="n"/>
      <c r="F41" s="134" t="inlineStr">
        <is>
          <t>`26 실적</t>
        </is>
      </c>
      <c r="G41" s="973">
        <f>(G94-G96)*G99</f>
        <v/>
      </c>
      <c r="H41" s="974">
        <f>(H94-H96)*H99</f>
        <v/>
      </c>
      <c r="I41" s="974">
        <f>(I94-I96)*I99</f>
        <v/>
      </c>
      <c r="J41" s="974">
        <f>(J94-J96)*J99</f>
        <v/>
      </c>
      <c r="K41" s="974">
        <f>(K94-K96)*K99</f>
        <v/>
      </c>
      <c r="L41" s="974">
        <f>(L94-L96)*L99</f>
        <v/>
      </c>
      <c r="M41" s="973">
        <f>(M94-M96)*M99</f>
        <v/>
      </c>
      <c r="N41" s="974">
        <f>(N94-N96)*N99</f>
        <v/>
      </c>
      <c r="O41" s="974">
        <f>(O94-O96)*O99</f>
        <v/>
      </c>
      <c r="P41" s="974">
        <f>(P94-P96)*P99</f>
        <v/>
      </c>
      <c r="Q41" s="975">
        <f>(Q94-Q96)*Q99</f>
        <v/>
      </c>
      <c r="R41" s="992">
        <f>(R94-R96)*R99</f>
        <v/>
      </c>
      <c r="S41" s="974">
        <f>(S94-S96)*S99</f>
        <v/>
      </c>
      <c r="T41" s="974">
        <f>(T94-T96)*T99</f>
        <v/>
      </c>
      <c r="U41" s="974">
        <f>(U94-U96)*U99</f>
        <v/>
      </c>
      <c r="V41" s="974">
        <f>(V94-V96)*V99</f>
        <v/>
      </c>
      <c r="W41" s="974">
        <f>(W94-W96)*W99</f>
        <v/>
      </c>
      <c r="X41" s="973">
        <f>(X94-X96)*X99</f>
        <v/>
      </c>
      <c r="Y41" s="974">
        <f>(Y94-Y96)*Y99</f>
        <v/>
      </c>
      <c r="Z41" s="974">
        <f>(Z94-Z96)*Z99</f>
        <v/>
      </c>
      <c r="AA41" s="974">
        <f>(AA94-AA96)*AA99</f>
        <v/>
      </c>
      <c r="AB41" s="974">
        <f>(AB94-AB96)*AB99</f>
        <v/>
      </c>
      <c r="AC41" s="975">
        <f>(AC94-AC96)*AC99</f>
        <v/>
      </c>
      <c r="AD41" s="993" t="n"/>
      <c r="AE41" s="974" t="n"/>
      <c r="AF41" s="974" t="n"/>
      <c r="AG41" s="974" t="n"/>
      <c r="AH41" s="974" t="n"/>
      <c r="AI41" s="974" t="n"/>
      <c r="AJ41" s="975" t="n"/>
      <c r="AK41" s="994" t="n"/>
      <c r="AL41" s="974" t="n"/>
      <c r="AM41" s="974" t="n"/>
      <c r="AN41" s="974" t="n"/>
      <c r="AO41" s="974" t="n"/>
      <c r="AP41" s="974" t="n"/>
      <c r="AQ41" s="995" t="n"/>
      <c r="AR41" s="996" t="n"/>
      <c r="AS41" s="974" t="n"/>
      <c r="AT41" s="974" t="n"/>
      <c r="AU41" s="974" t="n"/>
      <c r="AV41" s="974" t="n"/>
      <c r="AW41" s="997" t="n"/>
      <c r="AX41" s="974" t="n"/>
      <c r="AY41" s="974" t="n"/>
      <c r="AZ41" s="974" t="n"/>
      <c r="BA41" s="974" t="n"/>
      <c r="BB41" s="974" t="n"/>
      <c r="BC41" s="975" t="n"/>
      <c r="BD41" s="997" t="n"/>
      <c r="BE41" s="974" t="n"/>
      <c r="BF41" s="974" t="n"/>
      <c r="BG41" s="974" t="n"/>
      <c r="BH41" s="974" t="n"/>
      <c r="BI41" s="975" t="n"/>
      <c r="BJ41" s="997" t="n"/>
      <c r="BK41" s="974" t="n"/>
      <c r="BL41" s="974" t="n"/>
      <c r="BM41" s="974" t="n"/>
      <c r="BN41" s="974" t="n"/>
      <c r="BO41" s="975" t="n"/>
      <c r="BP41" s="997" t="n"/>
      <c r="BQ41" s="974" t="n"/>
      <c r="BR41" s="974" t="n"/>
      <c r="BS41" s="974" t="n"/>
      <c r="BT41" s="975" t="n"/>
      <c r="BU41" s="997" t="n"/>
      <c r="BV41" s="974" t="n"/>
      <c r="BW41" s="974" t="n"/>
      <c r="BX41" s="974" t="n"/>
      <c r="BY41" s="974" t="n"/>
      <c r="BZ41" s="998" t="n"/>
    </row>
    <row r="42" ht="16.5" customHeight="1" s="838">
      <c r="B42" s="756" t="n"/>
      <c r="C42" s="738" t="n"/>
      <c r="D42" s="737" t="inlineStr">
        <is>
          <t>지역4</t>
        </is>
      </c>
      <c r="E42" s="734" t="n"/>
      <c r="F42" s="220" t="inlineStr">
        <is>
          <t>`26 목표</t>
        </is>
      </c>
      <c r="G42" s="982">
        <f>(G103-G104)*G107</f>
        <v/>
      </c>
      <c r="H42" s="983">
        <f>(H103-H104)*H107</f>
        <v/>
      </c>
      <c r="I42" s="983">
        <f>(I103-I104)*I107</f>
        <v/>
      </c>
      <c r="J42" s="983">
        <f>(J103-J104)*J107</f>
        <v/>
      </c>
      <c r="K42" s="983">
        <f>(K103-K104)*K107</f>
        <v/>
      </c>
      <c r="L42" s="983">
        <f>(L103-L104)*L107</f>
        <v/>
      </c>
      <c r="M42" s="982">
        <f>(M103-M104)*M107</f>
        <v/>
      </c>
      <c r="N42" s="983">
        <f>(N103-N104)*N107</f>
        <v/>
      </c>
      <c r="O42" s="983">
        <f>(O103-O104)*O107</f>
        <v/>
      </c>
      <c r="P42" s="983">
        <f>(P103-P104)*P107</f>
        <v/>
      </c>
      <c r="Q42" s="984">
        <f>(Q103-Q104)*Q107</f>
        <v/>
      </c>
      <c r="R42" s="985">
        <f>(R103-R104)*R107</f>
        <v/>
      </c>
      <c r="S42" s="983">
        <f>(S103-S104)*S107</f>
        <v/>
      </c>
      <c r="T42" s="983">
        <f>(T103-T104)*T107</f>
        <v/>
      </c>
      <c r="U42" s="983">
        <f>(U103-U104)*U107</f>
        <v/>
      </c>
      <c r="V42" s="983">
        <f>(V103-V104)*V107</f>
        <v/>
      </c>
      <c r="W42" s="983">
        <f>(W103-W104)*W107</f>
        <v/>
      </c>
      <c r="X42" s="982">
        <f>(X103-X104)*X107</f>
        <v/>
      </c>
      <c r="Y42" s="983">
        <f>(Y103-Y104)*Y107</f>
        <v/>
      </c>
      <c r="Z42" s="983">
        <f>(Z103-Z104)*Z107</f>
        <v/>
      </c>
      <c r="AA42" s="983">
        <f>(AA103-AA104)*AA107</f>
        <v/>
      </c>
      <c r="AB42" s="983">
        <f>(AB103-AB104)*AB107</f>
        <v/>
      </c>
      <c r="AC42" s="984">
        <f>(AC103-AC104)*AC107</f>
        <v/>
      </c>
      <c r="AD42" s="986" t="n"/>
      <c r="AE42" s="983" t="n"/>
      <c r="AF42" s="983" t="n"/>
      <c r="AG42" s="983" t="n"/>
      <c r="AH42" s="983" t="n"/>
      <c r="AI42" s="983" t="n"/>
      <c r="AJ42" s="984" t="n"/>
      <c r="AK42" s="987" t="n"/>
      <c r="AL42" s="983" t="n"/>
      <c r="AM42" s="983" t="n"/>
      <c r="AN42" s="983" t="n"/>
      <c r="AO42" s="983" t="n"/>
      <c r="AP42" s="983" t="n"/>
      <c r="AQ42" s="988" t="n"/>
      <c r="AR42" s="989" t="n"/>
      <c r="AS42" s="983" t="n"/>
      <c r="AT42" s="983" t="n"/>
      <c r="AU42" s="983" t="n"/>
      <c r="AV42" s="983" t="n"/>
      <c r="AW42" s="990" t="n"/>
      <c r="AX42" s="983" t="n"/>
      <c r="AY42" s="983" t="n"/>
      <c r="AZ42" s="983" t="n"/>
      <c r="BA42" s="983" t="n"/>
      <c r="BB42" s="983" t="n"/>
      <c r="BC42" s="984" t="n"/>
      <c r="BD42" s="990" t="n"/>
      <c r="BE42" s="983" t="n"/>
      <c r="BF42" s="983" t="n"/>
      <c r="BG42" s="983" t="n"/>
      <c r="BH42" s="983" t="n"/>
      <c r="BI42" s="984" t="n"/>
      <c r="BJ42" s="990" t="n"/>
      <c r="BK42" s="983" t="n"/>
      <c r="BL42" s="983" t="n"/>
      <c r="BM42" s="983" t="n"/>
      <c r="BN42" s="983" t="n"/>
      <c r="BO42" s="984" t="n"/>
      <c r="BP42" s="990" t="n"/>
      <c r="BQ42" s="983" t="n"/>
      <c r="BR42" s="983" t="n"/>
      <c r="BS42" s="983" t="n"/>
      <c r="BT42" s="984" t="n"/>
      <c r="BU42" s="990" t="n"/>
      <c r="BV42" s="983" t="n"/>
      <c r="BW42" s="983" t="n"/>
      <c r="BX42" s="983" t="n"/>
      <c r="BY42" s="983" t="n"/>
      <c r="BZ42" s="991" t="n"/>
    </row>
    <row r="43" ht="16.5" customHeight="1" s="838">
      <c r="B43" s="756" t="n"/>
      <c r="C43" s="738" t="n"/>
      <c r="D43" s="735" t="n"/>
      <c r="E43" s="736" t="n"/>
      <c r="F43" s="134" t="inlineStr">
        <is>
          <t>`26 실적</t>
        </is>
      </c>
      <c r="G43" s="973">
        <f>(G103-G105)*G108</f>
        <v/>
      </c>
      <c r="H43" s="974">
        <f>(H103-H105)*H108</f>
        <v/>
      </c>
      <c r="I43" s="974">
        <f>(I103-I105)*I108</f>
        <v/>
      </c>
      <c r="J43" s="974">
        <f>(J103-J105)*J108</f>
        <v/>
      </c>
      <c r="K43" s="974">
        <f>(K103-K105)*K108</f>
        <v/>
      </c>
      <c r="L43" s="974">
        <f>(L103-L105)*L108</f>
        <v/>
      </c>
      <c r="M43" s="973">
        <f>(M103-M105)*M108</f>
        <v/>
      </c>
      <c r="N43" s="974">
        <f>(N103-N105)*N108</f>
        <v/>
      </c>
      <c r="O43" s="974">
        <f>(O103-O105)*O108</f>
        <v/>
      </c>
      <c r="P43" s="974">
        <f>(P103-P105)*P108</f>
        <v/>
      </c>
      <c r="Q43" s="975">
        <f>(Q103-Q105)*Q108</f>
        <v/>
      </c>
      <c r="R43" s="992">
        <f>(R103-R105)*R108</f>
        <v/>
      </c>
      <c r="S43" s="974">
        <f>(S103-S105)*S108</f>
        <v/>
      </c>
      <c r="T43" s="974">
        <f>(T103-T105)*T108</f>
        <v/>
      </c>
      <c r="U43" s="974">
        <f>(U103-U105)*U108</f>
        <v/>
      </c>
      <c r="V43" s="974">
        <f>(V103-V105)*V108</f>
        <v/>
      </c>
      <c r="W43" s="974">
        <f>(W103-W105)*W108</f>
        <v/>
      </c>
      <c r="X43" s="973">
        <f>(X103-X105)*X108</f>
        <v/>
      </c>
      <c r="Y43" s="974">
        <f>(Y103-Y105)*Y108</f>
        <v/>
      </c>
      <c r="Z43" s="974">
        <f>(Z103-Z105)*Z108</f>
        <v/>
      </c>
      <c r="AA43" s="974">
        <f>(AA103-AA105)*AA108</f>
        <v/>
      </c>
      <c r="AB43" s="974">
        <f>(AB103-AB105)*AB108</f>
        <v/>
      </c>
      <c r="AC43" s="975">
        <f>(AC103-AC105)*AC108</f>
        <v/>
      </c>
      <c r="AD43" s="993" t="n"/>
      <c r="AE43" s="974" t="n"/>
      <c r="AF43" s="974" t="n"/>
      <c r="AG43" s="974" t="n"/>
      <c r="AH43" s="974" t="n"/>
      <c r="AI43" s="974" t="n"/>
      <c r="AJ43" s="975" t="n"/>
      <c r="AK43" s="994" t="n"/>
      <c r="AL43" s="974" t="n"/>
      <c r="AM43" s="974" t="n"/>
      <c r="AN43" s="974" t="n"/>
      <c r="AO43" s="974" t="n"/>
      <c r="AP43" s="974" t="n"/>
      <c r="AQ43" s="995" t="n"/>
      <c r="AR43" s="996" t="n"/>
      <c r="AS43" s="974" t="n"/>
      <c r="AT43" s="974" t="n"/>
      <c r="AU43" s="974" t="n"/>
      <c r="AV43" s="974" t="n"/>
      <c r="AW43" s="997" t="n"/>
      <c r="AX43" s="974" t="n"/>
      <c r="AY43" s="974" t="n"/>
      <c r="AZ43" s="974" t="n"/>
      <c r="BA43" s="974" t="n"/>
      <c r="BB43" s="974" t="n"/>
      <c r="BC43" s="975" t="n"/>
      <c r="BD43" s="997" t="n"/>
      <c r="BE43" s="974" t="n"/>
      <c r="BF43" s="974" t="n"/>
      <c r="BG43" s="974" t="n"/>
      <c r="BH43" s="974" t="n"/>
      <c r="BI43" s="975" t="n"/>
      <c r="BJ43" s="997" t="n"/>
      <c r="BK43" s="974" t="n"/>
      <c r="BL43" s="974" t="n"/>
      <c r="BM43" s="974" t="n"/>
      <c r="BN43" s="974" t="n"/>
      <c r="BO43" s="975" t="n"/>
      <c r="BP43" s="997" t="n"/>
      <c r="BQ43" s="974" t="n"/>
      <c r="BR43" s="974" t="n"/>
      <c r="BS43" s="974" t="n"/>
      <c r="BT43" s="975" t="n"/>
      <c r="BU43" s="997" t="n"/>
      <c r="BV43" s="974" t="n"/>
      <c r="BW43" s="974" t="n"/>
      <c r="BX43" s="974" t="n"/>
      <c r="BY43" s="974" t="n"/>
      <c r="BZ43" s="998" t="n"/>
    </row>
    <row r="44" ht="16.5" customHeight="1" s="838">
      <c r="B44" s="756" t="n"/>
      <c r="C44" s="738" t="n"/>
      <c r="D44" s="737" t="inlineStr">
        <is>
          <t>지역5</t>
        </is>
      </c>
      <c r="E44" s="734" t="n"/>
      <c r="F44" s="220" t="inlineStr">
        <is>
          <t>`26 목표</t>
        </is>
      </c>
      <c r="G44" s="982">
        <f>(G112-G113)*G116</f>
        <v/>
      </c>
      <c r="H44" s="983">
        <f>(H112-H113)*H116</f>
        <v/>
      </c>
      <c r="I44" s="983">
        <f>(I112-I113)*I116</f>
        <v/>
      </c>
      <c r="J44" s="983">
        <f>(J112-J113)*J116</f>
        <v/>
      </c>
      <c r="K44" s="983">
        <f>(K112-K113)*K116</f>
        <v/>
      </c>
      <c r="L44" s="983">
        <f>(L112-L113)*L116</f>
        <v/>
      </c>
      <c r="M44" s="982">
        <f>(M112-M113)*M116</f>
        <v/>
      </c>
      <c r="N44" s="983">
        <f>(N112-N113)*N116</f>
        <v/>
      </c>
      <c r="O44" s="983">
        <f>(O112-O113)*O116</f>
        <v/>
      </c>
      <c r="P44" s="983">
        <f>(P112-P113)*P116</f>
        <v/>
      </c>
      <c r="Q44" s="984">
        <f>(Q112-Q113)*Q116</f>
        <v/>
      </c>
      <c r="R44" s="985">
        <f>(R112-R113)*R116</f>
        <v/>
      </c>
      <c r="S44" s="983">
        <f>(S112-S113)*S116</f>
        <v/>
      </c>
      <c r="T44" s="983">
        <f>(T112-T113)*T116</f>
        <v/>
      </c>
      <c r="U44" s="983">
        <f>(U112-U113)*U116</f>
        <v/>
      </c>
      <c r="V44" s="983">
        <f>(V112-V113)*V116</f>
        <v/>
      </c>
      <c r="W44" s="983">
        <f>(W112-W113)*W116</f>
        <v/>
      </c>
      <c r="X44" s="982">
        <f>(X112-X113)*X116</f>
        <v/>
      </c>
      <c r="Y44" s="983">
        <f>(Y112-Y113)*Y116</f>
        <v/>
      </c>
      <c r="Z44" s="983">
        <f>(Z112-Z113)*Z116</f>
        <v/>
      </c>
      <c r="AA44" s="983">
        <f>(AA112-AA113)*AA116</f>
        <v/>
      </c>
      <c r="AB44" s="983">
        <f>(AB112-AB113)*AB116</f>
        <v/>
      </c>
      <c r="AC44" s="984">
        <f>(AC112-AC113)*AC116</f>
        <v/>
      </c>
      <c r="AD44" s="986" t="n"/>
      <c r="AE44" s="983" t="n"/>
      <c r="AF44" s="983" t="n"/>
      <c r="AG44" s="983" t="n"/>
      <c r="AH44" s="983" t="n"/>
      <c r="AI44" s="983" t="n"/>
      <c r="AJ44" s="984" t="n"/>
      <c r="AK44" s="987" t="n"/>
      <c r="AL44" s="983" t="n"/>
      <c r="AM44" s="983" t="n"/>
      <c r="AN44" s="983" t="n"/>
      <c r="AO44" s="983" t="n"/>
      <c r="AP44" s="983" t="n"/>
      <c r="AQ44" s="988" t="n"/>
      <c r="AR44" s="989" t="n"/>
      <c r="AS44" s="983" t="n"/>
      <c r="AT44" s="983" t="n"/>
      <c r="AU44" s="983" t="n"/>
      <c r="AV44" s="983" t="n"/>
      <c r="AW44" s="990" t="n"/>
      <c r="AX44" s="983" t="n"/>
      <c r="AY44" s="983" t="n"/>
      <c r="AZ44" s="983" t="n"/>
      <c r="BA44" s="983" t="n"/>
      <c r="BB44" s="983" t="n"/>
      <c r="BC44" s="984" t="n"/>
      <c r="BD44" s="990" t="n"/>
      <c r="BE44" s="983" t="n"/>
      <c r="BF44" s="983" t="n"/>
      <c r="BG44" s="983" t="n"/>
      <c r="BH44" s="983" t="n"/>
      <c r="BI44" s="984" t="n"/>
      <c r="BJ44" s="990" t="n"/>
      <c r="BK44" s="983" t="n"/>
      <c r="BL44" s="983" t="n"/>
      <c r="BM44" s="983" t="n"/>
      <c r="BN44" s="983" t="n"/>
      <c r="BO44" s="984" t="n"/>
      <c r="BP44" s="990" t="n"/>
      <c r="BQ44" s="983" t="n"/>
      <c r="BR44" s="983" t="n"/>
      <c r="BS44" s="983" t="n"/>
      <c r="BT44" s="984" t="n"/>
      <c r="BU44" s="990" t="n"/>
      <c r="BV44" s="983" t="n"/>
      <c r="BW44" s="983" t="n"/>
      <c r="BX44" s="983" t="n"/>
      <c r="BY44" s="983" t="n"/>
      <c r="BZ44" s="991" t="n"/>
    </row>
    <row r="45" ht="16.5" customHeight="1" s="838">
      <c r="B45" s="756" t="n"/>
      <c r="C45" s="738" t="n"/>
      <c r="D45" s="735" t="n"/>
      <c r="E45" s="736" t="n"/>
      <c r="F45" s="134" t="inlineStr">
        <is>
          <t>`26 실적</t>
        </is>
      </c>
      <c r="G45" s="973">
        <f>(G112-G114)*G117</f>
        <v/>
      </c>
      <c r="H45" s="974">
        <f>(H112-H114)*H117</f>
        <v/>
      </c>
      <c r="I45" s="974">
        <f>(I112-I114)*I117</f>
        <v/>
      </c>
      <c r="J45" s="974">
        <f>(J112-J114)*J117</f>
        <v/>
      </c>
      <c r="K45" s="974">
        <f>(K112-K114)*K117</f>
        <v/>
      </c>
      <c r="L45" s="974">
        <f>(L112-L114)*L117</f>
        <v/>
      </c>
      <c r="M45" s="973">
        <f>(M112-M114)*M117</f>
        <v/>
      </c>
      <c r="N45" s="974">
        <f>(N112-N114)*N117</f>
        <v/>
      </c>
      <c r="O45" s="974">
        <f>(O112-O114)*O117</f>
        <v/>
      </c>
      <c r="P45" s="974">
        <f>(P112-P114)*P117</f>
        <v/>
      </c>
      <c r="Q45" s="975">
        <f>(Q112-Q114)*Q117</f>
        <v/>
      </c>
      <c r="R45" s="992">
        <f>(R112-R114)*R117</f>
        <v/>
      </c>
      <c r="S45" s="974">
        <f>(S112-S114)*S117</f>
        <v/>
      </c>
      <c r="T45" s="974">
        <f>(T112-T114)*T117</f>
        <v/>
      </c>
      <c r="U45" s="974">
        <f>(U112-U114)*U117</f>
        <v/>
      </c>
      <c r="V45" s="974">
        <f>(V112-V114)*V117</f>
        <v/>
      </c>
      <c r="W45" s="974">
        <f>(W112-W114)*W117</f>
        <v/>
      </c>
      <c r="X45" s="973">
        <f>(X112-X114)*X117</f>
        <v/>
      </c>
      <c r="Y45" s="974">
        <f>(Y112-Y114)*Y117</f>
        <v/>
      </c>
      <c r="Z45" s="974">
        <f>(Z112-Z114)*Z117</f>
        <v/>
      </c>
      <c r="AA45" s="974">
        <f>(AA112-AA114)*AA117</f>
        <v/>
      </c>
      <c r="AB45" s="974">
        <f>(AB112-AB114)*AB117</f>
        <v/>
      </c>
      <c r="AC45" s="975">
        <f>(AC112-AC114)*AC117</f>
        <v/>
      </c>
      <c r="AD45" s="993" t="n"/>
      <c r="AE45" s="974" t="n"/>
      <c r="AF45" s="974" t="n"/>
      <c r="AG45" s="974" t="n"/>
      <c r="AH45" s="974" t="n"/>
      <c r="AI45" s="974" t="n"/>
      <c r="AJ45" s="975" t="n"/>
      <c r="AK45" s="994" t="n"/>
      <c r="AL45" s="974" t="n"/>
      <c r="AM45" s="974" t="n"/>
      <c r="AN45" s="974" t="n"/>
      <c r="AO45" s="974" t="n"/>
      <c r="AP45" s="974" t="n"/>
      <c r="AQ45" s="995" t="n"/>
      <c r="AR45" s="996" t="n"/>
      <c r="AS45" s="974" t="n"/>
      <c r="AT45" s="974" t="n"/>
      <c r="AU45" s="974" t="n"/>
      <c r="AV45" s="974" t="n"/>
      <c r="AW45" s="997" t="n"/>
      <c r="AX45" s="974" t="n"/>
      <c r="AY45" s="974" t="n"/>
      <c r="AZ45" s="974" t="n"/>
      <c r="BA45" s="974" t="n"/>
      <c r="BB45" s="974" t="n"/>
      <c r="BC45" s="975" t="n"/>
      <c r="BD45" s="997" t="n"/>
      <c r="BE45" s="974" t="n"/>
      <c r="BF45" s="974" t="n"/>
      <c r="BG45" s="974" t="n"/>
      <c r="BH45" s="974" t="n"/>
      <c r="BI45" s="975" t="n"/>
      <c r="BJ45" s="997" t="n"/>
      <c r="BK45" s="974" t="n"/>
      <c r="BL45" s="974" t="n"/>
      <c r="BM45" s="974" t="n"/>
      <c r="BN45" s="974" t="n"/>
      <c r="BO45" s="975" t="n"/>
      <c r="BP45" s="997" t="n"/>
      <c r="BQ45" s="974" t="n"/>
      <c r="BR45" s="974" t="n"/>
      <c r="BS45" s="974" t="n"/>
      <c r="BT45" s="975" t="n"/>
      <c r="BU45" s="997" t="n"/>
      <c r="BV45" s="974" t="n"/>
      <c r="BW45" s="974" t="n"/>
      <c r="BX45" s="974" t="n"/>
      <c r="BY45" s="974" t="n"/>
      <c r="BZ45" s="998" t="n"/>
    </row>
    <row r="46" ht="16.5" customHeight="1" s="838">
      <c r="B46" s="756" t="n"/>
      <c r="C46" s="738" t="n"/>
      <c r="D46" s="737" t="inlineStr">
        <is>
          <t>지역6</t>
        </is>
      </c>
      <c r="E46" s="734" t="n"/>
      <c r="F46" s="220" t="inlineStr">
        <is>
          <t>`26 목표</t>
        </is>
      </c>
      <c r="G46" s="982">
        <f>(G121-G122)*G125</f>
        <v/>
      </c>
      <c r="H46" s="983">
        <f>(H121-H122)*H125</f>
        <v/>
      </c>
      <c r="I46" s="983">
        <f>(I121-I122)*I125</f>
        <v/>
      </c>
      <c r="J46" s="983">
        <f>(J121-J122)*J125</f>
        <v/>
      </c>
      <c r="K46" s="983">
        <f>(K121-K122)*K125</f>
        <v/>
      </c>
      <c r="L46" s="984">
        <f>(L121-L122)*L125</f>
        <v/>
      </c>
      <c r="M46" s="986">
        <f>(M121-M122)*M125</f>
        <v/>
      </c>
      <c r="N46" s="983">
        <f>(N121-N122)*N125</f>
        <v/>
      </c>
      <c r="O46" s="983">
        <f>(O121-O122)*O125</f>
        <v/>
      </c>
      <c r="P46" s="983">
        <f>(P121-P122)*P125</f>
        <v/>
      </c>
      <c r="Q46" s="984">
        <f>(Q121-Q122)*Q125</f>
        <v/>
      </c>
      <c r="R46" s="985">
        <f>(R121-R122)*R125</f>
        <v/>
      </c>
      <c r="S46" s="983">
        <f>(S121-S122)*S125</f>
        <v/>
      </c>
      <c r="T46" s="983">
        <f>(T121-T122)*T125</f>
        <v/>
      </c>
      <c r="U46" s="983">
        <f>(U121-U122)*U125</f>
        <v/>
      </c>
      <c r="V46" s="983">
        <f>(V121-V122)*V125</f>
        <v/>
      </c>
      <c r="W46" s="983">
        <f>(W121-W122)*W125</f>
        <v/>
      </c>
      <c r="X46" s="982">
        <f>(X121-X122)*X125</f>
        <v/>
      </c>
      <c r="Y46" s="983">
        <f>(Y121-Y122)*Y125</f>
        <v/>
      </c>
      <c r="Z46" s="983">
        <f>(Z121-Z122)*Z125</f>
        <v/>
      </c>
      <c r="AA46" s="983">
        <f>(AA121-AA122)*AA125</f>
        <v/>
      </c>
      <c r="AB46" s="983">
        <f>(AB121-AB122)*AB125</f>
        <v/>
      </c>
      <c r="AC46" s="984">
        <f>(AC121-AC122)*AC125</f>
        <v/>
      </c>
      <c r="AD46" s="986" t="n"/>
      <c r="AE46" s="983" t="n"/>
      <c r="AF46" s="983" t="n"/>
      <c r="AG46" s="983" t="n"/>
      <c r="AH46" s="983" t="n"/>
      <c r="AI46" s="983" t="n"/>
      <c r="AJ46" s="984" t="n"/>
      <c r="AK46" s="987" t="n"/>
      <c r="AL46" s="983" t="n"/>
      <c r="AM46" s="983" t="n"/>
      <c r="AN46" s="983" t="n"/>
      <c r="AO46" s="983" t="n"/>
      <c r="AP46" s="983" t="n"/>
      <c r="AQ46" s="988" t="n"/>
      <c r="AR46" s="989" t="n"/>
      <c r="AS46" s="983" t="n"/>
      <c r="AT46" s="983" t="n"/>
      <c r="AU46" s="983" t="n"/>
      <c r="AV46" s="983" t="n"/>
      <c r="AW46" s="990" t="n"/>
      <c r="AX46" s="983" t="n"/>
      <c r="AY46" s="983" t="n"/>
      <c r="AZ46" s="983" t="n"/>
      <c r="BA46" s="983" t="n"/>
      <c r="BB46" s="983" t="n"/>
      <c r="BC46" s="984" t="n"/>
      <c r="BD46" s="990" t="n"/>
      <c r="BE46" s="983" t="n"/>
      <c r="BF46" s="983" t="n"/>
      <c r="BG46" s="983" t="n"/>
      <c r="BH46" s="983" t="n"/>
      <c r="BI46" s="984" t="n"/>
      <c r="BJ46" s="990" t="n"/>
      <c r="BK46" s="983" t="n"/>
      <c r="BL46" s="983" t="n"/>
      <c r="BM46" s="983" t="n"/>
      <c r="BN46" s="983" t="n"/>
      <c r="BO46" s="984" t="n"/>
      <c r="BP46" s="990" t="n"/>
      <c r="BQ46" s="983" t="n"/>
      <c r="BR46" s="983" t="n"/>
      <c r="BS46" s="983" t="n"/>
      <c r="BT46" s="984" t="n"/>
      <c r="BU46" s="990" t="n"/>
      <c r="BV46" s="983" t="n"/>
      <c r="BW46" s="983" t="n"/>
      <c r="BX46" s="983" t="n"/>
      <c r="BY46" s="983" t="n"/>
      <c r="BZ46" s="991" t="n"/>
    </row>
    <row r="47" ht="16.5" customHeight="1" s="838">
      <c r="B47" s="756" t="n"/>
      <c r="C47" s="738" t="n"/>
      <c r="D47" s="735" t="n"/>
      <c r="E47" s="736" t="n"/>
      <c r="F47" s="134" t="inlineStr">
        <is>
          <t>`26 실적</t>
        </is>
      </c>
      <c r="G47" s="973">
        <f>(G121-G123)*G126</f>
        <v/>
      </c>
      <c r="H47" s="974">
        <f>(H121-H123)*H126</f>
        <v/>
      </c>
      <c r="I47" s="974">
        <f>(I121-I123)*I126</f>
        <v/>
      </c>
      <c r="J47" s="974">
        <f>(J121-J123)*J126</f>
        <v/>
      </c>
      <c r="K47" s="974">
        <f>(K121-K123)*K126</f>
        <v/>
      </c>
      <c r="L47" s="975">
        <f>(L121-L123)*L126</f>
        <v/>
      </c>
      <c r="M47" s="993">
        <f>(M121-M123)*M126</f>
        <v/>
      </c>
      <c r="N47" s="974">
        <f>(N121-N123)*N126</f>
        <v/>
      </c>
      <c r="O47" s="974">
        <f>(O121-O123)*O126</f>
        <v/>
      </c>
      <c r="P47" s="974">
        <f>(P121-P123)*P126</f>
        <v/>
      </c>
      <c r="Q47" s="975">
        <f>(Q121-Q123)*Q126</f>
        <v/>
      </c>
      <c r="R47" s="992">
        <f>(R121-R123)*R126</f>
        <v/>
      </c>
      <c r="S47" s="974">
        <f>(S121-S123)*S126</f>
        <v/>
      </c>
      <c r="T47" s="974">
        <f>(T121-T123)*T126</f>
        <v/>
      </c>
      <c r="U47" s="974">
        <f>(U121-U123)*U126</f>
        <v/>
      </c>
      <c r="V47" s="974">
        <f>(V121-V123)*V126</f>
        <v/>
      </c>
      <c r="W47" s="974">
        <f>(W121-W123)*W126</f>
        <v/>
      </c>
      <c r="X47" s="973">
        <f>(X121-X123)*X126</f>
        <v/>
      </c>
      <c r="Y47" s="974">
        <f>(Y121-Y123)*Y126</f>
        <v/>
      </c>
      <c r="Z47" s="974">
        <f>(Z121-Z123)*Z126</f>
        <v/>
      </c>
      <c r="AA47" s="974">
        <f>(AA121-AA123)*AA126</f>
        <v/>
      </c>
      <c r="AB47" s="974">
        <f>(AB121-AB123)*AB126</f>
        <v/>
      </c>
      <c r="AC47" s="975">
        <f>(AC121-AC123)*AC126</f>
        <v/>
      </c>
      <c r="AD47" s="993" t="n"/>
      <c r="AE47" s="974" t="n"/>
      <c r="AF47" s="974" t="n"/>
      <c r="AG47" s="974" t="n"/>
      <c r="AH47" s="974" t="n"/>
      <c r="AI47" s="974" t="n"/>
      <c r="AJ47" s="975" t="n"/>
      <c r="AK47" s="994" t="n"/>
      <c r="AL47" s="974" t="n"/>
      <c r="AM47" s="974" t="n"/>
      <c r="AN47" s="974" t="n"/>
      <c r="AO47" s="974" t="n"/>
      <c r="AP47" s="974" t="n"/>
      <c r="AQ47" s="995" t="n"/>
      <c r="AR47" s="996" t="n"/>
      <c r="AS47" s="974" t="n"/>
      <c r="AT47" s="974" t="n"/>
      <c r="AU47" s="974" t="n"/>
      <c r="AV47" s="974" t="n"/>
      <c r="AW47" s="997" t="n"/>
      <c r="AX47" s="974" t="n"/>
      <c r="AY47" s="974" t="n"/>
      <c r="AZ47" s="974" t="n"/>
      <c r="BA47" s="974" t="n"/>
      <c r="BB47" s="974" t="n"/>
      <c r="BC47" s="975" t="n"/>
      <c r="BD47" s="997" t="n"/>
      <c r="BE47" s="974" t="n"/>
      <c r="BF47" s="974" t="n"/>
      <c r="BG47" s="974" t="n"/>
      <c r="BH47" s="974" t="n"/>
      <c r="BI47" s="975" t="n"/>
      <c r="BJ47" s="997" t="n"/>
      <c r="BK47" s="974" t="n"/>
      <c r="BL47" s="974" t="n"/>
      <c r="BM47" s="974" t="n"/>
      <c r="BN47" s="974" t="n"/>
      <c r="BO47" s="975" t="n"/>
      <c r="BP47" s="997" t="n"/>
      <c r="BQ47" s="974" t="n"/>
      <c r="BR47" s="974" t="n"/>
      <c r="BS47" s="974" t="n"/>
      <c r="BT47" s="975" t="n"/>
      <c r="BU47" s="997" t="n"/>
      <c r="BV47" s="974" t="n"/>
      <c r="BW47" s="974" t="n"/>
      <c r="BX47" s="974" t="n"/>
      <c r="BY47" s="974" t="n"/>
      <c r="BZ47" s="998" t="n"/>
    </row>
    <row r="48" ht="16.5" customHeight="1" s="838">
      <c r="B48" s="756" t="n"/>
      <c r="C48" s="738" t="n"/>
      <c r="D48" s="737" t="inlineStr">
        <is>
          <t>지역7</t>
        </is>
      </c>
      <c r="E48" s="734" t="n"/>
      <c r="F48" s="220" t="inlineStr">
        <is>
          <t>`26 목표</t>
        </is>
      </c>
      <c r="G48" s="985">
        <f>(G130-G131)*G134</f>
        <v/>
      </c>
      <c r="H48" s="983">
        <f>(H130-H131)*H134</f>
        <v/>
      </c>
      <c r="I48" s="983">
        <f>(I130-I131)*I134</f>
        <v/>
      </c>
      <c r="J48" s="983">
        <f>(J130-J131)*J134</f>
        <v/>
      </c>
      <c r="K48" s="983">
        <f>(K130-K131)*K134</f>
        <v/>
      </c>
      <c r="L48" s="984">
        <f>(L130-L131)*L134</f>
        <v/>
      </c>
      <c r="M48" s="985">
        <f>(M130-M131)*M134</f>
        <v/>
      </c>
      <c r="N48" s="983">
        <f>(N130-N131)*N134</f>
        <v/>
      </c>
      <c r="O48" s="983">
        <f>(O130-O131)*O134</f>
        <v/>
      </c>
      <c r="P48" s="983">
        <f>(P130-P131)*P134</f>
        <v/>
      </c>
      <c r="Q48" s="984">
        <f>(Q130-Q131)*Q134</f>
        <v/>
      </c>
      <c r="R48" s="985">
        <f>(R130-R131)*R134</f>
        <v/>
      </c>
      <c r="S48" s="983">
        <f>(S130-S131)*S134</f>
        <v/>
      </c>
      <c r="T48" s="983">
        <f>(T130-T131)*T134</f>
        <v/>
      </c>
      <c r="U48" s="983">
        <f>(U130-U131)*U134</f>
        <v/>
      </c>
      <c r="V48" s="983">
        <f>(V130-V131)*V134</f>
        <v/>
      </c>
      <c r="W48" s="983">
        <f>(W130-W131)*W134</f>
        <v/>
      </c>
      <c r="X48" s="982">
        <f>(X130-X131)*X134</f>
        <v/>
      </c>
      <c r="Y48" s="983">
        <f>(Y130-Y131)*Y134</f>
        <v/>
      </c>
      <c r="Z48" s="983">
        <f>(Z130-Z131)*Z134</f>
        <v/>
      </c>
      <c r="AA48" s="983">
        <f>(AA130-AA131)*AA134</f>
        <v/>
      </c>
      <c r="AB48" s="983">
        <f>(AB130-AB131)*AB134</f>
        <v/>
      </c>
      <c r="AC48" s="984">
        <f>(AC130-AC131)*AC134</f>
        <v/>
      </c>
      <c r="AD48" s="986" t="n"/>
      <c r="AE48" s="983" t="n"/>
      <c r="AF48" s="983" t="n"/>
      <c r="AG48" s="983" t="n"/>
      <c r="AH48" s="983" t="n"/>
      <c r="AI48" s="983" t="n"/>
      <c r="AJ48" s="984" t="n"/>
      <c r="AK48" s="987" t="n"/>
      <c r="AL48" s="983" t="n"/>
      <c r="AM48" s="983" t="n"/>
      <c r="AN48" s="983" t="n"/>
      <c r="AO48" s="983" t="n"/>
      <c r="AP48" s="983" t="n"/>
      <c r="AQ48" s="988" t="n"/>
      <c r="AR48" s="989" t="n"/>
      <c r="AS48" s="983" t="n"/>
      <c r="AT48" s="983" t="n"/>
      <c r="AU48" s="983" t="n"/>
      <c r="AV48" s="983" t="n"/>
      <c r="AW48" s="990" t="n"/>
      <c r="AX48" s="983" t="n"/>
      <c r="AY48" s="983" t="n"/>
      <c r="AZ48" s="983" t="n"/>
      <c r="BA48" s="983" t="n"/>
      <c r="BB48" s="983" t="n"/>
      <c r="BC48" s="984" t="n"/>
      <c r="BD48" s="990" t="n"/>
      <c r="BE48" s="983" t="n"/>
      <c r="BF48" s="983" t="n"/>
      <c r="BG48" s="983" t="n"/>
      <c r="BH48" s="983" t="n"/>
      <c r="BI48" s="984" t="n"/>
      <c r="BJ48" s="990" t="n"/>
      <c r="BK48" s="983" t="n"/>
      <c r="BL48" s="983" t="n"/>
      <c r="BM48" s="983" t="n"/>
      <c r="BN48" s="983" t="n"/>
      <c r="BO48" s="984" t="n"/>
      <c r="BP48" s="990" t="n"/>
      <c r="BQ48" s="983" t="n"/>
      <c r="BR48" s="983" t="n"/>
      <c r="BS48" s="983" t="n"/>
      <c r="BT48" s="984" t="n"/>
      <c r="BU48" s="990" t="n"/>
      <c r="BV48" s="983" t="n"/>
      <c r="BW48" s="983" t="n"/>
      <c r="BX48" s="983" t="n"/>
      <c r="BY48" s="983" t="n"/>
      <c r="BZ48" s="991" t="n"/>
    </row>
    <row r="49" ht="16.5" customHeight="1" s="838">
      <c r="B49" s="756" t="n"/>
      <c r="C49" s="738" t="n"/>
      <c r="D49" s="735" t="n"/>
      <c r="E49" s="736" t="n"/>
      <c r="F49" s="134" t="inlineStr">
        <is>
          <t>`26 실적</t>
        </is>
      </c>
      <c r="G49" s="992">
        <f>(G130-G132)*G135</f>
        <v/>
      </c>
      <c r="H49" s="974">
        <f>(H130-H132)*H135</f>
        <v/>
      </c>
      <c r="I49" s="974">
        <f>(I130-I132)*I135</f>
        <v/>
      </c>
      <c r="J49" s="974">
        <f>(J130-J132)*J135</f>
        <v/>
      </c>
      <c r="K49" s="974">
        <f>(K130-K132)*K135</f>
        <v/>
      </c>
      <c r="L49" s="975">
        <f>(L130-L132)*L135</f>
        <v/>
      </c>
      <c r="M49" s="992">
        <f>(M130-M132)*M135</f>
        <v/>
      </c>
      <c r="N49" s="974">
        <f>(N130-N132)*N135</f>
        <v/>
      </c>
      <c r="O49" s="974">
        <f>(O130-O132)*O135</f>
        <v/>
      </c>
      <c r="P49" s="974">
        <f>(P130-P132)*P135</f>
        <v/>
      </c>
      <c r="Q49" s="975">
        <f>(Q130-Q132)*Q135</f>
        <v/>
      </c>
      <c r="R49" s="992">
        <f>(R130-R132)*R135</f>
        <v/>
      </c>
      <c r="S49" s="974">
        <f>(S130-S132)*S135</f>
        <v/>
      </c>
      <c r="T49" s="974">
        <f>(T130-T132)*T135</f>
        <v/>
      </c>
      <c r="U49" s="974">
        <f>(U130-U132)*U135</f>
        <v/>
      </c>
      <c r="V49" s="974">
        <f>(V130-V132)*V135</f>
        <v/>
      </c>
      <c r="W49" s="974">
        <f>(W130-W132)*W135</f>
        <v/>
      </c>
      <c r="X49" s="973">
        <f>(X130-X132)*X135</f>
        <v/>
      </c>
      <c r="Y49" s="974">
        <f>(Y130-Y132)*Y135</f>
        <v/>
      </c>
      <c r="Z49" s="974">
        <f>(Z130-Z132)*Z135</f>
        <v/>
      </c>
      <c r="AA49" s="974">
        <f>(AA130-AA132)*AA135</f>
        <v/>
      </c>
      <c r="AB49" s="974">
        <f>(AB130-AB132)*AB135</f>
        <v/>
      </c>
      <c r="AC49" s="975">
        <f>(AC130-AC132)*AC135</f>
        <v/>
      </c>
      <c r="AD49" s="993" t="n"/>
      <c r="AE49" s="974" t="n"/>
      <c r="AF49" s="974" t="n"/>
      <c r="AG49" s="974" t="n"/>
      <c r="AH49" s="974" t="n"/>
      <c r="AI49" s="974" t="n"/>
      <c r="AJ49" s="975" t="n"/>
      <c r="AK49" s="994" t="n"/>
      <c r="AL49" s="974" t="n"/>
      <c r="AM49" s="974" t="n"/>
      <c r="AN49" s="974" t="n"/>
      <c r="AO49" s="974" t="n"/>
      <c r="AP49" s="974" t="n"/>
      <c r="AQ49" s="995" t="n"/>
      <c r="AR49" s="996" t="n"/>
      <c r="AS49" s="974" t="n"/>
      <c r="AT49" s="974" t="n"/>
      <c r="AU49" s="974" t="n"/>
      <c r="AV49" s="974" t="n"/>
      <c r="AW49" s="997" t="n"/>
      <c r="AX49" s="974" t="n"/>
      <c r="AY49" s="974" t="n"/>
      <c r="AZ49" s="974" t="n"/>
      <c r="BA49" s="974" t="n"/>
      <c r="BB49" s="974" t="n"/>
      <c r="BC49" s="975" t="n"/>
      <c r="BD49" s="997" t="n"/>
      <c r="BE49" s="974" t="n"/>
      <c r="BF49" s="974" t="n"/>
      <c r="BG49" s="974" t="n"/>
      <c r="BH49" s="974" t="n"/>
      <c r="BI49" s="975" t="n"/>
      <c r="BJ49" s="997" t="n"/>
      <c r="BK49" s="974" t="n"/>
      <c r="BL49" s="974" t="n"/>
      <c r="BM49" s="974" t="n"/>
      <c r="BN49" s="974" t="n"/>
      <c r="BO49" s="975" t="n"/>
      <c r="BP49" s="997" t="n"/>
      <c r="BQ49" s="974" t="n"/>
      <c r="BR49" s="974" t="n"/>
      <c r="BS49" s="974" t="n"/>
      <c r="BT49" s="975" t="n"/>
      <c r="BU49" s="997" t="n"/>
      <c r="BV49" s="974" t="n"/>
      <c r="BW49" s="974" t="n"/>
      <c r="BX49" s="974" t="n"/>
      <c r="BY49" s="974" t="n"/>
      <c r="BZ49" s="998" t="n"/>
    </row>
    <row r="50" ht="16.5" customHeight="1" s="838">
      <c r="B50" s="756" t="n"/>
      <c r="C50" s="738" t="n"/>
      <c r="D50" s="737" t="inlineStr">
        <is>
          <t>지역8</t>
        </is>
      </c>
      <c r="E50" s="734" t="n"/>
      <c r="F50" s="220" t="inlineStr">
        <is>
          <t>`26 목표</t>
        </is>
      </c>
      <c r="G50" s="982">
        <f>(G139-G140)*G143</f>
        <v/>
      </c>
      <c r="H50" s="983">
        <f>(H139-H140)*H143</f>
        <v/>
      </c>
      <c r="I50" s="983">
        <f>(I139-I140)*I143</f>
        <v/>
      </c>
      <c r="J50" s="983">
        <f>(J139-J140)*J143</f>
        <v/>
      </c>
      <c r="K50" s="983">
        <f>(K139-K140)*K143</f>
        <v/>
      </c>
      <c r="L50" s="984">
        <f>(L139-L140)*L143</f>
        <v/>
      </c>
      <c r="M50" s="986">
        <f>(M139-M140)*M143</f>
        <v/>
      </c>
      <c r="N50" s="983">
        <f>(N139-N140)*N143</f>
        <v/>
      </c>
      <c r="O50" s="983">
        <f>(O139-O140)*O143</f>
        <v/>
      </c>
      <c r="P50" s="983">
        <f>(P139-P140)*P143</f>
        <v/>
      </c>
      <c r="Q50" s="984">
        <f>(Q139-Q140)*Q143</f>
        <v/>
      </c>
      <c r="R50" s="985">
        <f>(R139-R140)*R143</f>
        <v/>
      </c>
      <c r="S50" s="983">
        <f>(S139-S140)*S143</f>
        <v/>
      </c>
      <c r="T50" s="983">
        <f>(T139-T140)*T143</f>
        <v/>
      </c>
      <c r="U50" s="983">
        <f>(U139-U140)*U143</f>
        <v/>
      </c>
      <c r="V50" s="983">
        <f>(V139-V140)*V143</f>
        <v/>
      </c>
      <c r="W50" s="983">
        <f>(W139-W140)*W143</f>
        <v/>
      </c>
      <c r="X50" s="982">
        <f>(X139-X140)*X143</f>
        <v/>
      </c>
      <c r="Y50" s="983">
        <f>(Y139-Y140)*Y143</f>
        <v/>
      </c>
      <c r="Z50" s="983">
        <f>(Z139-Z140)*Z143</f>
        <v/>
      </c>
      <c r="AA50" s="983">
        <f>(AA139-AA140)*AA143</f>
        <v/>
      </c>
      <c r="AB50" s="983">
        <f>(AB139-AB140)*AB143</f>
        <v/>
      </c>
      <c r="AC50" s="984">
        <f>(AC139-AC140)*AC143</f>
        <v/>
      </c>
      <c r="AD50" s="986" t="n"/>
      <c r="AE50" s="983" t="n"/>
      <c r="AF50" s="983" t="n"/>
      <c r="AG50" s="983" t="n"/>
      <c r="AH50" s="983" t="n"/>
      <c r="AI50" s="983" t="n"/>
      <c r="AJ50" s="984" t="n"/>
      <c r="AK50" s="987" t="n"/>
      <c r="AL50" s="983" t="n"/>
      <c r="AM50" s="983" t="n"/>
      <c r="AN50" s="983" t="n"/>
      <c r="AO50" s="983" t="n"/>
      <c r="AP50" s="983" t="n"/>
      <c r="AQ50" s="988" t="n"/>
      <c r="AR50" s="989" t="n"/>
      <c r="AS50" s="983" t="n"/>
      <c r="AT50" s="983" t="n"/>
      <c r="AU50" s="983" t="n"/>
      <c r="AV50" s="983" t="n"/>
      <c r="AW50" s="990" t="n"/>
      <c r="AX50" s="983" t="n"/>
      <c r="AY50" s="983" t="n"/>
      <c r="AZ50" s="983" t="n"/>
      <c r="BA50" s="983" t="n"/>
      <c r="BB50" s="983" t="n"/>
      <c r="BC50" s="984" t="n"/>
      <c r="BD50" s="990" t="n"/>
      <c r="BE50" s="983" t="n"/>
      <c r="BF50" s="983" t="n"/>
      <c r="BG50" s="983" t="n"/>
      <c r="BH50" s="983" t="n"/>
      <c r="BI50" s="984" t="n"/>
      <c r="BJ50" s="990" t="n"/>
      <c r="BK50" s="983" t="n"/>
      <c r="BL50" s="983" t="n"/>
      <c r="BM50" s="983" t="n"/>
      <c r="BN50" s="983" t="n"/>
      <c r="BO50" s="984" t="n"/>
      <c r="BP50" s="990" t="n"/>
      <c r="BQ50" s="983" t="n"/>
      <c r="BR50" s="983" t="n"/>
      <c r="BS50" s="983" t="n"/>
      <c r="BT50" s="984" t="n"/>
      <c r="BU50" s="990" t="n"/>
      <c r="BV50" s="983" t="n"/>
      <c r="BW50" s="983" t="n"/>
      <c r="BX50" s="983" t="n"/>
      <c r="BY50" s="983" t="n"/>
      <c r="BZ50" s="991" t="n"/>
    </row>
    <row r="51" ht="16.5" customHeight="1" s="838">
      <c r="B51" s="756" t="n"/>
      <c r="C51" s="739" t="n"/>
      <c r="D51" s="735" t="n"/>
      <c r="E51" s="736" t="n"/>
      <c r="F51" s="134" t="inlineStr">
        <is>
          <t>`26 실적</t>
        </is>
      </c>
      <c r="G51" s="973">
        <f>(G139-G141)*G144</f>
        <v/>
      </c>
      <c r="H51" s="974">
        <f>(H139-H141)*H144</f>
        <v/>
      </c>
      <c r="I51" s="974">
        <f>(I139-I141)*I144</f>
        <v/>
      </c>
      <c r="J51" s="974">
        <f>(J139-J141)*J144</f>
        <v/>
      </c>
      <c r="K51" s="974">
        <f>(K139-K141)*K144</f>
        <v/>
      </c>
      <c r="L51" s="975">
        <f>(L139-L141)*L144</f>
        <v/>
      </c>
      <c r="M51" s="993">
        <f>(M139-M141)*M144</f>
        <v/>
      </c>
      <c r="N51" s="974">
        <f>(N139-N141)*N144</f>
        <v/>
      </c>
      <c r="O51" s="974">
        <f>(O139-O141)*O144</f>
        <v/>
      </c>
      <c r="P51" s="974">
        <f>(P139-P141)*P144</f>
        <v/>
      </c>
      <c r="Q51" s="975">
        <f>(Q139-Q141)*Q144</f>
        <v/>
      </c>
      <c r="R51" s="992">
        <f>(R139-R141)*R144</f>
        <v/>
      </c>
      <c r="S51" s="974">
        <f>(S139-S141)*S144</f>
        <v/>
      </c>
      <c r="T51" s="974">
        <f>(T139-T141)*T144</f>
        <v/>
      </c>
      <c r="U51" s="974">
        <f>(U139-U141)*U144</f>
        <v/>
      </c>
      <c r="V51" s="974">
        <f>(V139-V141)*V144</f>
        <v/>
      </c>
      <c r="W51" s="974">
        <f>(W139-W141)*W144</f>
        <v/>
      </c>
      <c r="X51" s="973">
        <f>(X139-X141)*X144</f>
        <v/>
      </c>
      <c r="Y51" s="974">
        <f>(Y139-Y141)*Y144</f>
        <v/>
      </c>
      <c r="Z51" s="974">
        <f>(Z139-Z141)*Z144</f>
        <v/>
      </c>
      <c r="AA51" s="974">
        <f>(AA139-AA141)*AA144</f>
        <v/>
      </c>
      <c r="AB51" s="974">
        <f>(AB139-AB141)*AB144</f>
        <v/>
      </c>
      <c r="AC51" s="975">
        <f>(AC139-AC141)*AC144</f>
        <v/>
      </c>
      <c r="AD51" s="993" t="n"/>
      <c r="AE51" s="974" t="n"/>
      <c r="AF51" s="974" t="n"/>
      <c r="AG51" s="974" t="n"/>
      <c r="AH51" s="974" t="n"/>
      <c r="AI51" s="974" t="n"/>
      <c r="AJ51" s="975" t="n"/>
      <c r="AK51" s="994" t="n"/>
      <c r="AL51" s="974" t="n"/>
      <c r="AM51" s="974" t="n"/>
      <c r="AN51" s="974" t="n"/>
      <c r="AO51" s="974" t="n"/>
      <c r="AP51" s="974" t="n"/>
      <c r="AQ51" s="995" t="n"/>
      <c r="AR51" s="996" t="n"/>
      <c r="AS51" s="974" t="n"/>
      <c r="AT51" s="974" t="n"/>
      <c r="AU51" s="974" t="n"/>
      <c r="AV51" s="974" t="n"/>
      <c r="AW51" s="997" t="n"/>
      <c r="AX51" s="974" t="n"/>
      <c r="AY51" s="974" t="n"/>
      <c r="AZ51" s="974" t="n"/>
      <c r="BA51" s="974" t="n"/>
      <c r="BB51" s="974" t="n"/>
      <c r="BC51" s="975" t="n"/>
      <c r="BD51" s="997" t="n"/>
      <c r="BE51" s="974" t="n"/>
      <c r="BF51" s="974" t="n"/>
      <c r="BG51" s="974" t="n"/>
      <c r="BH51" s="974" t="n"/>
      <c r="BI51" s="975" t="n"/>
      <c r="BJ51" s="997" t="n"/>
      <c r="BK51" s="974" t="n"/>
      <c r="BL51" s="974" t="n"/>
      <c r="BM51" s="974" t="n"/>
      <c r="BN51" s="974" t="n"/>
      <c r="BO51" s="975" t="n"/>
      <c r="BP51" s="997" t="n"/>
      <c r="BQ51" s="974" t="n"/>
      <c r="BR51" s="974" t="n"/>
      <c r="BS51" s="974" t="n"/>
      <c r="BT51" s="975" t="n"/>
      <c r="BU51" s="997" t="n"/>
      <c r="BV51" s="974" t="n"/>
      <c r="BW51" s="974" t="n"/>
      <c r="BX51" s="974" t="n"/>
      <c r="BY51" s="974" t="n"/>
      <c r="BZ51" s="998" t="n"/>
    </row>
    <row r="52" ht="16.5" customHeight="1" s="838">
      <c r="B52" s="756" t="n"/>
      <c r="C52" s="737" t="inlineStr">
        <is>
          <t>제품2</t>
        </is>
      </c>
      <c r="D52" s="737" t="inlineStr">
        <is>
          <t>지역 합계</t>
        </is>
      </c>
      <c r="E52" s="734" t="n"/>
      <c r="F52" s="220" t="inlineStr">
        <is>
          <t>`26 목표</t>
        </is>
      </c>
      <c r="G52" s="982">
        <f>(G157-G158)*G161</f>
        <v/>
      </c>
      <c r="H52" s="983">
        <f>(H157-H158)*H161</f>
        <v/>
      </c>
      <c r="I52" s="983">
        <f>(I157-I158)*I161</f>
        <v/>
      </c>
      <c r="J52" s="983">
        <f>(J157-J158)*J161</f>
        <v/>
      </c>
      <c r="K52" s="983">
        <f>(K157-K158)*K161</f>
        <v/>
      </c>
      <c r="L52" s="984">
        <f>(L157-L158)*L161</f>
        <v/>
      </c>
      <c r="M52" s="986">
        <f>(M157-M158)*M161</f>
        <v/>
      </c>
      <c r="N52" s="983">
        <f>(N157-N158)*N161</f>
        <v/>
      </c>
      <c r="O52" s="983">
        <f>(O157-O158)*O161</f>
        <v/>
      </c>
      <c r="P52" s="983">
        <f>(P157-P158)*P161</f>
        <v/>
      </c>
      <c r="Q52" s="984">
        <f>(Q157-Q158)*Q161</f>
        <v/>
      </c>
      <c r="R52" s="985">
        <f>(R157-R158)*R161</f>
        <v/>
      </c>
      <c r="S52" s="983">
        <f>(S157-S158)*S161</f>
        <v/>
      </c>
      <c r="T52" s="983">
        <f>(T157-T158)*T161</f>
        <v/>
      </c>
      <c r="U52" s="983">
        <f>(U157-U158)*U161</f>
        <v/>
      </c>
      <c r="V52" s="983">
        <f>(V157-V158)*V161</f>
        <v/>
      </c>
      <c r="W52" s="983">
        <f>(W157-W158)*W161</f>
        <v/>
      </c>
      <c r="X52" s="982">
        <f>(X157-X158)*X161</f>
        <v/>
      </c>
      <c r="Y52" s="983">
        <f>(Y157-Y158)*Y161</f>
        <v/>
      </c>
      <c r="Z52" s="983">
        <f>(Z157-Z158)*Z161</f>
        <v/>
      </c>
      <c r="AA52" s="983">
        <f>(AA157-AA158)*AA161</f>
        <v/>
      </c>
      <c r="AB52" s="983">
        <f>(AB157-AB158)*AB161</f>
        <v/>
      </c>
      <c r="AC52" s="984">
        <f>(AC157-AC158)*AC161</f>
        <v/>
      </c>
      <c r="AD52" s="986" t="n"/>
      <c r="AE52" s="983" t="n"/>
      <c r="AF52" s="983" t="n"/>
      <c r="AG52" s="983" t="n"/>
      <c r="AH52" s="983" t="n"/>
      <c r="AI52" s="983" t="n"/>
      <c r="AJ52" s="984" t="n"/>
      <c r="AK52" s="987" t="n"/>
      <c r="AL52" s="983" t="n"/>
      <c r="AM52" s="983" t="n"/>
      <c r="AN52" s="983" t="n"/>
      <c r="AO52" s="983" t="n"/>
      <c r="AP52" s="983" t="n"/>
      <c r="AQ52" s="988" t="n"/>
      <c r="AR52" s="989" t="n"/>
      <c r="AS52" s="983" t="n"/>
      <c r="AT52" s="983" t="n"/>
      <c r="AU52" s="983" t="n"/>
      <c r="AV52" s="983" t="n"/>
      <c r="AW52" s="990" t="n"/>
      <c r="AX52" s="983" t="n"/>
      <c r="AY52" s="983" t="n"/>
      <c r="AZ52" s="983" t="n"/>
      <c r="BA52" s="983" t="n"/>
      <c r="BB52" s="983" t="n"/>
      <c r="BC52" s="984" t="n"/>
      <c r="BD52" s="990" t="n"/>
      <c r="BE52" s="983" t="n"/>
      <c r="BF52" s="983" t="n"/>
      <c r="BG52" s="983" t="n"/>
      <c r="BH52" s="983" t="n"/>
      <c r="BI52" s="984" t="n"/>
      <c r="BJ52" s="990" t="n"/>
      <c r="BK52" s="983" t="n"/>
      <c r="BL52" s="983" t="n"/>
      <c r="BM52" s="983" t="n"/>
      <c r="BN52" s="983" t="n"/>
      <c r="BO52" s="984" t="n"/>
      <c r="BP52" s="990" t="n"/>
      <c r="BQ52" s="983" t="n"/>
      <c r="BR52" s="983" t="n"/>
      <c r="BS52" s="983" t="n"/>
      <c r="BT52" s="984" t="n"/>
      <c r="BU52" s="990" t="n"/>
      <c r="BV52" s="983" t="n"/>
      <c r="BW52" s="983" t="n"/>
      <c r="BX52" s="983" t="n"/>
      <c r="BY52" s="983" t="n"/>
      <c r="BZ52" s="991" t="n"/>
    </row>
    <row r="53" ht="16.5" customHeight="1" s="838">
      <c r="B53" s="756" t="n"/>
      <c r="C53" s="738" t="n"/>
      <c r="D53" s="735" t="n"/>
      <c r="E53" s="736" t="n"/>
      <c r="F53" s="134" t="inlineStr">
        <is>
          <t>`26 실적</t>
        </is>
      </c>
      <c r="G53" s="973">
        <f>(G157-G159)*G162</f>
        <v/>
      </c>
      <c r="H53" s="974">
        <f>(H157-H159)*H162</f>
        <v/>
      </c>
      <c r="I53" s="974">
        <f>(I157-I159)*I162</f>
        <v/>
      </c>
      <c r="J53" s="974">
        <f>(J157-J159)*J162</f>
        <v/>
      </c>
      <c r="K53" s="974">
        <f>(K157-K159)*K162</f>
        <v/>
      </c>
      <c r="L53" s="974">
        <f>(L157-L159)*L162</f>
        <v/>
      </c>
      <c r="M53" s="973">
        <f>(M157-M159)*M162</f>
        <v/>
      </c>
      <c r="N53" s="974">
        <f>(N157-N159)*N162</f>
        <v/>
      </c>
      <c r="O53" s="974">
        <f>(O157-O159)*O162</f>
        <v/>
      </c>
      <c r="P53" s="974">
        <f>(P157-P159)*P162</f>
        <v/>
      </c>
      <c r="Q53" s="975">
        <f>(Q157-Q159)*Q162</f>
        <v/>
      </c>
      <c r="R53" s="992">
        <f>(R157-R159)*R162</f>
        <v/>
      </c>
      <c r="S53" s="974">
        <f>(S157-S159)*S162</f>
        <v/>
      </c>
      <c r="T53" s="974">
        <f>(T157-T159)*T162</f>
        <v/>
      </c>
      <c r="U53" s="974">
        <f>(U157-U159)*U162</f>
        <v/>
      </c>
      <c r="V53" s="974">
        <f>(V157-V159)*V162</f>
        <v/>
      </c>
      <c r="W53" s="974">
        <f>(W157-W159)*W162</f>
        <v/>
      </c>
      <c r="X53" s="973">
        <f>(X157-X159)*X162</f>
        <v/>
      </c>
      <c r="Y53" s="974">
        <f>(Y157-Y159)*Y162</f>
        <v/>
      </c>
      <c r="Z53" s="974">
        <f>(Z157-Z159)*Z162</f>
        <v/>
      </c>
      <c r="AA53" s="974">
        <f>(AA157-AA159)*AA162</f>
        <v/>
      </c>
      <c r="AB53" s="974">
        <f>(AB157-AB159)*AB162</f>
        <v/>
      </c>
      <c r="AC53" s="975">
        <f>(AC157-AC159)*AC162</f>
        <v/>
      </c>
      <c r="AD53" s="993" t="n"/>
      <c r="AE53" s="974" t="n"/>
      <c r="AF53" s="974" t="n"/>
      <c r="AG53" s="974" t="n"/>
      <c r="AH53" s="974" t="n"/>
      <c r="AI53" s="974" t="n"/>
      <c r="AJ53" s="975" t="n"/>
      <c r="AK53" s="994" t="n"/>
      <c r="AL53" s="974" t="n"/>
      <c r="AM53" s="974" t="n"/>
      <c r="AN53" s="974" t="n"/>
      <c r="AO53" s="974" t="n"/>
      <c r="AP53" s="974" t="n"/>
      <c r="AQ53" s="995" t="n"/>
      <c r="AR53" s="996" t="n"/>
      <c r="AS53" s="974" t="n"/>
      <c r="AT53" s="974" t="n"/>
      <c r="AU53" s="974" t="n"/>
      <c r="AV53" s="974" t="n"/>
      <c r="AW53" s="997" t="n"/>
      <c r="AX53" s="974" t="n"/>
      <c r="AY53" s="974" t="n"/>
      <c r="AZ53" s="974" t="n"/>
      <c r="BA53" s="974" t="n"/>
      <c r="BB53" s="974" t="n"/>
      <c r="BC53" s="975" t="n"/>
      <c r="BD53" s="997" t="n"/>
      <c r="BE53" s="974" t="n"/>
      <c r="BF53" s="974" t="n"/>
      <c r="BG53" s="974" t="n"/>
      <c r="BH53" s="974" t="n"/>
      <c r="BI53" s="975" t="n"/>
      <c r="BJ53" s="997" t="n"/>
      <c r="BK53" s="974" t="n"/>
      <c r="BL53" s="974" t="n"/>
      <c r="BM53" s="974" t="n"/>
      <c r="BN53" s="974" t="n"/>
      <c r="BO53" s="975" t="n"/>
      <c r="BP53" s="997" t="n"/>
      <c r="BQ53" s="974" t="n"/>
      <c r="BR53" s="974" t="n"/>
      <c r="BS53" s="974" t="n"/>
      <c r="BT53" s="975" t="n"/>
      <c r="BU53" s="997" t="n"/>
      <c r="BV53" s="974" t="n"/>
      <c r="BW53" s="974" t="n"/>
      <c r="BX53" s="974" t="n"/>
      <c r="BY53" s="974" t="n"/>
      <c r="BZ53" s="998" t="n"/>
    </row>
    <row r="54" ht="16.5" customHeight="1" s="838">
      <c r="B54" s="756" t="n"/>
      <c r="C54" s="738" t="n"/>
      <c r="D54" s="737" t="inlineStr">
        <is>
          <t>지역1</t>
        </is>
      </c>
      <c r="E54" s="734" t="n"/>
      <c r="F54" s="220" t="inlineStr">
        <is>
          <t>`26 목표</t>
        </is>
      </c>
      <c r="G54" s="982">
        <f>(G166-G167)*G170</f>
        <v/>
      </c>
      <c r="H54" s="983">
        <f>(H166-H167)*H170</f>
        <v/>
      </c>
      <c r="I54" s="983">
        <f>(I166-I167)*I170</f>
        <v/>
      </c>
      <c r="J54" s="983">
        <f>(J166-J167)*J170</f>
        <v/>
      </c>
      <c r="K54" s="983">
        <f>(K166-K167)*K170</f>
        <v/>
      </c>
      <c r="L54" s="983">
        <f>(L166-L167)*L170</f>
        <v/>
      </c>
      <c r="M54" s="982">
        <f>(M166-M167)*M170</f>
        <v/>
      </c>
      <c r="N54" s="983">
        <f>(N166-N167)*N170</f>
        <v/>
      </c>
      <c r="O54" s="983">
        <f>(O166-O167)*O170</f>
        <v/>
      </c>
      <c r="P54" s="983">
        <f>(P166-P167)*P170</f>
        <v/>
      </c>
      <c r="Q54" s="984">
        <f>(Q166-Q167)*Q170</f>
        <v/>
      </c>
      <c r="R54" s="985">
        <f>(R166-R167)*R170</f>
        <v/>
      </c>
      <c r="S54" s="983">
        <f>(S166-S167)*S170</f>
        <v/>
      </c>
      <c r="T54" s="983">
        <f>(T166-T167)*T170</f>
        <v/>
      </c>
      <c r="U54" s="983">
        <f>(U166-U167)*U170</f>
        <v/>
      </c>
      <c r="V54" s="983">
        <f>(V166-V167)*V170</f>
        <v/>
      </c>
      <c r="W54" s="983">
        <f>(W166-W167)*W170</f>
        <v/>
      </c>
      <c r="X54" s="982">
        <f>(X166-X167)*X170</f>
        <v/>
      </c>
      <c r="Y54" s="983">
        <f>(Y166-Y167)*Y170</f>
        <v/>
      </c>
      <c r="Z54" s="983">
        <f>(Z166-Z167)*Z170</f>
        <v/>
      </c>
      <c r="AA54" s="983">
        <f>(AA166-AA167)*AA170</f>
        <v/>
      </c>
      <c r="AB54" s="983">
        <f>(AB166-AB167)*AB170</f>
        <v/>
      </c>
      <c r="AC54" s="984">
        <f>(AC166-AC167)*AC170</f>
        <v/>
      </c>
      <c r="AD54" s="986" t="n"/>
      <c r="AE54" s="983" t="n"/>
      <c r="AF54" s="983" t="n"/>
      <c r="AG54" s="983" t="n"/>
      <c r="AH54" s="983" t="n"/>
      <c r="AI54" s="983" t="n"/>
      <c r="AJ54" s="984" t="n"/>
      <c r="AK54" s="987" t="n"/>
      <c r="AL54" s="983" t="n"/>
      <c r="AM54" s="983" t="n"/>
      <c r="AN54" s="983" t="n"/>
      <c r="AO54" s="983" t="n"/>
      <c r="AP54" s="983" t="n"/>
      <c r="AQ54" s="988" t="n"/>
      <c r="AR54" s="989" t="n"/>
      <c r="AS54" s="983" t="n"/>
      <c r="AT54" s="983" t="n"/>
      <c r="AU54" s="983" t="n"/>
      <c r="AV54" s="983" t="n"/>
      <c r="AW54" s="990" t="n"/>
      <c r="AX54" s="983" t="n"/>
      <c r="AY54" s="983" t="n"/>
      <c r="AZ54" s="983" t="n"/>
      <c r="BA54" s="983" t="n"/>
      <c r="BB54" s="983" t="n"/>
      <c r="BC54" s="984" t="n"/>
      <c r="BD54" s="990" t="n"/>
      <c r="BE54" s="983" t="n"/>
      <c r="BF54" s="983" t="n"/>
      <c r="BG54" s="983" t="n"/>
      <c r="BH54" s="983" t="n"/>
      <c r="BI54" s="984" t="n"/>
      <c r="BJ54" s="990" t="n"/>
      <c r="BK54" s="983" t="n"/>
      <c r="BL54" s="983" t="n"/>
      <c r="BM54" s="983" t="n"/>
      <c r="BN54" s="983" t="n"/>
      <c r="BO54" s="984" t="n"/>
      <c r="BP54" s="990" t="n"/>
      <c r="BQ54" s="983" t="n"/>
      <c r="BR54" s="983" t="n"/>
      <c r="BS54" s="983" t="n"/>
      <c r="BT54" s="984" t="n"/>
      <c r="BU54" s="990" t="n"/>
      <c r="BV54" s="983" t="n"/>
      <c r="BW54" s="983" t="n"/>
      <c r="BX54" s="983" t="n"/>
      <c r="BY54" s="983" t="n"/>
      <c r="BZ54" s="991" t="n"/>
    </row>
    <row r="55" ht="16.5" customHeight="1" s="838">
      <c r="B55" s="756" t="n"/>
      <c r="C55" s="738" t="n"/>
      <c r="D55" s="735" t="n"/>
      <c r="E55" s="736" t="n"/>
      <c r="F55" s="134" t="inlineStr">
        <is>
          <t>`26 실적</t>
        </is>
      </c>
      <c r="G55" s="973">
        <f>(G166-G168)*G171</f>
        <v/>
      </c>
      <c r="H55" s="974">
        <f>(H166-H168)*H171</f>
        <v/>
      </c>
      <c r="I55" s="974">
        <f>(I166-I168)*I171</f>
        <v/>
      </c>
      <c r="J55" s="974">
        <f>(J166-J168)*J171</f>
        <v/>
      </c>
      <c r="K55" s="974">
        <f>(K166-K168)*K171</f>
        <v/>
      </c>
      <c r="L55" s="974">
        <f>(L166-L168)*L171</f>
        <v/>
      </c>
      <c r="M55" s="973">
        <f>(M166-M168)*M171</f>
        <v/>
      </c>
      <c r="N55" s="974">
        <f>(N166-N168)*N171</f>
        <v/>
      </c>
      <c r="O55" s="974">
        <f>(O166-O168)*O171</f>
        <v/>
      </c>
      <c r="P55" s="974">
        <f>(P166-P168)*P171</f>
        <v/>
      </c>
      <c r="Q55" s="975">
        <f>(Q166-Q168)*Q171</f>
        <v/>
      </c>
      <c r="R55" s="992">
        <f>(R166-R168)*R171</f>
        <v/>
      </c>
      <c r="S55" s="974">
        <f>(S166-S168)*S171</f>
        <v/>
      </c>
      <c r="T55" s="974">
        <f>(T166-T168)*T171</f>
        <v/>
      </c>
      <c r="U55" s="974">
        <f>(U166-U168)*U171</f>
        <v/>
      </c>
      <c r="V55" s="974">
        <f>(V166-V168)*V171</f>
        <v/>
      </c>
      <c r="W55" s="974">
        <f>(W166-W168)*W171</f>
        <v/>
      </c>
      <c r="X55" s="973">
        <f>(X166-X168)*X171</f>
        <v/>
      </c>
      <c r="Y55" s="974">
        <f>(Y166-Y168)*Y171</f>
        <v/>
      </c>
      <c r="Z55" s="974">
        <f>(Z166-Z168)*Z171</f>
        <v/>
      </c>
      <c r="AA55" s="974">
        <f>(AA166-AA168)*AA171</f>
        <v/>
      </c>
      <c r="AB55" s="974">
        <f>(AB166-AB168)*AB171</f>
        <v/>
      </c>
      <c r="AC55" s="975">
        <f>(AC166-AC168)*AC171</f>
        <v/>
      </c>
      <c r="AD55" s="993" t="n"/>
      <c r="AE55" s="974" t="n"/>
      <c r="AF55" s="974" t="n"/>
      <c r="AG55" s="974" t="n"/>
      <c r="AH55" s="974" t="n"/>
      <c r="AI55" s="974" t="n"/>
      <c r="AJ55" s="975" t="n"/>
      <c r="AK55" s="994" t="n"/>
      <c r="AL55" s="974" t="n"/>
      <c r="AM55" s="974" t="n"/>
      <c r="AN55" s="974" t="n"/>
      <c r="AO55" s="974" t="n"/>
      <c r="AP55" s="974" t="n"/>
      <c r="AQ55" s="995" t="n"/>
      <c r="AR55" s="996" t="n"/>
      <c r="AS55" s="974" t="n"/>
      <c r="AT55" s="974" t="n"/>
      <c r="AU55" s="974" t="n"/>
      <c r="AV55" s="974" t="n"/>
      <c r="AW55" s="997" t="n"/>
      <c r="AX55" s="974" t="n"/>
      <c r="AY55" s="974" t="n"/>
      <c r="AZ55" s="974" t="n"/>
      <c r="BA55" s="974" t="n"/>
      <c r="BB55" s="974" t="n"/>
      <c r="BC55" s="975" t="n"/>
      <c r="BD55" s="997" t="n"/>
      <c r="BE55" s="974" t="n"/>
      <c r="BF55" s="974" t="n"/>
      <c r="BG55" s="974" t="n"/>
      <c r="BH55" s="974" t="n"/>
      <c r="BI55" s="975" t="n"/>
      <c r="BJ55" s="997" t="n"/>
      <c r="BK55" s="974" t="n"/>
      <c r="BL55" s="974" t="n"/>
      <c r="BM55" s="974" t="n"/>
      <c r="BN55" s="974" t="n"/>
      <c r="BO55" s="975" t="n"/>
      <c r="BP55" s="997" t="n"/>
      <c r="BQ55" s="974" t="n"/>
      <c r="BR55" s="974" t="n"/>
      <c r="BS55" s="974" t="n"/>
      <c r="BT55" s="975" t="n"/>
      <c r="BU55" s="997" t="n"/>
      <c r="BV55" s="974" t="n"/>
      <c r="BW55" s="974" t="n"/>
      <c r="BX55" s="974" t="n"/>
      <c r="BY55" s="974" t="n"/>
      <c r="BZ55" s="998" t="n"/>
    </row>
    <row r="56" ht="16.5" customHeight="1" s="838">
      <c r="B56" s="756" t="n"/>
      <c r="C56" s="738" t="n"/>
      <c r="D56" s="754" t="inlineStr">
        <is>
          <t>지역3</t>
        </is>
      </c>
      <c r="E56" s="766" t="n"/>
      <c r="F56" s="151" t="inlineStr">
        <is>
          <t>`26 목표</t>
        </is>
      </c>
      <c r="G56" s="1010">
        <f>(G175-G176)*G179</f>
        <v/>
      </c>
      <c r="H56" s="1011">
        <f>(H175-H176)*H179</f>
        <v/>
      </c>
      <c r="I56" s="1011">
        <f>(I175-I176)*I179</f>
        <v/>
      </c>
      <c r="J56" s="1011">
        <f>(J175-J176)*J179</f>
        <v/>
      </c>
      <c r="K56" s="1011">
        <f>(K175-K176)*K179</f>
        <v/>
      </c>
      <c r="L56" s="1011">
        <f>(L175-L176)*L179</f>
        <v/>
      </c>
      <c r="M56" s="1010">
        <f>(M175-M176)*M179</f>
        <v/>
      </c>
      <c r="N56" s="1011">
        <f>(N175-N176)*N179</f>
        <v/>
      </c>
      <c r="O56" s="1011">
        <f>(O175-O176)*O179</f>
        <v/>
      </c>
      <c r="P56" s="1011">
        <f>(P175-P176)*P179</f>
        <v/>
      </c>
      <c r="Q56" s="1012">
        <f>(Q175-Q176)*Q179</f>
        <v/>
      </c>
      <c r="R56" s="1013">
        <f>(R175-R176)*R179</f>
        <v/>
      </c>
      <c r="S56" s="1011">
        <f>(S175-S176)*S179</f>
        <v/>
      </c>
      <c r="T56" s="1011">
        <f>(T175-T176)*T179</f>
        <v/>
      </c>
      <c r="U56" s="1011">
        <f>(U175-U176)*U179</f>
        <v/>
      </c>
      <c r="V56" s="1011">
        <f>(V175-V176)*V179</f>
        <v/>
      </c>
      <c r="W56" s="1011">
        <f>(W175-W176)*W179</f>
        <v/>
      </c>
      <c r="X56" s="1010">
        <f>(X175-X176)*X179</f>
        <v/>
      </c>
      <c r="Y56" s="1011">
        <f>(Y175-Y176)*Y179</f>
        <v/>
      </c>
      <c r="Z56" s="1011">
        <f>(Z175-Z176)*Z179</f>
        <v/>
      </c>
      <c r="AA56" s="1011">
        <f>(AA175-AA176)*AA179</f>
        <v/>
      </c>
      <c r="AB56" s="1011">
        <f>(AB175-AB176)*AB179</f>
        <v/>
      </c>
      <c r="AC56" s="1012">
        <f>(AC175-AC176)*AC179</f>
        <v/>
      </c>
      <c r="AD56" s="1014" t="n"/>
      <c r="AE56" s="1011" t="n"/>
      <c r="AF56" s="1011" t="n"/>
      <c r="AG56" s="1011" t="n"/>
      <c r="AH56" s="1011" t="n"/>
      <c r="AI56" s="1011" t="n"/>
      <c r="AJ56" s="1012" t="n"/>
      <c r="AK56" s="1015" t="n"/>
      <c r="AL56" s="1011" t="n"/>
      <c r="AM56" s="1011" t="n"/>
      <c r="AN56" s="1011" t="n"/>
      <c r="AO56" s="1011" t="n"/>
      <c r="AP56" s="1011" t="n"/>
      <c r="AQ56" s="1016" t="n"/>
      <c r="AR56" s="1017" t="n"/>
      <c r="AS56" s="1011" t="n"/>
      <c r="AT56" s="1011" t="n"/>
      <c r="AU56" s="1011" t="n"/>
      <c r="AV56" s="1011" t="n"/>
      <c r="AW56" s="1018" t="n"/>
      <c r="AX56" s="1011" t="n"/>
      <c r="AY56" s="1011" t="n"/>
      <c r="AZ56" s="1011" t="n"/>
      <c r="BA56" s="1011" t="n"/>
      <c r="BB56" s="1011" t="n"/>
      <c r="BC56" s="1012" t="n"/>
      <c r="BD56" s="1018" t="n"/>
      <c r="BE56" s="1011" t="n"/>
      <c r="BF56" s="1011" t="n"/>
      <c r="BG56" s="1011" t="n"/>
      <c r="BH56" s="1011" t="n"/>
      <c r="BI56" s="1012" t="n"/>
      <c r="BJ56" s="1018" t="n"/>
      <c r="BK56" s="1011" t="n"/>
      <c r="BL56" s="1011" t="n"/>
      <c r="BM56" s="1011" t="n"/>
      <c r="BN56" s="1011" t="n"/>
      <c r="BO56" s="1012" t="n"/>
      <c r="BP56" s="1018" t="n"/>
      <c r="BQ56" s="1011" t="n"/>
      <c r="BR56" s="1011" t="n"/>
      <c r="BS56" s="1011" t="n"/>
      <c r="BT56" s="1012" t="n"/>
      <c r="BU56" s="1018" t="n"/>
      <c r="BV56" s="1011" t="n"/>
      <c r="BW56" s="1011" t="n"/>
      <c r="BX56" s="1011" t="n"/>
      <c r="BY56" s="1011" t="n"/>
      <c r="BZ56" s="1019" t="n"/>
    </row>
    <row r="57" ht="17.25" customHeight="1" s="838" thickBot="1">
      <c r="B57" s="757" t="n"/>
      <c r="C57" s="739" t="n"/>
      <c r="D57" s="735" t="n"/>
      <c r="E57" s="736" t="n"/>
      <c r="F57" s="146" t="inlineStr">
        <is>
          <t>`26 실적</t>
        </is>
      </c>
      <c r="G57" s="1020">
        <f>(G175-G177)*G180</f>
        <v/>
      </c>
      <c r="H57" s="1021">
        <f>(H175-H177)*H180</f>
        <v/>
      </c>
      <c r="I57" s="1021">
        <f>(I175-I177)*I180</f>
        <v/>
      </c>
      <c r="J57" s="1021">
        <f>(J175-J177)*J180</f>
        <v/>
      </c>
      <c r="K57" s="1021">
        <f>(K175-K177)*K180</f>
        <v/>
      </c>
      <c r="L57" s="1021">
        <f>(L175-L177)*L180</f>
        <v/>
      </c>
      <c r="M57" s="1020">
        <f>(M175-M177)*M180</f>
        <v/>
      </c>
      <c r="N57" s="1021">
        <f>(N175-N177)*N180</f>
        <v/>
      </c>
      <c r="O57" s="1021">
        <f>(O175-O177)*O180</f>
        <v/>
      </c>
      <c r="P57" s="1021">
        <f>(P175-P177)*P180</f>
        <v/>
      </c>
      <c r="Q57" s="1022">
        <f>(Q175-Q177)*Q180</f>
        <v/>
      </c>
      <c r="R57" s="1023">
        <f>(R175-R177)*R180</f>
        <v/>
      </c>
      <c r="S57" s="1021">
        <f>(S175-S177)*S180</f>
        <v/>
      </c>
      <c r="T57" s="1021">
        <f>(T175-T177)*T180</f>
        <v/>
      </c>
      <c r="U57" s="1021">
        <f>(U175-U177)*U180</f>
        <v/>
      </c>
      <c r="V57" s="1021">
        <f>(V175-V177)*V180</f>
        <v/>
      </c>
      <c r="W57" s="1021">
        <f>(W175-W177)*W180</f>
        <v/>
      </c>
      <c r="X57" s="1020">
        <f>(X175-X177)*X180</f>
        <v/>
      </c>
      <c r="Y57" s="1021">
        <f>(Y175-Y177)*Y180</f>
        <v/>
      </c>
      <c r="Z57" s="1021">
        <f>(Z175-Z177)*Z180</f>
        <v/>
      </c>
      <c r="AA57" s="1021">
        <f>(AA175-AA177)*AA180</f>
        <v/>
      </c>
      <c r="AB57" s="1021">
        <f>(AB175-AB177)*AB180</f>
        <v/>
      </c>
      <c r="AC57" s="1022">
        <f>(AC175-AC177)*AC180</f>
        <v/>
      </c>
      <c r="AD57" s="1024" t="n"/>
      <c r="AE57" s="1021" t="n"/>
      <c r="AF57" s="1021" t="n"/>
      <c r="AG57" s="1021" t="n"/>
      <c r="AH57" s="1021" t="n"/>
      <c r="AI57" s="1021" t="n"/>
      <c r="AJ57" s="1022" t="n"/>
      <c r="AK57" s="1025" t="n"/>
      <c r="AL57" s="1021" t="n"/>
      <c r="AM57" s="1021" t="n"/>
      <c r="AN57" s="1021" t="n"/>
      <c r="AO57" s="1021" t="n"/>
      <c r="AP57" s="1021" t="n"/>
      <c r="AQ57" s="1026" t="n"/>
      <c r="AR57" s="1027" t="n"/>
      <c r="AS57" s="1021" t="n"/>
      <c r="AT57" s="1021" t="n"/>
      <c r="AU57" s="1021" t="n"/>
      <c r="AV57" s="1021" t="n"/>
      <c r="AW57" s="1028" t="n"/>
      <c r="AX57" s="1021" t="n"/>
      <c r="AY57" s="1021" t="n"/>
      <c r="AZ57" s="1021" t="n"/>
      <c r="BA57" s="1021" t="n"/>
      <c r="BB57" s="1021" t="n"/>
      <c r="BC57" s="1022" t="n"/>
      <c r="BD57" s="1028" t="n"/>
      <c r="BE57" s="1021" t="n"/>
      <c r="BF57" s="1021" t="n"/>
      <c r="BG57" s="1021" t="n"/>
      <c r="BH57" s="1021" t="n"/>
      <c r="BI57" s="1022" t="n"/>
      <c r="BJ57" s="1028" t="n"/>
      <c r="BK57" s="1021" t="n"/>
      <c r="BL57" s="1021" t="n"/>
      <c r="BM57" s="1021" t="n"/>
      <c r="BN57" s="1021" t="n"/>
      <c r="BO57" s="1022" t="n"/>
      <c r="BP57" s="1028" t="n"/>
      <c r="BQ57" s="1021" t="n"/>
      <c r="BR57" s="1021" t="n"/>
      <c r="BS57" s="1021" t="n"/>
      <c r="BT57" s="1022" t="n"/>
      <c r="BU57" s="1028" t="n"/>
      <c r="BV57" s="1021" t="n"/>
      <c r="BW57" s="1021" t="n"/>
      <c r="BX57" s="1021" t="n"/>
      <c r="BY57" s="1021" t="n"/>
      <c r="BZ57" s="1029" t="n"/>
    </row>
    <row r="58" ht="16.5" customHeight="1" s="838" thickBot="1">
      <c r="B58" s="758" t="inlineStr">
        <is>
          <t>가공비율</t>
        </is>
      </c>
      <c r="C58" s="750" t="inlineStr">
        <is>
          <t>키친솔루션</t>
        </is>
      </c>
      <c r="D58" s="750" t="inlineStr">
        <is>
          <t>제품1 + 제품2</t>
        </is>
      </c>
      <c r="E58" s="750" t="inlineStr">
        <is>
          <t>가공비율</t>
        </is>
      </c>
      <c r="F58" s="197" t="inlineStr">
        <is>
          <t>`25 실적</t>
        </is>
      </c>
      <c r="G58" s="1030">
        <f>G64/G61</f>
        <v/>
      </c>
      <c r="H58" s="918">
        <f>H64/H61</f>
        <v/>
      </c>
      <c r="I58" s="918">
        <f>I64/I61</f>
        <v/>
      </c>
      <c r="J58" s="918">
        <f>J64/J61</f>
        <v/>
      </c>
      <c r="K58" s="918">
        <f>K64/K61</f>
        <v/>
      </c>
      <c r="L58" s="918">
        <f>L64/L61</f>
        <v/>
      </c>
      <c r="M58" s="1030">
        <f>M64/M61</f>
        <v/>
      </c>
      <c r="N58" s="918">
        <f>N64/N61</f>
        <v/>
      </c>
      <c r="O58" s="918">
        <f>O64/O61</f>
        <v/>
      </c>
      <c r="P58" s="918">
        <f>P64/P61</f>
        <v/>
      </c>
      <c r="Q58" s="919">
        <f>Q64/Q61</f>
        <v/>
      </c>
      <c r="R58" s="1031">
        <f>R64/R61</f>
        <v/>
      </c>
      <c r="S58" s="918">
        <f>S64/S61</f>
        <v/>
      </c>
      <c r="T58" s="918">
        <f>T64/T61</f>
        <v/>
      </c>
      <c r="U58" s="918">
        <f>U64/U61</f>
        <v/>
      </c>
      <c r="V58" s="918">
        <f>V64/V61</f>
        <v/>
      </c>
      <c r="W58" s="918">
        <f>W64/W61</f>
        <v/>
      </c>
      <c r="X58" s="1030">
        <f>X64/X61</f>
        <v/>
      </c>
      <c r="Y58" s="918">
        <f>Y64/Y61</f>
        <v/>
      </c>
      <c r="Z58" s="918">
        <f>Z64/Z61</f>
        <v/>
      </c>
      <c r="AA58" s="918">
        <f>AA64/AA61</f>
        <v/>
      </c>
      <c r="AB58" s="918">
        <f>AB64/AB61</f>
        <v/>
      </c>
      <c r="AC58" s="919">
        <f>AC64/AC61</f>
        <v/>
      </c>
      <c r="AD58" s="1032" t="n"/>
      <c r="AE58" s="918" t="n"/>
      <c r="AF58" s="918" t="n"/>
      <c r="AG58" s="918" t="n"/>
      <c r="AH58" s="918" t="n"/>
      <c r="AI58" s="918" t="n"/>
      <c r="AJ58" s="919" t="n"/>
      <c r="AK58" s="917" t="n"/>
      <c r="AL58" s="918" t="n"/>
      <c r="AM58" s="918" t="n"/>
      <c r="AN58" s="918" t="n"/>
      <c r="AO58" s="918" t="n"/>
      <c r="AP58" s="918" t="n"/>
      <c r="AQ58" s="1033" t="n"/>
      <c r="AR58" s="1034" t="n"/>
      <c r="AS58" s="918" t="n"/>
      <c r="AT58" s="918" t="n"/>
      <c r="AU58" s="918" t="n"/>
      <c r="AV58" s="918" t="n"/>
      <c r="AW58" s="1035" t="n"/>
      <c r="AX58" s="918" t="n"/>
      <c r="AY58" s="918" t="n"/>
      <c r="AZ58" s="918" t="n"/>
      <c r="BA58" s="918" t="n"/>
      <c r="BB58" s="918" t="n"/>
      <c r="BC58" s="919" t="n"/>
      <c r="BD58" s="1035" t="n"/>
      <c r="BE58" s="918" t="n"/>
      <c r="BF58" s="918" t="n"/>
      <c r="BG58" s="918" t="n"/>
      <c r="BH58" s="918" t="n"/>
      <c r="BI58" s="919" t="n"/>
      <c r="BJ58" s="1035" t="n"/>
      <c r="BK58" s="918" t="n"/>
      <c r="BL58" s="918" t="n"/>
      <c r="BM58" s="918" t="n"/>
      <c r="BN58" s="918" t="n"/>
      <c r="BO58" s="919" t="n"/>
      <c r="BP58" s="1035" t="n"/>
      <c r="BQ58" s="918" t="n"/>
      <c r="BR58" s="918" t="n"/>
      <c r="BS58" s="918" t="n"/>
      <c r="BT58" s="919" t="n"/>
      <c r="BU58" s="1035" t="n"/>
      <c r="BV58" s="918" t="n"/>
      <c r="BW58" s="918" t="n"/>
      <c r="BX58" s="918" t="n"/>
      <c r="BY58" s="918" t="n"/>
      <c r="BZ58" s="920" t="n"/>
    </row>
    <row r="59" ht="16.5" customHeight="1" s="838">
      <c r="B59" s="756" t="n"/>
      <c r="C59" s="738" t="n"/>
      <c r="D59" s="738" t="n"/>
      <c r="E59" s="738" t="n"/>
      <c r="F59" s="151" t="inlineStr">
        <is>
          <t>`26 목표</t>
        </is>
      </c>
      <c r="G59" s="1036">
        <f>G65/G62</f>
        <v/>
      </c>
      <c r="H59" s="931">
        <f>H65/H62</f>
        <v/>
      </c>
      <c r="I59" s="931">
        <f>I65/I62</f>
        <v/>
      </c>
      <c r="J59" s="931">
        <f>J65/J62</f>
        <v/>
      </c>
      <c r="K59" s="931">
        <f>K65/K62</f>
        <v/>
      </c>
      <c r="L59" s="931">
        <f>L65/L62</f>
        <v/>
      </c>
      <c r="M59" s="1036">
        <f>M65/M62</f>
        <v/>
      </c>
      <c r="N59" s="931">
        <f>N65/N62</f>
        <v/>
      </c>
      <c r="O59" s="931">
        <f>O65/O62</f>
        <v/>
      </c>
      <c r="P59" s="931">
        <f>P65/P62</f>
        <v/>
      </c>
      <c r="Q59" s="938">
        <f>Q65/Q62</f>
        <v/>
      </c>
      <c r="R59" s="1037">
        <f>R65/R62</f>
        <v/>
      </c>
      <c r="S59" s="931">
        <f>S65/S62</f>
        <v/>
      </c>
      <c r="T59" s="931">
        <f>T65/T62</f>
        <v/>
      </c>
      <c r="U59" s="931">
        <f>U65/U62</f>
        <v/>
      </c>
      <c r="V59" s="931">
        <f>V65/V62</f>
        <v/>
      </c>
      <c r="W59" s="931">
        <f>W65/W62</f>
        <v/>
      </c>
      <c r="X59" s="1036">
        <f>X65/X62</f>
        <v/>
      </c>
      <c r="Y59" s="931">
        <f>Y65/Y62</f>
        <v/>
      </c>
      <c r="Z59" s="931">
        <f>Z65/Z62</f>
        <v/>
      </c>
      <c r="AA59" s="931">
        <f>AA65/AA62</f>
        <v/>
      </c>
      <c r="AB59" s="931">
        <f>AB65/AB62</f>
        <v/>
      </c>
      <c r="AC59" s="938">
        <f>AC65/AC62</f>
        <v/>
      </c>
      <c r="AD59" s="1038" t="n"/>
      <c r="AE59" s="931" t="n"/>
      <c r="AF59" s="931" t="n"/>
      <c r="AG59" s="931" t="n"/>
      <c r="AH59" s="931" t="n"/>
      <c r="AI59" s="931" t="n"/>
      <c r="AJ59" s="938" t="n"/>
      <c r="AK59" s="929" t="n"/>
      <c r="AL59" s="931" t="n"/>
      <c r="AM59" s="931" t="n"/>
      <c r="AN59" s="931" t="n"/>
      <c r="AO59" s="931" t="n"/>
      <c r="AP59" s="931" t="n"/>
      <c r="AQ59" s="1039" t="n"/>
      <c r="AR59" s="1040" t="n"/>
      <c r="AS59" s="931" t="n"/>
      <c r="AT59" s="931" t="n"/>
      <c r="AU59" s="931" t="n"/>
      <c r="AV59" s="931" t="n"/>
      <c r="AW59" s="1041" t="n"/>
      <c r="AX59" s="931" t="n"/>
      <c r="AY59" s="931" t="n"/>
      <c r="AZ59" s="931" t="n"/>
      <c r="BA59" s="931" t="n"/>
      <c r="BB59" s="931" t="n"/>
      <c r="BC59" s="938" t="n"/>
      <c r="BD59" s="1041" t="n"/>
      <c r="BE59" s="931" t="n"/>
      <c r="BF59" s="931" t="n"/>
      <c r="BG59" s="931" t="n"/>
      <c r="BH59" s="931" t="n"/>
      <c r="BI59" s="938" t="n"/>
      <c r="BJ59" s="1041" t="n"/>
      <c r="BK59" s="931" t="n"/>
      <c r="BL59" s="931" t="n"/>
      <c r="BM59" s="931" t="n"/>
      <c r="BN59" s="931" t="n"/>
      <c r="BO59" s="938" t="n"/>
      <c r="BP59" s="1041" t="n"/>
      <c r="BQ59" s="931" t="n"/>
      <c r="BR59" s="931" t="n"/>
      <c r="BS59" s="931" t="n"/>
      <c r="BT59" s="938" t="n"/>
      <c r="BU59" s="1041" t="n"/>
      <c r="BV59" s="931" t="n"/>
      <c r="BW59" s="931" t="n"/>
      <c r="BX59" s="931" t="n"/>
      <c r="BY59" s="931" t="n"/>
      <c r="BZ59" s="939" t="n"/>
    </row>
    <row r="60" ht="16.5" customHeight="1" s="838">
      <c r="B60" s="756" t="n"/>
      <c r="C60" s="738" t="n"/>
      <c r="D60" s="738" t="n"/>
      <c r="E60" s="739" t="n"/>
      <c r="F60" s="151" t="inlineStr">
        <is>
          <t>`26 실적</t>
        </is>
      </c>
      <c r="G60" s="1036">
        <f>G66/G63</f>
        <v/>
      </c>
      <c r="H60" s="931">
        <f>H66/H63</f>
        <v/>
      </c>
      <c r="I60" s="931">
        <f>I66/I63</f>
        <v/>
      </c>
      <c r="J60" s="931">
        <f>J66/J63</f>
        <v/>
      </c>
      <c r="K60" s="931">
        <f>K66/K63</f>
        <v/>
      </c>
      <c r="L60" s="931">
        <f>L66/L63</f>
        <v/>
      </c>
      <c r="M60" s="1036">
        <f>M66/M63</f>
        <v/>
      </c>
      <c r="N60" s="931">
        <f>N66/N63</f>
        <v/>
      </c>
      <c r="O60" s="931">
        <f>O66/O63</f>
        <v/>
      </c>
      <c r="P60" s="931">
        <f>P66/P63</f>
        <v/>
      </c>
      <c r="Q60" s="938">
        <f>Q66/Q63</f>
        <v/>
      </c>
      <c r="R60" s="1037">
        <f>R66/R63</f>
        <v/>
      </c>
      <c r="S60" s="931">
        <f>S66/S63</f>
        <v/>
      </c>
      <c r="T60" s="931">
        <f>T66/T63</f>
        <v/>
      </c>
      <c r="U60" s="931">
        <f>U66/U63</f>
        <v/>
      </c>
      <c r="V60" s="931">
        <f>V66/V63</f>
        <v/>
      </c>
      <c r="W60" s="931">
        <f>W66/W63</f>
        <v/>
      </c>
      <c r="X60" s="1036">
        <f>X66/X63</f>
        <v/>
      </c>
      <c r="Y60" s="931">
        <f>Y66/Y63</f>
        <v/>
      </c>
      <c r="Z60" s="931">
        <f>Z66/Z63</f>
        <v/>
      </c>
      <c r="AA60" s="931">
        <f>AA66/AA63</f>
        <v/>
      </c>
      <c r="AB60" s="931">
        <f>AB66/AB63</f>
        <v/>
      </c>
      <c r="AC60" s="938">
        <f>AC66/AC63</f>
        <v/>
      </c>
      <c r="AD60" s="1038" t="n"/>
      <c r="AE60" s="931" t="n"/>
      <c r="AF60" s="931" t="n"/>
      <c r="AG60" s="931" t="n"/>
      <c r="AH60" s="931" t="n"/>
      <c r="AI60" s="931" t="n"/>
      <c r="AJ60" s="938" t="n"/>
      <c r="AK60" s="929" t="n"/>
      <c r="AL60" s="931" t="n"/>
      <c r="AM60" s="931" t="n"/>
      <c r="AN60" s="931" t="n"/>
      <c r="AO60" s="931" t="n"/>
      <c r="AP60" s="931" t="n"/>
      <c r="AQ60" s="1039" t="n"/>
      <c r="AR60" s="1040" t="n"/>
      <c r="AS60" s="931" t="n"/>
      <c r="AT60" s="931" t="n"/>
      <c r="AU60" s="931" t="n"/>
      <c r="AV60" s="931" t="n"/>
      <c r="AW60" s="281" t="n"/>
      <c r="BC60" s="151" t="n"/>
      <c r="BD60" s="281" t="n"/>
      <c r="BI60" s="151" t="n"/>
      <c r="BJ60" s="281" t="n"/>
      <c r="BO60" s="151" t="n"/>
      <c r="BP60" s="281" t="n"/>
      <c r="BT60" s="151" t="n"/>
      <c r="BU60" s="281" t="n"/>
      <c r="BZ60" s="152" t="n"/>
    </row>
    <row r="61" ht="16.5" customHeight="1" s="838">
      <c r="B61" s="756" t="n"/>
      <c r="C61" s="738" t="n"/>
      <c r="D61" s="738" t="n"/>
      <c r="E61" s="778" t="inlineStr">
        <is>
          <t>생산액</t>
        </is>
      </c>
      <c r="F61" s="220" t="inlineStr">
        <is>
          <t>`25 실적</t>
        </is>
      </c>
      <c r="G61" s="1042">
        <f>SUM(G70,G160)</f>
        <v/>
      </c>
      <c r="H61" s="1043">
        <f>SUM(H70,H160)</f>
        <v/>
      </c>
      <c r="I61" s="1043">
        <f>SUM(I70,I160)</f>
        <v/>
      </c>
      <c r="J61" s="1043">
        <f>SUM(J70,J160)</f>
        <v/>
      </c>
      <c r="K61" s="1043">
        <f>SUM(K70,K160)</f>
        <v/>
      </c>
      <c r="L61" s="1043">
        <f>SUM(L70,L160)</f>
        <v/>
      </c>
      <c r="M61" s="1044">
        <f>SUM(M70,M160)</f>
        <v/>
      </c>
      <c r="N61" s="1043">
        <f>SUM(N70,N160)</f>
        <v/>
      </c>
      <c r="O61" s="1043">
        <f>SUM(O70,O160)</f>
        <v/>
      </c>
      <c r="P61" s="904">
        <f>SUM(P70,P160)</f>
        <v/>
      </c>
      <c r="Q61" s="905">
        <f>SUM(Q70,Q160)</f>
        <v/>
      </c>
      <c r="R61" s="1045">
        <f>SUM(R70,R160)</f>
        <v/>
      </c>
      <c r="S61" s="904">
        <f>SUM(S70,S160)</f>
        <v/>
      </c>
      <c r="T61" s="904">
        <f>SUM(T70,T160)</f>
        <v/>
      </c>
      <c r="U61" s="904">
        <f>SUM(U70,U160)</f>
        <v/>
      </c>
      <c r="V61" s="904">
        <f>SUM(V70,V160)</f>
        <v/>
      </c>
      <c r="W61" s="904">
        <f>SUM(W70,W160)</f>
        <v/>
      </c>
      <c r="X61" s="1042">
        <f>SUM(X70,X160)</f>
        <v/>
      </c>
      <c r="Y61" s="904">
        <f>SUM(Y70,Y160)</f>
        <v/>
      </c>
      <c r="Z61" s="904">
        <f>SUM(Z70,Z160)</f>
        <v/>
      </c>
      <c r="AA61" s="904">
        <f>SUM(AA70,AA160)</f>
        <v/>
      </c>
      <c r="AB61" s="904">
        <f>SUM(AB70,AB160)</f>
        <v/>
      </c>
      <c r="AC61" s="905">
        <f>SUM(AC70,AC160)</f>
        <v/>
      </c>
      <c r="AD61" s="1046" t="n"/>
      <c r="AE61" s="904" t="n"/>
      <c r="AF61" s="904" t="n"/>
      <c r="AG61" s="904" t="n"/>
      <c r="AH61" s="904" t="n"/>
      <c r="AI61" s="904" t="n"/>
      <c r="AJ61" s="905" t="n"/>
      <c r="AK61" s="903" t="n"/>
      <c r="AL61" s="904" t="n"/>
      <c r="AM61" s="904" t="n"/>
      <c r="AN61" s="904" t="n"/>
      <c r="AO61" s="904" t="n"/>
      <c r="AP61" s="904" t="n"/>
      <c r="AQ61" s="1047" t="n"/>
      <c r="AR61" s="1048" t="n"/>
      <c r="AS61" s="904" t="n"/>
      <c r="AT61" s="904" t="n"/>
      <c r="AU61" s="904" t="n"/>
      <c r="AV61" s="904" t="n"/>
      <c r="AW61" s="1049" t="n"/>
      <c r="AX61" s="904" t="n"/>
      <c r="AY61" s="904" t="n"/>
      <c r="AZ61" s="904" t="n"/>
      <c r="BA61" s="904" t="n"/>
      <c r="BB61" s="904" t="n"/>
      <c r="BC61" s="905" t="n"/>
      <c r="BD61" s="1049" t="n"/>
      <c r="BE61" s="904" t="n"/>
      <c r="BF61" s="904" t="n"/>
      <c r="BG61" s="904" t="n"/>
      <c r="BH61" s="904" t="n"/>
      <c r="BI61" s="905" t="n"/>
      <c r="BJ61" s="1049" t="n"/>
      <c r="BK61" s="904" t="n"/>
      <c r="BL61" s="904" t="n"/>
      <c r="BM61" s="904" t="n"/>
      <c r="BN61" s="904" t="n"/>
      <c r="BO61" s="905" t="n"/>
      <c r="BP61" s="1049" t="n"/>
      <c r="BQ61" s="904" t="n"/>
      <c r="BR61" s="904" t="n"/>
      <c r="BS61" s="904" t="n"/>
      <c r="BT61" s="905" t="n"/>
      <c r="BU61" s="1049" t="n"/>
      <c r="BV61" s="904" t="n"/>
      <c r="BW61" s="904" t="n"/>
      <c r="BX61" s="904" t="n"/>
      <c r="BY61" s="904" t="n"/>
      <c r="BZ61" s="936" t="n"/>
    </row>
    <row r="62" ht="16.5" customHeight="1" s="838">
      <c r="B62" s="756" t="n"/>
      <c r="C62" s="738" t="n"/>
      <c r="D62" s="738" t="n"/>
      <c r="E62" s="738" t="n"/>
      <c r="F62" s="151" t="inlineStr">
        <is>
          <t>`26 목표</t>
        </is>
      </c>
      <c r="G62" s="1050">
        <f>SUM(G71,G161)</f>
        <v/>
      </c>
      <c r="H62" s="1051">
        <f>SUM(H71,H161)</f>
        <v/>
      </c>
      <c r="I62" s="1051">
        <f>SUM(I71,I161)</f>
        <v/>
      </c>
      <c r="J62" s="1051">
        <f>SUM(J71,J161)</f>
        <v/>
      </c>
      <c r="K62" s="1051">
        <f>SUM(K71,K161)</f>
        <v/>
      </c>
      <c r="L62" s="1051">
        <f>SUM(L71,L161)</f>
        <v/>
      </c>
      <c r="M62" s="1052">
        <f>SUM(M71,M161)</f>
        <v/>
      </c>
      <c r="N62" s="1051">
        <f>SUM(N71,N161)</f>
        <v/>
      </c>
      <c r="O62" s="1051">
        <f>SUM(O71,O161)</f>
        <v/>
      </c>
      <c r="P62" s="926">
        <f>SUM(P71,P161)</f>
        <v/>
      </c>
      <c r="Q62" s="927">
        <f>SUM(Q71,Q161)</f>
        <v/>
      </c>
      <c r="R62" s="1053">
        <f>SUM(R71,R161)</f>
        <v/>
      </c>
      <c r="S62" s="926">
        <f>SUM(S71,S161)</f>
        <v/>
      </c>
      <c r="T62" s="926">
        <f>SUM(T71,T161)</f>
        <v/>
      </c>
      <c r="U62" s="926">
        <f>SUM(U71,U161)</f>
        <v/>
      </c>
      <c r="V62" s="926">
        <f>SUM(V71,V161)</f>
        <v/>
      </c>
      <c r="W62" s="926">
        <f>SUM(W71,W161)</f>
        <v/>
      </c>
      <c r="X62" s="1050">
        <f>SUM(X71,X161)</f>
        <v/>
      </c>
      <c r="Y62" s="926">
        <f>SUM(Y71,Y161)</f>
        <v/>
      </c>
      <c r="Z62" s="926">
        <f>SUM(Z71,Z161)</f>
        <v/>
      </c>
      <c r="AA62" s="926">
        <f>SUM(AA71,AA161)</f>
        <v/>
      </c>
      <c r="AB62" s="926">
        <f>SUM(AB71,AB161)</f>
        <v/>
      </c>
      <c r="AC62" s="927">
        <f>SUM(AC71,AC161)</f>
        <v/>
      </c>
      <c r="AD62" s="1054" t="n"/>
      <c r="AE62" s="926" t="n"/>
      <c r="AF62" s="926" t="n"/>
      <c r="AG62" s="926" t="n"/>
      <c r="AH62" s="926" t="n"/>
      <c r="AI62" s="926" t="n"/>
      <c r="AJ62" s="927" t="n"/>
      <c r="AK62" s="925" t="n"/>
      <c r="AL62" s="926" t="n"/>
      <c r="AM62" s="926" t="n"/>
      <c r="AN62" s="926" t="n"/>
      <c r="AO62" s="926" t="n"/>
      <c r="AP62" s="926" t="n"/>
      <c r="AQ62" s="1055" t="n"/>
      <c r="AR62" s="1056" t="n"/>
      <c r="AS62" s="926" t="n"/>
      <c r="AT62" s="926" t="n"/>
      <c r="AU62" s="926" t="n"/>
      <c r="AV62" s="926" t="n"/>
      <c r="AW62" s="1057" t="n"/>
      <c r="AX62" s="926" t="n"/>
      <c r="AY62" s="926" t="n"/>
      <c r="AZ62" s="926" t="n"/>
      <c r="BA62" s="926" t="n"/>
      <c r="BB62" s="926" t="n"/>
      <c r="BC62" s="927" t="n"/>
      <c r="BD62" s="1057" t="n"/>
      <c r="BE62" s="926" t="n"/>
      <c r="BF62" s="926" t="n"/>
      <c r="BG62" s="926" t="n"/>
      <c r="BH62" s="926" t="n"/>
      <c r="BI62" s="927" t="n"/>
      <c r="BJ62" s="1057" t="n"/>
      <c r="BK62" s="926" t="n"/>
      <c r="BL62" s="926" t="n"/>
      <c r="BM62" s="926" t="n"/>
      <c r="BN62" s="926" t="n"/>
      <c r="BO62" s="927" t="n"/>
      <c r="BP62" s="1057" t="n"/>
      <c r="BQ62" s="926" t="n"/>
      <c r="BR62" s="926" t="n"/>
      <c r="BS62" s="926" t="n"/>
      <c r="BT62" s="927" t="n"/>
      <c r="BU62" s="1057" t="n"/>
      <c r="BV62" s="926" t="n"/>
      <c r="BW62" s="926" t="n"/>
      <c r="BX62" s="926" t="n"/>
      <c r="BY62" s="926" t="n"/>
      <c r="BZ62" s="928" t="n"/>
    </row>
    <row r="63" ht="16.5" customHeight="1" s="838">
      <c r="B63" s="756" t="n"/>
      <c r="C63" s="738" t="n"/>
      <c r="D63" s="738" t="n"/>
      <c r="E63" s="739" t="n"/>
      <c r="F63" s="134" t="inlineStr">
        <is>
          <t>`26 실적</t>
        </is>
      </c>
      <c r="G63" s="1058">
        <f>SUM(G72,G162)</f>
        <v/>
      </c>
      <c r="H63" s="1059">
        <f>SUM(H72,H162)</f>
        <v/>
      </c>
      <c r="I63" s="1059">
        <f>SUM(I72,I162)</f>
        <v/>
      </c>
      <c r="J63" s="1059">
        <f>SUM(J72,J162)</f>
        <v/>
      </c>
      <c r="K63" s="1059">
        <f>SUM(K72,K162)</f>
        <v/>
      </c>
      <c r="L63" s="1059">
        <f>SUM(L72,L162)</f>
        <v/>
      </c>
      <c r="M63" s="1060">
        <f>SUM(M72,M162)</f>
        <v/>
      </c>
      <c r="N63" s="1059">
        <f>SUM(N72,N162)</f>
        <v/>
      </c>
      <c r="O63" s="1059">
        <f>SUM(O72,O162)</f>
        <v/>
      </c>
      <c r="P63" s="897">
        <f>SUM(P72,P162)</f>
        <v/>
      </c>
      <c r="Q63" s="898">
        <f>SUM(Q72,Q162)</f>
        <v/>
      </c>
      <c r="R63" s="1061">
        <f>SUM(R72,R162)</f>
        <v/>
      </c>
      <c r="S63" s="897">
        <f>SUM(S72,S162)</f>
        <v/>
      </c>
      <c r="T63" s="897">
        <f>SUM(T72,T162)</f>
        <v/>
      </c>
      <c r="U63" s="897">
        <f>SUM(U72,U162)</f>
        <v/>
      </c>
      <c r="V63" s="897">
        <f>SUM(V72,V162)</f>
        <v/>
      </c>
      <c r="W63" s="897">
        <f>SUM(W72,W162)</f>
        <v/>
      </c>
      <c r="X63" s="1058">
        <f>SUM(X72,X162)</f>
        <v/>
      </c>
      <c r="Y63" s="897">
        <f>SUM(Y72,Y162)</f>
        <v/>
      </c>
      <c r="Z63" s="897">
        <f>SUM(Z72,Z162)</f>
        <v/>
      </c>
      <c r="AA63" s="897">
        <f>SUM(AA72,AA162)</f>
        <v/>
      </c>
      <c r="AB63" s="897">
        <f>SUM(AB72,AB162)</f>
        <v/>
      </c>
      <c r="AC63" s="898">
        <f>SUM(AC72,AC162)</f>
        <v/>
      </c>
      <c r="AD63" s="1062" t="n"/>
      <c r="AE63" s="897" t="n"/>
      <c r="AF63" s="897" t="n"/>
      <c r="AG63" s="897" t="n"/>
      <c r="AH63" s="897" t="n"/>
      <c r="AI63" s="897" t="n"/>
      <c r="AJ63" s="898" t="n"/>
      <c r="AK63" s="896" t="n"/>
      <c r="AL63" s="897" t="n"/>
      <c r="AM63" s="897" t="n"/>
      <c r="AN63" s="897" t="n"/>
      <c r="AO63" s="897" t="n"/>
      <c r="AP63" s="897" t="n"/>
      <c r="AQ63" s="1063" t="n"/>
      <c r="AR63" s="1064" t="n"/>
      <c r="AS63" s="897" t="n"/>
      <c r="AT63" s="897" t="n"/>
      <c r="AU63" s="897" t="n"/>
      <c r="AV63" s="897" t="n"/>
      <c r="AW63" s="1065" t="n"/>
      <c r="AX63" s="1066" t="n"/>
      <c r="AY63" s="1066" t="n"/>
      <c r="AZ63" s="1066" t="n"/>
      <c r="BA63" s="1066" t="n"/>
      <c r="BB63" s="1066" t="n"/>
      <c r="BC63" s="1067" t="n"/>
      <c r="BD63" s="1065" t="n"/>
      <c r="BE63" s="1066" t="n"/>
      <c r="BF63" s="1066" t="n"/>
      <c r="BG63" s="1066" t="n"/>
      <c r="BH63" s="1066" t="n"/>
      <c r="BI63" s="1067" t="n"/>
      <c r="BJ63" s="1065" t="n"/>
      <c r="BK63" s="1066" t="n"/>
      <c r="BL63" s="1066" t="n"/>
      <c r="BM63" s="1066" t="n"/>
      <c r="BN63" s="1066" t="n"/>
      <c r="BO63" s="1067" t="n"/>
      <c r="BP63" s="1065" t="n"/>
      <c r="BQ63" s="1066" t="n"/>
      <c r="BR63" s="1066" t="n"/>
      <c r="BS63" s="1066" t="n"/>
      <c r="BT63" s="1067" t="n"/>
      <c r="BU63" s="1065" t="n"/>
      <c r="BV63" s="1066" t="n"/>
      <c r="BW63" s="1066" t="n"/>
      <c r="BX63" s="1066" t="n"/>
      <c r="BY63" s="1066" t="n"/>
      <c r="BZ63" s="1068" t="n"/>
    </row>
    <row r="64" ht="16.5" customHeight="1" s="838">
      <c r="B64" s="756" t="n"/>
      <c r="C64" s="738" t="n"/>
      <c r="D64" s="738" t="n"/>
      <c r="E64" s="778" t="inlineStr">
        <is>
          <t>가공비</t>
        </is>
      </c>
      <c r="F64" s="220" t="inlineStr">
        <is>
          <t>`25 실적</t>
        </is>
      </c>
      <c r="G64" s="1042">
        <f>SUM(G73,G163)</f>
        <v/>
      </c>
      <c r="H64" s="1043">
        <f>SUM(H73,H163)</f>
        <v/>
      </c>
      <c r="I64" s="1043">
        <f>SUM(I73,I163)</f>
        <v/>
      </c>
      <c r="J64" s="1043">
        <f>SUM(J73,J163)</f>
        <v/>
      </c>
      <c r="K64" s="1043">
        <f>SUM(K73,K163)</f>
        <v/>
      </c>
      <c r="L64" s="1043">
        <f>SUM(L73,L163)</f>
        <v/>
      </c>
      <c r="M64" s="1044">
        <f>SUM(M73,M163)</f>
        <v/>
      </c>
      <c r="N64" s="1043">
        <f>SUM(N73,N163)</f>
        <v/>
      </c>
      <c r="O64" s="1043">
        <f>SUM(O73,O163)</f>
        <v/>
      </c>
      <c r="P64" s="904">
        <f>SUM(P73,P163)</f>
        <v/>
      </c>
      <c r="Q64" s="905">
        <f>SUM(Q73,Q163)</f>
        <v/>
      </c>
      <c r="R64" s="1045">
        <f>SUM(R73,R163)</f>
        <v/>
      </c>
      <c r="S64" s="904">
        <f>SUM(S73,S163)</f>
        <v/>
      </c>
      <c r="T64" s="904">
        <f>SUM(T73,T163)</f>
        <v/>
      </c>
      <c r="U64" s="904">
        <f>SUM(U73,U163)</f>
        <v/>
      </c>
      <c r="V64" s="904">
        <f>SUM(V73,V163)</f>
        <v/>
      </c>
      <c r="W64" s="904">
        <f>SUM(W73,W163)</f>
        <v/>
      </c>
      <c r="X64" s="1042">
        <f>SUM(X73,X163)</f>
        <v/>
      </c>
      <c r="Y64" s="904">
        <f>SUM(Y73,Y163)</f>
        <v/>
      </c>
      <c r="Z64" s="904">
        <f>SUM(Z73,Z163)</f>
        <v/>
      </c>
      <c r="AA64" s="904">
        <f>SUM(AA73,AA163)</f>
        <v/>
      </c>
      <c r="AB64" s="904">
        <f>SUM(AB73,AB163)</f>
        <v/>
      </c>
      <c r="AC64" s="905">
        <f>SUM(AC73,AC163)</f>
        <v/>
      </c>
      <c r="AD64" s="1046" t="n"/>
      <c r="AE64" s="904" t="n"/>
      <c r="AF64" s="904" t="n"/>
      <c r="AG64" s="904" t="n"/>
      <c r="AH64" s="904" t="n"/>
      <c r="AI64" s="904" t="n"/>
      <c r="AJ64" s="905" t="n"/>
      <c r="AK64" s="903" t="n"/>
      <c r="AL64" s="904" t="n"/>
      <c r="AM64" s="904" t="n"/>
      <c r="AN64" s="904" t="n"/>
      <c r="AO64" s="904" t="n"/>
      <c r="AP64" s="904" t="n"/>
      <c r="AQ64" s="1047" t="n"/>
      <c r="AR64" s="1048" t="n"/>
      <c r="AS64" s="904" t="n"/>
      <c r="AT64" s="904" t="n"/>
      <c r="AU64" s="904" t="n"/>
      <c r="AV64" s="904" t="n"/>
      <c r="AW64" s="1049" t="n"/>
      <c r="AX64" s="904" t="n"/>
      <c r="AY64" s="904" t="n"/>
      <c r="AZ64" s="904" t="n"/>
      <c r="BA64" s="904" t="n"/>
      <c r="BB64" s="904" t="n"/>
      <c r="BC64" s="905" t="n"/>
      <c r="BD64" s="1049" t="n"/>
      <c r="BE64" s="904" t="n"/>
      <c r="BF64" s="904" t="n"/>
      <c r="BG64" s="904" t="n"/>
      <c r="BH64" s="904" t="n"/>
      <c r="BI64" s="905" t="n"/>
      <c r="BJ64" s="1049" t="n"/>
      <c r="BK64" s="904" t="n"/>
      <c r="BL64" s="904" t="n"/>
      <c r="BM64" s="904" t="n"/>
      <c r="BN64" s="904" t="n"/>
      <c r="BO64" s="905" t="n"/>
      <c r="BP64" s="1049" t="n"/>
      <c r="BQ64" s="904" t="n"/>
      <c r="BR64" s="904" t="n"/>
      <c r="BS64" s="904" t="n"/>
      <c r="BT64" s="905" t="n"/>
      <c r="BU64" s="1049" t="n"/>
      <c r="BV64" s="904" t="n"/>
      <c r="BW64" s="904" t="n"/>
      <c r="BX64" s="904" t="n"/>
      <c r="BY64" s="904" t="n"/>
      <c r="BZ64" s="936" t="n"/>
    </row>
    <row r="65" ht="16.5" customHeight="1" s="838">
      <c r="B65" s="756" t="n"/>
      <c r="C65" s="738" t="n"/>
      <c r="D65" s="738" t="n"/>
      <c r="E65" s="738" t="n"/>
      <c r="F65" s="151" t="inlineStr">
        <is>
          <t>`26 목표</t>
        </is>
      </c>
      <c r="G65" s="1050">
        <f>SUM(G74,G164)</f>
        <v/>
      </c>
      <c r="H65" s="1051">
        <f>SUM(H74,H164)</f>
        <v/>
      </c>
      <c r="I65" s="1051">
        <f>SUM(I74,I164)</f>
        <v/>
      </c>
      <c r="J65" s="1051">
        <f>SUM(J74,J164)</f>
        <v/>
      </c>
      <c r="K65" s="1051">
        <f>SUM(K74,K164)</f>
        <v/>
      </c>
      <c r="L65" s="1051">
        <f>SUM(L74,L164)</f>
        <v/>
      </c>
      <c r="M65" s="1052">
        <f>SUM(M74,M164)</f>
        <v/>
      </c>
      <c r="N65" s="1051">
        <f>SUM(N74,N164)</f>
        <v/>
      </c>
      <c r="O65" s="1051">
        <f>SUM(O74,O164)</f>
        <v/>
      </c>
      <c r="P65" s="926">
        <f>SUM(P74,P164)</f>
        <v/>
      </c>
      <c r="Q65" s="927">
        <f>SUM(Q74,Q164)</f>
        <v/>
      </c>
      <c r="R65" s="1053">
        <f>SUM(R74,R164)</f>
        <v/>
      </c>
      <c r="S65" s="926">
        <f>SUM(S74,S164)</f>
        <v/>
      </c>
      <c r="T65" s="926">
        <f>SUM(T74,T164)</f>
        <v/>
      </c>
      <c r="U65" s="926">
        <f>SUM(U74,U164)</f>
        <v/>
      </c>
      <c r="V65" s="926">
        <f>SUM(V74,V164)</f>
        <v/>
      </c>
      <c r="W65" s="926">
        <f>SUM(W74,W164)</f>
        <v/>
      </c>
      <c r="X65" s="1050">
        <f>SUM(X74,X164)</f>
        <v/>
      </c>
      <c r="Y65" s="926">
        <f>SUM(Y74,Y164)</f>
        <v/>
      </c>
      <c r="Z65" s="926">
        <f>SUM(Z74,Z164)</f>
        <v/>
      </c>
      <c r="AA65" s="926">
        <f>SUM(AA74,AA164)</f>
        <v/>
      </c>
      <c r="AB65" s="926">
        <f>SUM(AB74,AB164)</f>
        <v/>
      </c>
      <c r="AC65" s="927">
        <f>SUM(AC74,AC164)</f>
        <v/>
      </c>
      <c r="AD65" s="1054" t="n"/>
      <c r="AE65" s="926" t="n"/>
      <c r="AF65" s="926" t="n"/>
      <c r="AG65" s="926" t="n"/>
      <c r="AH65" s="926" t="n"/>
      <c r="AI65" s="926" t="n"/>
      <c r="AJ65" s="927" t="n"/>
      <c r="AK65" s="925" t="n"/>
      <c r="AL65" s="926" t="n"/>
      <c r="AM65" s="926" t="n"/>
      <c r="AN65" s="926" t="n"/>
      <c r="AO65" s="926" t="n"/>
      <c r="AP65" s="926" t="n"/>
      <c r="AQ65" s="1055" t="n"/>
      <c r="AR65" s="1056" t="n"/>
      <c r="AS65" s="926" t="n"/>
      <c r="AT65" s="926" t="n"/>
      <c r="AU65" s="926" t="n"/>
      <c r="AV65" s="926" t="n"/>
      <c r="AW65" s="1057" t="n"/>
      <c r="AX65" s="926" t="n"/>
      <c r="AY65" s="926" t="n"/>
      <c r="AZ65" s="926" t="n"/>
      <c r="BA65" s="926" t="n"/>
      <c r="BB65" s="926" t="n"/>
      <c r="BC65" s="927" t="n"/>
      <c r="BD65" s="1057" t="n"/>
      <c r="BE65" s="926" t="n"/>
      <c r="BF65" s="926" t="n"/>
      <c r="BG65" s="926" t="n"/>
      <c r="BH65" s="926" t="n"/>
      <c r="BI65" s="927" t="n"/>
      <c r="BJ65" s="1057" t="n"/>
      <c r="BK65" s="926" t="n"/>
      <c r="BL65" s="926" t="n"/>
      <c r="BM65" s="926" t="n"/>
      <c r="BN65" s="926" t="n"/>
      <c r="BO65" s="927" t="n"/>
      <c r="BP65" s="1057" t="n"/>
      <c r="BQ65" s="926" t="n"/>
      <c r="BR65" s="926" t="n"/>
      <c r="BS65" s="926" t="n"/>
      <c r="BT65" s="927" t="n"/>
      <c r="BU65" s="1057" t="n"/>
      <c r="BV65" s="926" t="n"/>
      <c r="BW65" s="926" t="n"/>
      <c r="BX65" s="926" t="n"/>
      <c r="BY65" s="926" t="n"/>
      <c r="BZ65" s="928" t="n"/>
    </row>
    <row r="66" ht="16.5" customHeight="1" s="838">
      <c r="B66" s="756" t="n"/>
      <c r="C66" s="739" t="n"/>
      <c r="D66" s="739" t="n"/>
      <c r="E66" s="739" t="n"/>
      <c r="F66" s="134" t="inlineStr">
        <is>
          <t>`26 실적</t>
        </is>
      </c>
      <c r="G66" s="1058">
        <f>SUM(G75,G165)</f>
        <v/>
      </c>
      <c r="H66" s="1059">
        <f>SUM(H75,H165)</f>
        <v/>
      </c>
      <c r="I66" s="1059">
        <f>SUM(I75,I165)</f>
        <v/>
      </c>
      <c r="J66" s="1059">
        <f>SUM(J75,J165)</f>
        <v/>
      </c>
      <c r="K66" s="1059">
        <f>SUM(K75,K165)</f>
        <v/>
      </c>
      <c r="L66" s="1059">
        <f>SUM(L75,L165)</f>
        <v/>
      </c>
      <c r="M66" s="1060">
        <f>SUM(M75,M165)</f>
        <v/>
      </c>
      <c r="N66" s="1059">
        <f>SUM(N75,N165)</f>
        <v/>
      </c>
      <c r="O66" s="1059">
        <f>SUM(O75,O165)</f>
        <v/>
      </c>
      <c r="P66" s="897">
        <f>SUM(P75,P165)</f>
        <v/>
      </c>
      <c r="Q66" s="898">
        <f>SUM(Q75,Q165)</f>
        <v/>
      </c>
      <c r="R66" s="1061">
        <f>SUM(R75,R165)</f>
        <v/>
      </c>
      <c r="S66" s="897">
        <f>SUM(S75,S165)</f>
        <v/>
      </c>
      <c r="T66" s="897">
        <f>SUM(T75,T165)</f>
        <v/>
      </c>
      <c r="U66" s="897">
        <f>SUM(U75,U165)</f>
        <v/>
      </c>
      <c r="V66" s="897">
        <f>SUM(V75,V165)</f>
        <v/>
      </c>
      <c r="W66" s="897">
        <f>SUM(W75,W165)</f>
        <v/>
      </c>
      <c r="X66" s="1058">
        <f>SUM(X75,X165)</f>
        <v/>
      </c>
      <c r="Y66" s="897">
        <f>SUM(Y75,Y165)</f>
        <v/>
      </c>
      <c r="Z66" s="897">
        <f>SUM(Z75,Z165)</f>
        <v/>
      </c>
      <c r="AA66" s="897">
        <f>SUM(AA75,AA165)</f>
        <v/>
      </c>
      <c r="AB66" s="897">
        <f>SUM(AB75,AB165)</f>
        <v/>
      </c>
      <c r="AC66" s="898">
        <f>SUM(AC75,AC165)</f>
        <v/>
      </c>
      <c r="AD66" s="1062" t="n"/>
      <c r="AE66" s="897" t="n"/>
      <c r="AF66" s="897" t="n"/>
      <c r="AG66" s="897" t="n"/>
      <c r="AH66" s="897" t="n"/>
      <c r="AI66" s="897" t="n"/>
      <c r="AJ66" s="898" t="n"/>
      <c r="AK66" s="896" t="n"/>
      <c r="AL66" s="897" t="n"/>
      <c r="AM66" s="897" t="n"/>
      <c r="AN66" s="897" t="n"/>
      <c r="AO66" s="897" t="n"/>
      <c r="AP66" s="897" t="n"/>
      <c r="AQ66" s="1063" t="n"/>
      <c r="AR66" s="1064" t="n"/>
      <c r="AS66" s="897" t="n"/>
      <c r="AT66" s="897" t="n"/>
      <c r="AU66" s="897" t="n"/>
      <c r="AV66" s="897" t="n"/>
      <c r="AW66" s="1065" t="n"/>
      <c r="AX66" s="1066" t="n"/>
      <c r="AY66" s="1066" t="n"/>
      <c r="AZ66" s="1066" t="n"/>
      <c r="BA66" s="1066" t="n"/>
      <c r="BB66" s="1066" t="n"/>
      <c r="BC66" s="1067" t="n"/>
      <c r="BD66" s="1065" t="n"/>
      <c r="BE66" s="1066" t="n"/>
      <c r="BF66" s="1066" t="n"/>
      <c r="BG66" s="1066" t="n"/>
      <c r="BH66" s="1066" t="n"/>
      <c r="BI66" s="1067" t="n"/>
      <c r="BJ66" s="1065" t="n"/>
      <c r="BK66" s="1066" t="n"/>
      <c r="BL66" s="1066" t="n"/>
      <c r="BM66" s="1066" t="n"/>
      <c r="BN66" s="1066" t="n"/>
      <c r="BO66" s="1067" t="n"/>
      <c r="BP66" s="1065" t="n"/>
      <c r="BQ66" s="1066" t="n"/>
      <c r="BR66" s="1066" t="n"/>
      <c r="BS66" s="1066" t="n"/>
      <c r="BT66" s="1067" t="n"/>
      <c r="BU66" s="1065" t="n"/>
      <c r="BV66" s="1066" t="n"/>
      <c r="BW66" s="1066" t="n"/>
      <c r="BX66" s="1066" t="n"/>
      <c r="BY66" s="1066" t="n"/>
      <c r="BZ66" s="1068" t="n"/>
    </row>
    <row r="67" ht="16.5" customHeight="1" s="838">
      <c r="B67" s="756" t="n"/>
      <c r="C67" s="737" t="inlineStr">
        <is>
          <t>제품1</t>
        </is>
      </c>
      <c r="D67" s="775" t="inlineStr">
        <is>
          <t>지역 합계</t>
        </is>
      </c>
      <c r="E67" s="737" t="inlineStr">
        <is>
          <t>가공비율</t>
        </is>
      </c>
      <c r="F67" s="220" t="inlineStr">
        <is>
          <t>`25 실적</t>
        </is>
      </c>
      <c r="G67" s="1069">
        <f>G73/G70</f>
        <v/>
      </c>
      <c r="H67" s="930">
        <f>H73/H70</f>
        <v/>
      </c>
      <c r="I67" s="930">
        <f>I73/I70</f>
        <v/>
      </c>
      <c r="J67" s="930">
        <f>J73/J70</f>
        <v/>
      </c>
      <c r="K67" s="930">
        <f>K73/K70</f>
        <v/>
      </c>
      <c r="L67" s="930">
        <f>L73/L70</f>
        <v/>
      </c>
      <c r="M67" s="1069">
        <f>M73/M70</f>
        <v/>
      </c>
      <c r="N67" s="930">
        <f>N73/N70</f>
        <v/>
      </c>
      <c r="O67" s="930">
        <f>O73/O70</f>
        <v/>
      </c>
      <c r="P67" s="930">
        <f>P73/P70</f>
        <v/>
      </c>
      <c r="Q67" s="933">
        <f>Q73/Q70</f>
        <v/>
      </c>
      <c r="R67" s="1070">
        <f>R73/R70</f>
        <v/>
      </c>
      <c r="S67" s="930">
        <f>S73/S70</f>
        <v/>
      </c>
      <c r="T67" s="930">
        <f>T73/T70</f>
        <v/>
      </c>
      <c r="U67" s="930">
        <f>U73/U70</f>
        <v/>
      </c>
      <c r="V67" s="930">
        <f>V73/V70</f>
        <v/>
      </c>
      <c r="W67" s="930">
        <f>W73/W70</f>
        <v/>
      </c>
      <c r="X67" s="1069">
        <f>X73/X70</f>
        <v/>
      </c>
      <c r="Y67" s="930">
        <f>Y73/Y70</f>
        <v/>
      </c>
      <c r="Z67" s="930">
        <f>Z73/Z70</f>
        <v/>
      </c>
      <c r="AA67" s="930">
        <f>AA73/AA70</f>
        <v/>
      </c>
      <c r="AB67" s="930">
        <f>AB73/AB70</f>
        <v/>
      </c>
      <c r="AC67" s="933">
        <f>AC73/AC70</f>
        <v/>
      </c>
      <c r="AD67" s="1071" t="n"/>
      <c r="AE67" s="930" t="n"/>
      <c r="AF67" s="930" t="n"/>
      <c r="AG67" s="930" t="n"/>
      <c r="AH67" s="930" t="n"/>
      <c r="AI67" s="930" t="n"/>
      <c r="AJ67" s="933" t="n"/>
      <c r="AK67" s="932" t="n"/>
      <c r="AL67" s="930" t="n"/>
      <c r="AM67" s="930" t="n"/>
      <c r="AN67" s="930" t="n"/>
      <c r="AO67" s="930" t="n"/>
      <c r="AP67" s="930" t="n"/>
      <c r="AQ67" s="1072" t="n"/>
      <c r="AR67" s="1073" t="n"/>
      <c r="AS67" s="930" t="n"/>
      <c r="AT67" s="930" t="n"/>
      <c r="AU67" s="930" t="n"/>
      <c r="AV67" s="930" t="n"/>
      <c r="AW67" s="1074" t="n"/>
      <c r="AX67" s="930" t="n"/>
      <c r="AY67" s="930" t="n"/>
      <c r="AZ67" s="930" t="n"/>
      <c r="BA67" s="930" t="n"/>
      <c r="BB67" s="930" t="n"/>
      <c r="BC67" s="933" t="n"/>
      <c r="BD67" s="1074" t="n"/>
      <c r="BE67" s="930" t="n"/>
      <c r="BF67" s="930" t="n"/>
      <c r="BG67" s="930" t="n"/>
      <c r="BH67" s="930" t="n"/>
      <c r="BI67" s="933" t="n"/>
      <c r="BJ67" s="1074" t="n"/>
      <c r="BK67" s="930" t="n"/>
      <c r="BL67" s="930" t="n"/>
      <c r="BM67" s="930" t="n"/>
      <c r="BN67" s="930" t="n"/>
      <c r="BO67" s="933" t="n"/>
      <c r="BP67" s="1074" t="n"/>
      <c r="BQ67" s="930" t="n"/>
      <c r="BR67" s="930" t="n"/>
      <c r="BS67" s="930" t="n"/>
      <c r="BT67" s="933" t="n"/>
      <c r="BU67" s="1074" t="n"/>
      <c r="BV67" s="930" t="n"/>
      <c r="BW67" s="930" t="n"/>
      <c r="BX67" s="930" t="n"/>
      <c r="BY67" s="930" t="n"/>
      <c r="BZ67" s="934" t="n"/>
    </row>
    <row r="68" ht="16.5" customHeight="1" s="838">
      <c r="B68" s="756" t="n"/>
      <c r="C68" s="738" t="n"/>
      <c r="D68" s="738" t="n"/>
      <c r="E68" s="738" t="n"/>
      <c r="F68" s="151" t="inlineStr">
        <is>
          <t>`26 목표</t>
        </is>
      </c>
      <c r="G68" s="1036">
        <f>G74/G71</f>
        <v/>
      </c>
      <c r="H68" s="931">
        <f>H74/H71</f>
        <v/>
      </c>
      <c r="I68" s="931">
        <f>I74/I71</f>
        <v/>
      </c>
      <c r="J68" s="931">
        <f>J74/J71</f>
        <v/>
      </c>
      <c r="K68" s="931">
        <f>K74/K71</f>
        <v/>
      </c>
      <c r="L68" s="931">
        <f>L74/L71</f>
        <v/>
      </c>
      <c r="M68" s="1036">
        <f>M74/M71</f>
        <v/>
      </c>
      <c r="N68" s="931">
        <f>N74/N71</f>
        <v/>
      </c>
      <c r="O68" s="931">
        <f>O74/O71</f>
        <v/>
      </c>
      <c r="P68" s="931">
        <f>P74/P71</f>
        <v/>
      </c>
      <c r="Q68" s="938">
        <f>Q74/Q71</f>
        <v/>
      </c>
      <c r="R68" s="1037">
        <f>R74/R71</f>
        <v/>
      </c>
      <c r="S68" s="931">
        <f>S74/S71</f>
        <v/>
      </c>
      <c r="T68" s="931">
        <f>T74/T71</f>
        <v/>
      </c>
      <c r="U68" s="931">
        <f>U74/U71</f>
        <v/>
      </c>
      <c r="V68" s="931">
        <f>V74/V71</f>
        <v/>
      </c>
      <c r="W68" s="931">
        <f>W74/W71</f>
        <v/>
      </c>
      <c r="X68" s="1036">
        <f>X74/X71</f>
        <v/>
      </c>
      <c r="Y68" s="931">
        <f>Y74/Y71</f>
        <v/>
      </c>
      <c r="Z68" s="931">
        <f>Z74/Z71</f>
        <v/>
      </c>
      <c r="AA68" s="931">
        <f>AA74/AA71</f>
        <v/>
      </c>
      <c r="AB68" s="931">
        <f>AB74/AB71</f>
        <v/>
      </c>
      <c r="AC68" s="938">
        <f>AC74/AC71</f>
        <v/>
      </c>
      <c r="AD68" s="1038" t="n"/>
      <c r="AE68" s="931" t="n"/>
      <c r="AF68" s="931" t="n"/>
      <c r="AG68" s="931" t="n"/>
      <c r="AH68" s="931" t="n"/>
      <c r="AI68" s="931" t="n"/>
      <c r="AJ68" s="938" t="n"/>
      <c r="AK68" s="929" t="n"/>
      <c r="AL68" s="931" t="n"/>
      <c r="AM68" s="931" t="n"/>
      <c r="AN68" s="931" t="n"/>
      <c r="AO68" s="931" t="n"/>
      <c r="AP68" s="931" t="n"/>
      <c r="AQ68" s="1039" t="n"/>
      <c r="AR68" s="1040" t="n"/>
      <c r="AS68" s="931" t="n"/>
      <c r="AT68" s="931" t="n"/>
      <c r="AU68" s="931" t="n"/>
      <c r="AV68" s="931" t="n"/>
      <c r="AW68" s="1041" t="n"/>
      <c r="AX68" s="931" t="n"/>
      <c r="AY68" s="931" t="n"/>
      <c r="AZ68" s="931" t="n"/>
      <c r="BA68" s="931" t="n"/>
      <c r="BB68" s="931" t="n"/>
      <c r="BC68" s="938" t="n"/>
      <c r="BD68" s="1041" t="n"/>
      <c r="BE68" s="931" t="n"/>
      <c r="BF68" s="931" t="n"/>
      <c r="BG68" s="931" t="n"/>
      <c r="BH68" s="931" t="n"/>
      <c r="BI68" s="938" t="n"/>
      <c r="BJ68" s="1041" t="n"/>
      <c r="BK68" s="931" t="n"/>
      <c r="BL68" s="931" t="n"/>
      <c r="BM68" s="931" t="n"/>
      <c r="BN68" s="931" t="n"/>
      <c r="BO68" s="938" t="n"/>
      <c r="BP68" s="1041" t="n"/>
      <c r="BQ68" s="931" t="n"/>
      <c r="BR68" s="931" t="n"/>
      <c r="BS68" s="931" t="n"/>
      <c r="BT68" s="938" t="n"/>
      <c r="BU68" s="1041" t="n"/>
      <c r="BV68" s="931" t="n"/>
      <c r="BW68" s="931" t="n"/>
      <c r="BX68" s="931" t="n"/>
      <c r="BY68" s="931" t="n"/>
      <c r="BZ68" s="939" t="n"/>
    </row>
    <row r="69" ht="16.5" customHeight="1" s="838">
      <c r="B69" s="756" t="n"/>
      <c r="C69" s="738" t="n"/>
      <c r="D69" s="738" t="n"/>
      <c r="E69" s="739" t="n"/>
      <c r="F69" s="134" t="inlineStr">
        <is>
          <t>`26 실적</t>
        </is>
      </c>
      <c r="G69" s="1075">
        <f>G75/G72</f>
        <v/>
      </c>
      <c r="H69" s="922">
        <f>H75/H72</f>
        <v/>
      </c>
      <c r="I69" s="922">
        <f>I75/I72</f>
        <v/>
      </c>
      <c r="J69" s="922">
        <f>J75/J72</f>
        <v/>
      </c>
      <c r="K69" s="922">
        <f>K75/K72</f>
        <v/>
      </c>
      <c r="L69" s="922">
        <f>L75/L72</f>
        <v/>
      </c>
      <c r="M69" s="1075">
        <f>M75/M72</f>
        <v/>
      </c>
      <c r="N69" s="922">
        <f>N75/N72</f>
        <v/>
      </c>
      <c r="O69" s="922">
        <f>O75/O72</f>
        <v/>
      </c>
      <c r="P69" s="922">
        <f>P75/P72</f>
        <v/>
      </c>
      <c r="Q69" s="923">
        <f>Q75/Q72</f>
        <v/>
      </c>
      <c r="R69" s="1076">
        <f>R75/R72</f>
        <v/>
      </c>
      <c r="S69" s="922">
        <f>S75/S72</f>
        <v/>
      </c>
      <c r="T69" s="922">
        <f>T75/T72</f>
        <v/>
      </c>
      <c r="U69" s="922">
        <f>U75/U72</f>
        <v/>
      </c>
      <c r="V69" s="922">
        <f>V75/V72</f>
        <v/>
      </c>
      <c r="W69" s="922">
        <f>W75/W72</f>
        <v/>
      </c>
      <c r="X69" s="1075">
        <f>X75/X72</f>
        <v/>
      </c>
      <c r="Y69" s="922">
        <f>Y75/Y72</f>
        <v/>
      </c>
      <c r="Z69" s="922">
        <f>Z75/Z72</f>
        <v/>
      </c>
      <c r="AA69" s="922">
        <f>AA75/AA72</f>
        <v/>
      </c>
      <c r="AB69" s="922">
        <f>AB75/AB72</f>
        <v/>
      </c>
      <c r="AC69" s="923">
        <f>AC75/AC72</f>
        <v/>
      </c>
      <c r="AD69" s="1077" t="n"/>
      <c r="AE69" s="922" t="n"/>
      <c r="AF69" s="922" t="n"/>
      <c r="AG69" s="922" t="n"/>
      <c r="AH69" s="922" t="n"/>
      <c r="AI69" s="922" t="n"/>
      <c r="AJ69" s="923" t="n"/>
      <c r="AK69" s="921" t="n"/>
      <c r="AL69" s="922" t="n"/>
      <c r="AM69" s="922" t="n"/>
      <c r="AN69" s="922" t="n"/>
      <c r="AO69" s="922" t="n"/>
      <c r="AP69" s="922" t="n"/>
      <c r="AQ69" s="1078" t="n"/>
      <c r="AR69" s="1079" t="n"/>
      <c r="AS69" s="922" t="n"/>
      <c r="AT69" s="922" t="n"/>
      <c r="AU69" s="922" t="n"/>
      <c r="AV69" s="922" t="n"/>
      <c r="AW69" s="320" t="n"/>
      <c r="AX69" s="133" t="n"/>
      <c r="AY69" s="133" t="n"/>
      <c r="AZ69" s="133" t="n"/>
      <c r="BA69" s="133" t="n"/>
      <c r="BB69" s="133" t="n"/>
      <c r="BC69" s="134" t="n"/>
      <c r="BD69" s="320" t="n"/>
      <c r="BE69" s="133" t="n"/>
      <c r="BF69" s="133" t="n"/>
      <c r="BG69" s="133" t="n"/>
      <c r="BH69" s="133" t="n"/>
      <c r="BI69" s="134" t="n"/>
      <c r="BJ69" s="320" t="n"/>
      <c r="BK69" s="133" t="n"/>
      <c r="BL69" s="133" t="n"/>
      <c r="BM69" s="133" t="n"/>
      <c r="BN69" s="133" t="n"/>
      <c r="BO69" s="134" t="n"/>
      <c r="BP69" s="320" t="n"/>
      <c r="BQ69" s="133" t="n"/>
      <c r="BR69" s="133" t="n"/>
      <c r="BS69" s="133" t="n"/>
      <c r="BT69" s="134" t="n"/>
      <c r="BU69" s="320" t="n"/>
      <c r="BV69" s="133" t="n"/>
      <c r="BW69" s="133" t="n"/>
      <c r="BX69" s="133" t="n"/>
      <c r="BY69" s="133" t="n"/>
      <c r="BZ69" s="135" t="n"/>
    </row>
    <row r="70" ht="16.5" customHeight="1" s="838">
      <c r="B70" s="756" t="n"/>
      <c r="C70" s="738" t="n"/>
      <c r="D70" s="738" t="n"/>
      <c r="E70" s="778" t="inlineStr">
        <is>
          <t>생산액</t>
        </is>
      </c>
      <c r="F70" s="220" t="inlineStr">
        <is>
          <t>`25 실적</t>
        </is>
      </c>
      <c r="G70" s="1080">
        <f>SUM(G79,G88,G97,G106,G115,G124,G133,G142,G151)</f>
        <v/>
      </c>
      <c r="H70" s="904">
        <f>SUM(H79,H88,H97,H106,H115,H124,H133,H142,H151)</f>
        <v/>
      </c>
      <c r="I70" s="904">
        <f>SUM(I79,I88,I97,I106,I115,I124,I133,I142,I151)</f>
        <v/>
      </c>
      <c r="J70" s="904">
        <f>SUM(J79,J88,J97,J106,J115,J124,J133,J142,J151)</f>
        <v/>
      </c>
      <c r="K70" s="904">
        <f>SUM(K79,K88,K97,K106,K115,K124,K133,K142,K151)</f>
        <v/>
      </c>
      <c r="L70" s="904">
        <f>SUM(L79,L88,L97,L106,L115,L124,L133,L142,L151)</f>
        <v/>
      </c>
      <c r="M70" s="1042">
        <f>SUM(M79,M88,M97,M106,M115,M124,M133,M142,M151)</f>
        <v/>
      </c>
      <c r="N70" s="904">
        <f>SUM(N79,N88,N97,N106,N115,N124,N133,N142,N151)</f>
        <v/>
      </c>
      <c r="O70" s="904">
        <f>SUM(O79,O88,O97,O106,O115,O124,O133,O142,O151)</f>
        <v/>
      </c>
      <c r="P70" s="904">
        <f>SUM(P79,P88,P97,P106,P115,P124,P133,P142,P151)</f>
        <v/>
      </c>
      <c r="Q70" s="905">
        <f>SUM(Q79,Q88,Q97,Q106,Q115,Q124,Q133,Q142,Q151)</f>
        <v/>
      </c>
      <c r="R70" s="1081">
        <f>SUM(R79,R88,R97,R106,R115,R124,R133,R142,R151)</f>
        <v/>
      </c>
      <c r="S70" s="1082">
        <f>SUM(S79,S88,S97,S106,S115,S124,S133,S142,S151)</f>
        <v/>
      </c>
      <c r="T70" s="1082">
        <f>SUM(T79,T88,T97,T106,T115,T124,T133,T142,T151)</f>
        <v/>
      </c>
      <c r="U70" s="1082">
        <f>SUM(U79,U88,U97,U106,U115,U124,U133,U142,U151)</f>
        <v/>
      </c>
      <c r="V70" s="1082">
        <f>SUM(V79,V88,V97,V106,V115,V124,V133,V142,V151)</f>
        <v/>
      </c>
      <c r="W70" s="1082">
        <f>SUM(W79,W88,W97,W106,W115,W124,W133,W142,W151)</f>
        <v/>
      </c>
      <c r="X70" s="1080">
        <f>SUM(X79,X88,X97,X106,X115,X124,X133,X142,X151)</f>
        <v/>
      </c>
      <c r="Y70" s="1082">
        <f>SUM(Y79,Y88,Y97,Y106,Y115,Y124,Y133,Y142,Y151)</f>
        <v/>
      </c>
      <c r="Z70" s="1082">
        <f>SUM(Z79,Z88,Z97,Z106,Z115,Z124,Z133,Z142,Z151)</f>
        <v/>
      </c>
      <c r="AA70" s="1082">
        <f>SUM(AA79,AA88,AA97,AA106,AA115,AA124,AA133,AA142,AA151)</f>
        <v/>
      </c>
      <c r="AB70" s="1082">
        <f>SUM(AB79,AB88,AB97,AB106,AB115,AB124,AB133,AB142,AB151)</f>
        <v/>
      </c>
      <c r="AC70" s="1083">
        <f>SUM(AC79,AC88,AC97,AC106,AC115,AC124,AC133,AC142,AC151)</f>
        <v/>
      </c>
      <c r="AD70" s="1084" t="n"/>
      <c r="AE70" s="1082" t="n"/>
      <c r="AF70" s="1082" t="n"/>
      <c r="AG70" s="1082" t="n"/>
      <c r="AH70" s="1082" t="n"/>
      <c r="AI70" s="1082" t="n"/>
      <c r="AJ70" s="1083" t="n"/>
      <c r="AK70" s="1085" t="n"/>
      <c r="AL70" s="1082" t="n"/>
      <c r="AM70" s="1082" t="n"/>
      <c r="AN70" s="1082" t="n"/>
      <c r="AO70" s="1082" t="n"/>
      <c r="AP70" s="1082" t="n"/>
      <c r="AQ70" s="1086" t="n"/>
      <c r="AR70" s="1087" t="n"/>
      <c r="AS70" s="1082" t="n"/>
      <c r="AT70" s="1082" t="n"/>
      <c r="AU70" s="1082" t="n"/>
      <c r="AV70" s="1082" t="n"/>
      <c r="AW70" s="1088" t="n"/>
      <c r="AX70" s="1082" t="n"/>
      <c r="AY70" s="1082" t="n"/>
      <c r="AZ70" s="1082" t="n"/>
      <c r="BA70" s="1082" t="n"/>
      <c r="BB70" s="1082" t="n"/>
      <c r="BC70" s="1083" t="n"/>
      <c r="BD70" s="1088" t="n"/>
      <c r="BE70" s="1082" t="n"/>
      <c r="BF70" s="1082" t="n"/>
      <c r="BG70" s="1082" t="n"/>
      <c r="BH70" s="1082" t="n"/>
      <c r="BI70" s="1083" t="n"/>
      <c r="BJ70" s="1088" t="n"/>
      <c r="BK70" s="1082" t="n"/>
      <c r="BL70" s="1082" t="n"/>
      <c r="BM70" s="1082" t="n"/>
      <c r="BN70" s="1082" t="n"/>
      <c r="BO70" s="1083" t="n"/>
      <c r="BP70" s="1088" t="n"/>
      <c r="BQ70" s="1082" t="n"/>
      <c r="BR70" s="1082" t="n"/>
      <c r="BS70" s="1082" t="n"/>
      <c r="BT70" s="1083" t="n"/>
      <c r="BU70" s="1088" t="n"/>
      <c r="BV70" s="1082" t="n"/>
      <c r="BW70" s="1082" t="n"/>
      <c r="BX70" s="1082" t="n"/>
      <c r="BY70" s="1082" t="n"/>
      <c r="BZ70" s="1089" t="n"/>
    </row>
    <row r="71" ht="16.5" customHeight="1" s="838">
      <c r="B71" s="756" t="n"/>
      <c r="C71" s="738" t="n"/>
      <c r="D71" s="738" t="n"/>
      <c r="E71" s="738" t="n"/>
      <c r="F71" s="151" t="inlineStr">
        <is>
          <t>`26 목표</t>
        </is>
      </c>
      <c r="G71" s="1090">
        <f>SUM(G80,G89,G98,G107,G116,G125,G134,G143,G152)</f>
        <v/>
      </c>
      <c r="H71" s="926">
        <f>SUM(H80,H89,H98,H107,H116,H125,H134,H143,H152)</f>
        <v/>
      </c>
      <c r="I71" s="926">
        <f>SUM(I80,I89,I98,I107,I116,I125,I134,I143,I152)</f>
        <v/>
      </c>
      <c r="J71" s="926">
        <f>SUM(J80,J89,J98,J107,J116,J125,J134,J143,J152)</f>
        <v/>
      </c>
      <c r="K71" s="926">
        <f>SUM(K80,K89,K98,K107,K116,K125,K134,K143,K152)</f>
        <v/>
      </c>
      <c r="L71" s="926">
        <f>SUM(L80,L89,L98,L107,L116,L125,L134,L143,L152)</f>
        <v/>
      </c>
      <c r="M71" s="1050">
        <f>SUM(M80,M89,M98,M107,M116,M125,M134,M143,M152)</f>
        <v/>
      </c>
      <c r="N71" s="926">
        <f>SUM(N80,N89,N98,N107,N116,N125,N134,N143,N152)</f>
        <v/>
      </c>
      <c r="O71" s="926">
        <f>SUM(O80,O89,O98,O107,O116,O125,O134,O143,O152)</f>
        <v/>
      </c>
      <c r="P71" s="926">
        <f>SUM(P80,P89,P98,P107,P116,P125,P134,P143,P152)</f>
        <v/>
      </c>
      <c r="Q71" s="927">
        <f>SUM(Q80,Q89,Q98,Q107,Q116,Q125,Q134,Q143,Q152)</f>
        <v/>
      </c>
      <c r="R71" s="1091">
        <f>SUM(R80,R89,R98,R107,R116,R125,R134,R143,R152)</f>
        <v/>
      </c>
      <c r="S71" s="1092">
        <f>SUM(S80,S89,S98,S107,S116,S125,S134,S143,S152)</f>
        <v/>
      </c>
      <c r="T71" s="1092">
        <f>SUM(T80,T89,T98,T107,T116,T125,T134,T143,T152)</f>
        <v/>
      </c>
      <c r="U71" s="1092">
        <f>SUM(U80,U89,U98,U107,U116,U125,U134,U143,U152)</f>
        <v/>
      </c>
      <c r="V71" s="1092">
        <f>SUM(V80,V89,V98,V107,V116,V125,V134,V143,V152)</f>
        <v/>
      </c>
      <c r="W71" s="1092">
        <f>SUM(W80,W89,W98,W107,W116,W125,W134,W143,W152)</f>
        <v/>
      </c>
      <c r="X71" s="1090">
        <f>SUM(X80,X89,X98,X107,X116,X125,X134,X143,X152)</f>
        <v/>
      </c>
      <c r="Y71" s="1092">
        <f>SUM(Y80,Y89,Y98,Y107,Y116,Y125,Y134,Y143,Y152)</f>
        <v/>
      </c>
      <c r="Z71" s="1092">
        <f>SUM(Z80,Z89,Z98,Z107,Z116,Z125,Z134,Z143,Z152)</f>
        <v/>
      </c>
      <c r="AA71" s="1092">
        <f>SUM(AA80,AA89,AA98,AA107,AA116,AA125,AA134,AA143,AA152)</f>
        <v/>
      </c>
      <c r="AB71" s="1092">
        <f>SUM(AB80,AB89,AB98,AB107,AB116,AB125,AB134,AB143,AB152)</f>
        <v/>
      </c>
      <c r="AC71" s="1093">
        <f>SUM(AC80,AC89,AC98,AC107,AC116,AC125,AC134,AC143,AC152)</f>
        <v/>
      </c>
      <c r="AD71" s="1094" t="n"/>
      <c r="AE71" s="1092" t="n"/>
      <c r="AF71" s="1092" t="n"/>
      <c r="AG71" s="1092" t="n"/>
      <c r="AH71" s="1092" t="n"/>
      <c r="AI71" s="1092" t="n"/>
      <c r="AJ71" s="1093" t="n"/>
      <c r="AK71" s="1095" t="n"/>
      <c r="AL71" s="1092" t="n"/>
      <c r="AM71" s="1092" t="n"/>
      <c r="AN71" s="1092" t="n"/>
      <c r="AO71" s="1092" t="n"/>
      <c r="AP71" s="1092" t="n"/>
      <c r="AQ71" s="1096" t="n"/>
      <c r="AR71" s="1097" t="n"/>
      <c r="AS71" s="1092" t="n"/>
      <c r="AT71" s="1092" t="n"/>
      <c r="AU71" s="1092" t="n"/>
      <c r="AV71" s="1092" t="n"/>
      <c r="AW71" s="1098" t="n"/>
      <c r="AX71" s="1092" t="n"/>
      <c r="AY71" s="1092" t="n"/>
      <c r="AZ71" s="1092" t="n"/>
      <c r="BA71" s="1092" t="n"/>
      <c r="BB71" s="1092" t="n"/>
      <c r="BC71" s="1093" t="n"/>
      <c r="BD71" s="1098" t="n"/>
      <c r="BE71" s="1092" t="n"/>
      <c r="BF71" s="1092" t="n"/>
      <c r="BG71" s="1092" t="n"/>
      <c r="BH71" s="1092" t="n"/>
      <c r="BI71" s="1093" t="n"/>
      <c r="BJ71" s="1098" t="n"/>
      <c r="BK71" s="1092" t="n"/>
      <c r="BL71" s="1092" t="n"/>
      <c r="BM71" s="1092" t="n"/>
      <c r="BN71" s="1092" t="n"/>
      <c r="BO71" s="1093" t="n"/>
      <c r="BP71" s="1098" t="n"/>
      <c r="BQ71" s="1092" t="n"/>
      <c r="BR71" s="1092" t="n"/>
      <c r="BS71" s="1092" t="n"/>
      <c r="BT71" s="1093" t="n"/>
      <c r="BU71" s="1098" t="n"/>
      <c r="BV71" s="1092" t="n"/>
      <c r="BW71" s="1092" t="n"/>
      <c r="BX71" s="1092" t="n"/>
      <c r="BY71" s="1092" t="n"/>
      <c r="BZ71" s="1099" t="n"/>
    </row>
    <row r="72" ht="16.5" customHeight="1" s="838">
      <c r="B72" s="756" t="n"/>
      <c r="C72" s="738" t="n"/>
      <c r="D72" s="738" t="n"/>
      <c r="E72" s="739" t="n"/>
      <c r="F72" s="134" t="inlineStr">
        <is>
          <t>`26 실적</t>
        </is>
      </c>
      <c r="G72" s="1100">
        <f>SUM(G81,G90,G99,G108,G117,G126,G135,G144,G153)</f>
        <v/>
      </c>
      <c r="H72" s="897">
        <f>SUM(H81,H90,H99,H108,H117,H126,H135,H144,H153)</f>
        <v/>
      </c>
      <c r="I72" s="897">
        <f>SUM(I81,I90,I99,I108,I117,I126,I135,I144,I153)</f>
        <v/>
      </c>
      <c r="J72" s="897">
        <f>SUM(J81,J90,J99,J108,J117,J126,J135,J144,J153)</f>
        <v/>
      </c>
      <c r="K72" s="897">
        <f>SUM(K81,K90,K99,K108,K117,K126,K135,K144,K153)</f>
        <v/>
      </c>
      <c r="L72" s="897">
        <f>SUM(L81,L90,L99,L108,L117,L126,L135,L144,L153)</f>
        <v/>
      </c>
      <c r="M72" s="1058">
        <f>SUM(M81,M90,M99,M108,M117,M126,M135,M144,M153)</f>
        <v/>
      </c>
      <c r="N72" s="897">
        <f>SUM(N81,N90,N99,N108,N117,N126,N135,N144,N153)</f>
        <v/>
      </c>
      <c r="O72" s="897">
        <f>SUM(O81,O90,O99,O108,O117,O126,O135,O144,O153)</f>
        <v/>
      </c>
      <c r="P72" s="897">
        <f>SUM(P81,P90,P99,P108,P117,P126,P135,P144,P153)</f>
        <v/>
      </c>
      <c r="Q72" s="898">
        <f>SUM(Q81,Q90,Q99,Q108,Q117,Q126,Q135,Q144,Q153)</f>
        <v/>
      </c>
      <c r="R72" s="1101">
        <f>SUM(R81,R90,R99,R108,R117,R126,R135,R144,R153)</f>
        <v/>
      </c>
      <c r="S72" s="1102">
        <f>SUM(S81,S90,S99,S108,S117,S126,S135,S144,S153)</f>
        <v/>
      </c>
      <c r="T72" s="1102">
        <f>SUM(T81,T90,T99,T108,T117,T126,T135,T144,T153)</f>
        <v/>
      </c>
      <c r="U72" s="1102">
        <f>SUM(U81,U90,U99,U108,U117,U126,U135,U144,U153)</f>
        <v/>
      </c>
      <c r="V72" s="1102">
        <f>SUM(V81,V90,V99,V108,V117,V126,V135,V144,V153)</f>
        <v/>
      </c>
      <c r="W72" s="1102">
        <f>SUM(W81,W90,W99,W108,W117,W126,W135,W144,W153)</f>
        <v/>
      </c>
      <c r="X72" s="1058">
        <f>SUM(X81,X90,X99,X108,X117,X126,X135,X144,X153)</f>
        <v/>
      </c>
      <c r="Y72" s="897">
        <f>SUM(Y81,Y90,Y99,Y108,Y117,Y126,Y135,Y144,Y153)</f>
        <v/>
      </c>
      <c r="Z72" s="897">
        <f>SUM(Z81,Z90,Z99,Z108,Z117,Z126,Z135,Z144,Z153)</f>
        <v/>
      </c>
      <c r="AA72" s="897">
        <f>SUM(AA81,AA90,AA99,AA108,AA117,AA126,AA135,AA144,AA153)</f>
        <v/>
      </c>
      <c r="AB72" s="897">
        <f>SUM(AB81,AB90,AB99,AB108,AB117,AB126,AB135,AB144,AB153)</f>
        <v/>
      </c>
      <c r="AC72" s="898">
        <f>SUM(AC81,AC90,AC99,AC108,AC117,AC126,AC135,AC144,AC153)</f>
        <v/>
      </c>
      <c r="AD72" s="1062" t="n"/>
      <c r="AE72" s="897" t="n"/>
      <c r="AF72" s="897" t="n"/>
      <c r="AG72" s="897" t="n"/>
      <c r="AH72" s="897" t="n"/>
      <c r="AI72" s="897" t="n"/>
      <c r="AJ72" s="898" t="n"/>
      <c r="AK72" s="896" t="n"/>
      <c r="AL72" s="897" t="n"/>
      <c r="AM72" s="897" t="n"/>
      <c r="AN72" s="897" t="n"/>
      <c r="AO72" s="897" t="n"/>
      <c r="AP72" s="897" t="n"/>
      <c r="AQ72" s="1063" t="n"/>
      <c r="AR72" s="1064" t="n"/>
      <c r="AS72" s="897" t="n"/>
      <c r="AT72" s="897" t="n"/>
      <c r="AU72" s="897" t="n"/>
      <c r="AV72" s="897" t="n"/>
      <c r="AW72" s="320" t="n"/>
      <c r="AX72" s="133" t="n"/>
      <c r="AY72" s="133" t="n"/>
      <c r="AZ72" s="133" t="n"/>
      <c r="BA72" s="133" t="n"/>
      <c r="BB72" s="133" t="n"/>
      <c r="BC72" s="134" t="n"/>
      <c r="BD72" s="320" t="n"/>
      <c r="BE72" s="133" t="n"/>
      <c r="BF72" s="133" t="n"/>
      <c r="BG72" s="133" t="n"/>
      <c r="BH72" s="133" t="n"/>
      <c r="BI72" s="134" t="n"/>
      <c r="BJ72" s="320" t="n"/>
      <c r="BK72" s="133" t="n"/>
      <c r="BL72" s="133" t="n"/>
      <c r="BM72" s="133" t="n"/>
      <c r="BN72" s="133" t="n"/>
      <c r="BO72" s="134" t="n"/>
      <c r="BP72" s="320" t="n"/>
      <c r="BQ72" s="133" t="n"/>
      <c r="BR72" s="133" t="n"/>
      <c r="BS72" s="133" t="n"/>
      <c r="BT72" s="134" t="n"/>
      <c r="BU72" s="320" t="n"/>
      <c r="BV72" s="133" t="n"/>
      <c r="BW72" s="133" t="n"/>
      <c r="BX72" s="133" t="n"/>
      <c r="BY72" s="133" t="n"/>
      <c r="BZ72" s="135" t="n"/>
    </row>
    <row r="73" ht="16.5" customHeight="1" s="838">
      <c r="B73" s="756" t="n"/>
      <c r="C73" s="738" t="n"/>
      <c r="D73" s="738" t="n"/>
      <c r="E73" s="778" t="inlineStr">
        <is>
          <t>가공비</t>
        </is>
      </c>
      <c r="F73" s="220" t="inlineStr">
        <is>
          <t>`25 실적</t>
        </is>
      </c>
      <c r="G73" s="1080">
        <f>SUM(G82,G91,G100,G109,G118,G127,G136,G145,G154)</f>
        <v/>
      </c>
      <c r="H73" s="904">
        <f>SUM(H82,H91,H100,H109,H118,H127,H136,H145,H154)</f>
        <v/>
      </c>
      <c r="I73" s="904">
        <f>SUM(I82,I91,I100,I109,I118,I127,I136,I145,I154)</f>
        <v/>
      </c>
      <c r="J73" s="904">
        <f>SUM(J82,J91,J100,J109,J118,J127,J136,J145,J154)</f>
        <v/>
      </c>
      <c r="K73" s="904">
        <f>SUM(K82,K91,K100,K109,K118,K127,K136,K145,K154)</f>
        <v/>
      </c>
      <c r="L73" s="904">
        <f>SUM(L82,L91,L100,L109,L118,L127,L136,L145,L154)</f>
        <v/>
      </c>
      <c r="M73" s="1042">
        <f>SUM(M82,M91,M100,M109,M118,M127,M136,M145,M154)</f>
        <v/>
      </c>
      <c r="N73" s="904">
        <f>SUM(N82,N91,N100,N109,N118,N127,N136,N145,N154)</f>
        <v/>
      </c>
      <c r="O73" s="904">
        <f>SUM(O82,O91,O100,O109,O118,O127,O136,O145,O154)</f>
        <v/>
      </c>
      <c r="P73" s="904">
        <f>SUM(P82,P91,P100,P109,P118,P127,P136,P145,P154)</f>
        <v/>
      </c>
      <c r="Q73" s="905">
        <f>SUM(Q82,Q91,Q100,Q109,Q118,Q127,Q136,Q145,Q154)</f>
        <v/>
      </c>
      <c r="R73" s="1081">
        <f>SUM(R82,R91,R100,R109,R118,R127,R136,R145,R154)</f>
        <v/>
      </c>
      <c r="S73" s="1082">
        <f>SUM(S82,S91,S100,S109,S118,S127,S136,S145,S154)</f>
        <v/>
      </c>
      <c r="T73" s="1082">
        <f>SUM(T82,T91,T100,T109,T118,T127,T136,T145,T154)</f>
        <v/>
      </c>
      <c r="U73" s="1082">
        <f>SUM(U82,U91,U100,U109,U118,U127,U136,U145,U154)</f>
        <v/>
      </c>
      <c r="V73" s="1082">
        <f>SUM(V82,V91,V100,V109,V118,V127,V136,V145,V154)</f>
        <v/>
      </c>
      <c r="W73" s="1082">
        <f>SUM(W82,W91,W100,W109,W118,W127,W136,W145,W154)</f>
        <v/>
      </c>
      <c r="X73" s="1080">
        <f>SUM(X82,X91,X100,X109,X118,X127,X136,X145,X154)</f>
        <v/>
      </c>
      <c r="Y73" s="1082">
        <f>SUM(Y82,Y91,Y100,Y109,Y118,Y127,Y136,Y145,Y154)</f>
        <v/>
      </c>
      <c r="Z73" s="1082">
        <f>SUM(Z82,Z91,Z100,Z109,Z118,Z127,Z136,Z145,Z154)</f>
        <v/>
      </c>
      <c r="AA73" s="1082">
        <f>SUM(AA82,AA91,AA100,AA109,AA118,AA127,AA136,AA145,AA154)</f>
        <v/>
      </c>
      <c r="AB73" s="1082">
        <f>SUM(AB82,AB91,AB100,AB109,AB118,AB127,AB136,AB145,AB154)</f>
        <v/>
      </c>
      <c r="AC73" s="1083">
        <f>SUM(AC82,AC91,AC100,AC109,AC118,AC127,AC136,AC145,AC154)</f>
        <v/>
      </c>
      <c r="AD73" s="1084" t="n"/>
      <c r="AE73" s="1082" t="n"/>
      <c r="AF73" s="1082" t="n"/>
      <c r="AG73" s="1082" t="n"/>
      <c r="AH73" s="1082" t="n"/>
      <c r="AI73" s="1082" t="n"/>
      <c r="AJ73" s="1083" t="n"/>
      <c r="AK73" s="1085" t="n"/>
      <c r="AL73" s="1082" t="n"/>
      <c r="AM73" s="1082" t="n"/>
      <c r="AN73" s="1082" t="n"/>
      <c r="AO73" s="1082" t="n"/>
      <c r="AP73" s="1082" t="n"/>
      <c r="AQ73" s="1086" t="n"/>
      <c r="AR73" s="1087" t="n"/>
      <c r="AS73" s="1082" t="n"/>
      <c r="AT73" s="1082" t="n"/>
      <c r="AU73" s="1082" t="n"/>
      <c r="AV73" s="1082" t="n"/>
      <c r="AW73" s="1088" t="n"/>
      <c r="AX73" s="1082" t="n"/>
      <c r="AY73" s="1082" t="n"/>
      <c r="AZ73" s="1082" t="n"/>
      <c r="BA73" s="1082" t="n"/>
      <c r="BB73" s="1082" t="n"/>
      <c r="BC73" s="1083" t="n"/>
      <c r="BD73" s="1088" t="n"/>
      <c r="BE73" s="1082" t="n"/>
      <c r="BF73" s="1082" t="n"/>
      <c r="BG73" s="1082" t="n"/>
      <c r="BH73" s="1082" t="n"/>
      <c r="BI73" s="1083" t="n"/>
      <c r="BJ73" s="1088" t="n"/>
      <c r="BK73" s="1082" t="n"/>
      <c r="BL73" s="1082" t="n"/>
      <c r="BM73" s="1082" t="n"/>
      <c r="BN73" s="1082" t="n"/>
      <c r="BO73" s="1083" t="n"/>
      <c r="BP73" s="1088" t="n"/>
      <c r="BQ73" s="1082" t="n"/>
      <c r="BR73" s="1082" t="n"/>
      <c r="BS73" s="1082" t="n"/>
      <c r="BT73" s="1083" t="n"/>
      <c r="BU73" s="1088" t="n"/>
      <c r="BV73" s="1082" t="n"/>
      <c r="BW73" s="1082" t="n"/>
      <c r="BX73" s="1082" t="n"/>
      <c r="BY73" s="1082" t="n"/>
      <c r="BZ73" s="1089" t="n"/>
    </row>
    <row r="74" ht="16.5" customHeight="1" s="838">
      <c r="B74" s="756" t="n"/>
      <c r="C74" s="738" t="n"/>
      <c r="D74" s="738" t="n"/>
      <c r="E74" s="738" t="n"/>
      <c r="F74" s="151" t="inlineStr">
        <is>
          <t>`26 목표</t>
        </is>
      </c>
      <c r="G74" s="1090">
        <f>SUM(G83,G92,G101,G110,G119,G128,G137,G146,G155)</f>
        <v/>
      </c>
      <c r="H74" s="926">
        <f>SUM(H83,H92,H101,H110,H119,H128,H137,H146,H155)</f>
        <v/>
      </c>
      <c r="I74" s="926">
        <f>SUM(I83,I92,I101,I110,I119,I128,I137,I146,I155)</f>
        <v/>
      </c>
      <c r="J74" s="926">
        <f>SUM(J83,J92,J101,J110,J119,J128,J137,J146,J155)</f>
        <v/>
      </c>
      <c r="K74" s="926">
        <f>SUM(K83,K92,K101,K110,K119,K128,K137,K146,K155)</f>
        <v/>
      </c>
      <c r="L74" s="926">
        <f>SUM(L83,L92,L101,L110,L119,L128,L137,L146,L155)</f>
        <v/>
      </c>
      <c r="M74" s="1050">
        <f>SUM(M83,M92,M101,M110,M119,M128,M137,M146,M155)</f>
        <v/>
      </c>
      <c r="N74" s="926">
        <f>SUM(N83,N92,N101,N110,N119,N128,N137,N146,N155)</f>
        <v/>
      </c>
      <c r="O74" s="926">
        <f>SUM(O83,O92,O101,O110,O119,O128,O137,O146,O155)</f>
        <v/>
      </c>
      <c r="P74" s="926">
        <f>SUM(P83,P92,P101,P110,P119,P128,P137,P146,P155)</f>
        <v/>
      </c>
      <c r="Q74" s="927">
        <f>SUM(Q83,Q92,Q101,Q110,Q119,Q128,Q137,Q146,Q155)</f>
        <v/>
      </c>
      <c r="R74" s="1091">
        <f>SUM(R83,R92,R101,R110,R119,R128,R137,R146,R155)</f>
        <v/>
      </c>
      <c r="S74" s="1092">
        <f>SUM(S83,S92,S101,S110,S119,S128,S137,S146,S155)</f>
        <v/>
      </c>
      <c r="T74" s="1092">
        <f>SUM(T83,T92,T101,T110,T119,T128,T137,T146,T155)</f>
        <v/>
      </c>
      <c r="U74" s="1092">
        <f>SUM(U83,U92,U101,U110,U119,U128,U137,U146,U155)</f>
        <v/>
      </c>
      <c r="V74" s="1092">
        <f>SUM(V83,V92,V101,V110,V119,V128,V137,V146,V155)</f>
        <v/>
      </c>
      <c r="W74" s="1092">
        <f>SUM(W83,W92,W101,W110,W119,W128,W137,W146,W155)</f>
        <v/>
      </c>
      <c r="X74" s="1090">
        <f>SUM(X83,X92,X101,X110,X119,X128,X137,X146,X155)</f>
        <v/>
      </c>
      <c r="Y74" s="1092">
        <f>SUM(Y83,Y92,Y101,Y110,Y119,Y128,Y137,Y146,Y155)</f>
        <v/>
      </c>
      <c r="Z74" s="1092">
        <f>SUM(Z83,Z92,Z101,Z110,Z119,Z128,Z137,Z146,Z155)</f>
        <v/>
      </c>
      <c r="AA74" s="1092">
        <f>SUM(AA83,AA92,AA101,AA110,AA119,AA128,AA137,AA146,AA155)</f>
        <v/>
      </c>
      <c r="AB74" s="1092">
        <f>SUM(AB83,AB92,AB101,AB110,AB119,AB128,AB137,AB146,AB155)</f>
        <v/>
      </c>
      <c r="AC74" s="1093">
        <f>SUM(AC83,AC92,AC101,AC110,AC119,AC128,AC137,AC146,AC155)</f>
        <v/>
      </c>
      <c r="AD74" s="1094" t="n"/>
      <c r="AE74" s="1092" t="n"/>
      <c r="AF74" s="1092" t="n"/>
      <c r="AG74" s="1092" t="n"/>
      <c r="AH74" s="1092" t="n"/>
      <c r="AI74" s="1092" t="n"/>
      <c r="AJ74" s="1093" t="n"/>
      <c r="AK74" s="1095" t="n"/>
      <c r="AL74" s="1092" t="n"/>
      <c r="AM74" s="1092" t="n"/>
      <c r="AN74" s="1092" t="n"/>
      <c r="AO74" s="1092" t="n"/>
      <c r="AP74" s="1092" t="n"/>
      <c r="AQ74" s="1096" t="n"/>
      <c r="AR74" s="1097" t="n"/>
      <c r="AS74" s="1092" t="n"/>
      <c r="AT74" s="1092" t="n"/>
      <c r="AU74" s="1092" t="n"/>
      <c r="AV74" s="1092" t="n"/>
      <c r="AW74" s="1098" t="n"/>
      <c r="AX74" s="1092" t="n"/>
      <c r="AY74" s="1092" t="n"/>
      <c r="AZ74" s="1092" t="n"/>
      <c r="BA74" s="1092" t="n"/>
      <c r="BB74" s="1092" t="n"/>
      <c r="BC74" s="1093" t="n"/>
      <c r="BD74" s="1098" t="n"/>
      <c r="BE74" s="1092" t="n"/>
      <c r="BF74" s="1092" t="n"/>
      <c r="BG74" s="1092" t="n"/>
      <c r="BH74" s="1092" t="n"/>
      <c r="BI74" s="1093" t="n"/>
      <c r="BJ74" s="1098" t="n"/>
      <c r="BK74" s="1092" t="n"/>
      <c r="BL74" s="1092" t="n"/>
      <c r="BM74" s="1092" t="n"/>
      <c r="BN74" s="1092" t="n"/>
      <c r="BO74" s="1093" t="n"/>
      <c r="BP74" s="1098" t="n"/>
      <c r="BQ74" s="1092" t="n"/>
      <c r="BR74" s="1092" t="n"/>
      <c r="BS74" s="1092" t="n"/>
      <c r="BT74" s="1093" t="n"/>
      <c r="BU74" s="1098" t="n"/>
      <c r="BV74" s="1092" t="n"/>
      <c r="BW74" s="1092" t="n"/>
      <c r="BX74" s="1092" t="n"/>
      <c r="BY74" s="1092" t="n"/>
      <c r="BZ74" s="1099" t="n"/>
    </row>
    <row r="75" ht="16.5" customHeight="1" s="838">
      <c r="B75" s="756" t="n"/>
      <c r="C75" s="738" t="n"/>
      <c r="D75" s="739" t="n"/>
      <c r="E75" s="739" t="n"/>
      <c r="F75" s="134" t="inlineStr">
        <is>
          <t>`26 실적</t>
        </is>
      </c>
      <c r="G75" s="1100">
        <f>SUM(G84,G93,G102,G111,G120,G129,G138,G147,G156)</f>
        <v/>
      </c>
      <c r="H75" s="897">
        <f>SUM(H84,H93,H102,H111,H120,H129,H138,H147,H156)</f>
        <v/>
      </c>
      <c r="I75" s="897">
        <f>SUM(I84,I93,I102,I111,I120,I129,I138,I147,I156)</f>
        <v/>
      </c>
      <c r="J75" s="897">
        <f>SUM(J84,J93,J102,J111,J120,J129,J138,J147,J156)</f>
        <v/>
      </c>
      <c r="K75" s="897">
        <f>SUM(K84,K93,K102,K111,K120,K129,K138,K147,K156)</f>
        <v/>
      </c>
      <c r="L75" s="897">
        <f>SUM(L84,L93,L102,L111,L120,L129,L138,L147,L156)</f>
        <v/>
      </c>
      <c r="M75" s="1058">
        <f>SUM(M84,M93,M102,M111,M120,M129,M138,M147,M156)</f>
        <v/>
      </c>
      <c r="N75" s="897">
        <f>SUM(N84,N93,N102,N111,N120,N129,N138,N147,N156)</f>
        <v/>
      </c>
      <c r="O75" s="897">
        <f>SUM(O84,O93,O102,O111,O120,O129,O138,O147,O156)</f>
        <v/>
      </c>
      <c r="P75" s="897">
        <f>SUM(P84,P93,P102,P111,P120,P129,P138,P147,P156)</f>
        <v/>
      </c>
      <c r="Q75" s="898">
        <f>SUM(Q84,Q93,Q102,Q111,Q120,Q129,Q138,Q147,Q156)</f>
        <v/>
      </c>
      <c r="R75" s="1101">
        <f>SUM(R84,R93,R102,R111,R120,R129,R138,R147,R156)</f>
        <v/>
      </c>
      <c r="S75" s="1102">
        <f>SUM(S84,S93,S102,S111,S120,S129,S138,S147,S156)</f>
        <v/>
      </c>
      <c r="T75" s="1102">
        <f>SUM(T84,T93,T102,T111,T120,T129,T138,T147,T156)</f>
        <v/>
      </c>
      <c r="U75" s="1102">
        <f>SUM(U84,U93,U102,U111,U120,U129,U138,U147,U156)</f>
        <v/>
      </c>
      <c r="V75" s="1102">
        <f>SUM(V84,V93,V102,V111,V120,V129,V138,V147,V156)</f>
        <v/>
      </c>
      <c r="W75" s="1102">
        <f>SUM(W84,W93,W102,W111,W120,W129,W138,W147,W156)</f>
        <v/>
      </c>
      <c r="X75" s="1058">
        <f>SUM(X84,X93,X102,X111,X120,X129,X138,X147,X156)</f>
        <v/>
      </c>
      <c r="Y75" s="897">
        <f>SUM(Y84,Y93,Y102,Y111,Y120,Y129,Y138,Y147,Y156)</f>
        <v/>
      </c>
      <c r="Z75" s="897">
        <f>SUM(Z84,Z93,Z102,Z111,Z120,Z129,Z138,Z147,Z156)</f>
        <v/>
      </c>
      <c r="AA75" s="897">
        <f>SUM(AA84,AA93,AA102,AA111,AA120,AA129,AA138,AA147,AA156)</f>
        <v/>
      </c>
      <c r="AB75" s="897">
        <f>SUM(AB84,AB93,AB102,AB111,AB120,AB129,AB138,AB147,AB156)</f>
        <v/>
      </c>
      <c r="AC75" s="898">
        <f>SUM(AC84,AC93,AC102,AC111,AC120,AC129,AC138,AC147,AC156)</f>
        <v/>
      </c>
      <c r="AD75" s="1062" t="n"/>
      <c r="AE75" s="897" t="n"/>
      <c r="AF75" s="897" t="n"/>
      <c r="AG75" s="897" t="n"/>
      <c r="AH75" s="897" t="n"/>
      <c r="AI75" s="897" t="n"/>
      <c r="AJ75" s="898" t="n"/>
      <c r="AK75" s="896" t="n"/>
      <c r="AL75" s="897" t="n"/>
      <c r="AM75" s="897" t="n"/>
      <c r="AN75" s="897" t="n"/>
      <c r="AO75" s="897" t="n"/>
      <c r="AP75" s="897" t="n"/>
      <c r="AQ75" s="1063" t="n"/>
      <c r="AR75" s="1064" t="n"/>
      <c r="AS75" s="897" t="n"/>
      <c r="AT75" s="897" t="n"/>
      <c r="AU75" s="897" t="n"/>
      <c r="AV75" s="897" t="n"/>
      <c r="AW75" s="320" t="n"/>
      <c r="AX75" s="133" t="n"/>
      <c r="AY75" s="133" t="n"/>
      <c r="AZ75" s="133" t="n"/>
      <c r="BA75" s="133" t="n"/>
      <c r="BB75" s="133" t="n"/>
      <c r="BC75" s="134" t="n"/>
      <c r="BD75" s="320" t="n"/>
      <c r="BE75" s="133" t="n"/>
      <c r="BF75" s="133" t="n"/>
      <c r="BG75" s="133" t="n"/>
      <c r="BH75" s="133" t="n"/>
      <c r="BI75" s="134" t="n"/>
      <c r="BJ75" s="320" t="n"/>
      <c r="BK75" s="133" t="n"/>
      <c r="BL75" s="133" t="n"/>
      <c r="BM75" s="133" t="n"/>
      <c r="BN75" s="133" t="n"/>
      <c r="BO75" s="134" t="n"/>
      <c r="BP75" s="320" t="n"/>
      <c r="BQ75" s="133" t="n"/>
      <c r="BR75" s="133" t="n"/>
      <c r="BS75" s="133" t="n"/>
      <c r="BT75" s="134" t="n"/>
      <c r="BU75" s="320" t="n"/>
      <c r="BV75" s="133" t="n"/>
      <c r="BW75" s="133" t="n"/>
      <c r="BX75" s="133" t="n"/>
      <c r="BY75" s="133" t="n"/>
      <c r="BZ75" s="135" t="n"/>
    </row>
    <row r="76" ht="16.5" customHeight="1" s="838">
      <c r="B76" s="756" t="n"/>
      <c r="C76" s="738" t="n"/>
      <c r="D76" s="737" t="inlineStr">
        <is>
          <t>지역1</t>
        </is>
      </c>
      <c r="E76" s="737" t="inlineStr">
        <is>
          <t>가공비율</t>
        </is>
      </c>
      <c r="F76" s="220" t="inlineStr">
        <is>
          <t>`25 실적</t>
        </is>
      </c>
      <c r="G76" s="1069">
        <f>G82/G79</f>
        <v/>
      </c>
      <c r="H76" s="930">
        <f>H82/H79</f>
        <v/>
      </c>
      <c r="I76" s="930">
        <f>I82/I79</f>
        <v/>
      </c>
      <c r="J76" s="930">
        <f>J82/J79</f>
        <v/>
      </c>
      <c r="K76" s="930">
        <f>K82/K79</f>
        <v/>
      </c>
      <c r="L76" s="930">
        <f>L82/L79</f>
        <v/>
      </c>
      <c r="M76" s="1069">
        <f>M82/M79</f>
        <v/>
      </c>
      <c r="N76" s="930">
        <f>N82/N79</f>
        <v/>
      </c>
      <c r="O76" s="930">
        <f>O82/O79</f>
        <v/>
      </c>
      <c r="P76" s="930">
        <f>P82/P79</f>
        <v/>
      </c>
      <c r="Q76" s="933">
        <f>Q82/Q79</f>
        <v/>
      </c>
      <c r="R76" s="1070">
        <f>R82/R79</f>
        <v/>
      </c>
      <c r="S76" s="930">
        <f>S82/S79</f>
        <v/>
      </c>
      <c r="T76" s="930">
        <f>T82/T79</f>
        <v/>
      </c>
      <c r="U76" s="930">
        <f>U82/U79</f>
        <v/>
      </c>
      <c r="V76" s="930">
        <f>V82/V79</f>
        <v/>
      </c>
      <c r="W76" s="930">
        <f>W82/W79</f>
        <v/>
      </c>
      <c r="X76" s="1069">
        <f>X82/X79</f>
        <v/>
      </c>
      <c r="Y76" s="930">
        <f>Y82/Y79</f>
        <v/>
      </c>
      <c r="Z76" s="930">
        <f>Z82/Z79</f>
        <v/>
      </c>
      <c r="AA76" s="930">
        <f>AA82/AA79</f>
        <v/>
      </c>
      <c r="AB76" s="930">
        <f>AB82/AB79</f>
        <v/>
      </c>
      <c r="AC76" s="933">
        <f>AC82/AC79</f>
        <v/>
      </c>
      <c r="AD76" s="1071" t="n"/>
      <c r="AE76" s="930" t="n"/>
      <c r="AF76" s="930" t="n"/>
      <c r="AG76" s="930" t="n"/>
      <c r="AH76" s="930" t="n"/>
      <c r="AI76" s="930" t="n"/>
      <c r="AJ76" s="933" t="n"/>
      <c r="AK76" s="932" t="n"/>
      <c r="AL76" s="930" t="n"/>
      <c r="AM76" s="930" t="n"/>
      <c r="AN76" s="930" t="n"/>
      <c r="AO76" s="930" t="n"/>
      <c r="AP76" s="930" t="n"/>
      <c r="AQ76" s="1072" t="n"/>
      <c r="AR76" s="1073" t="n"/>
      <c r="AS76" s="930" t="n"/>
      <c r="AT76" s="930" t="n"/>
      <c r="AU76" s="930" t="n"/>
      <c r="AV76" s="930" t="n"/>
      <c r="AW76" s="1074" t="n"/>
      <c r="AX76" s="930" t="n"/>
      <c r="AY76" s="930" t="n"/>
      <c r="AZ76" s="930" t="n"/>
      <c r="BA76" s="930" t="n"/>
      <c r="BB76" s="930" t="n"/>
      <c r="BC76" s="933" t="n"/>
      <c r="BD76" s="1074" t="n"/>
      <c r="BE76" s="930" t="n"/>
      <c r="BF76" s="930" t="n"/>
      <c r="BG76" s="930" t="n"/>
      <c r="BH76" s="930" t="n"/>
      <c r="BI76" s="933" t="n"/>
      <c r="BJ76" s="1074" t="n"/>
      <c r="BK76" s="930" t="n"/>
      <c r="BL76" s="930" t="n"/>
      <c r="BM76" s="930" t="n"/>
      <c r="BN76" s="930" t="n"/>
      <c r="BO76" s="933" t="n"/>
      <c r="BP76" s="1074" t="n"/>
      <c r="BQ76" s="930" t="n"/>
      <c r="BR76" s="930" t="n"/>
      <c r="BS76" s="930" t="n"/>
      <c r="BT76" s="933" t="n"/>
      <c r="BU76" s="1074" t="n"/>
      <c r="BV76" s="930" t="n"/>
      <c r="BW76" s="930" t="n"/>
      <c r="BX76" s="930" t="n"/>
      <c r="BY76" s="930" t="n"/>
      <c r="BZ76" s="934" t="n"/>
    </row>
    <row r="77" ht="16.5" customHeight="1" s="838">
      <c r="B77" s="756" t="n"/>
      <c r="C77" s="738" t="n"/>
      <c r="D77" s="738" t="n"/>
      <c r="E77" s="738" t="n"/>
      <c r="F77" s="151" t="inlineStr">
        <is>
          <t>`26 목표</t>
        </is>
      </c>
      <c r="G77" s="1036">
        <f>G83/G80</f>
        <v/>
      </c>
      <c r="H77" s="931">
        <f>H83/H80</f>
        <v/>
      </c>
      <c r="I77" s="931">
        <f>I83/I80</f>
        <v/>
      </c>
      <c r="J77" s="931">
        <f>J83/J80</f>
        <v/>
      </c>
      <c r="K77" s="931">
        <f>K83/K80</f>
        <v/>
      </c>
      <c r="L77" s="931">
        <f>L83/L80</f>
        <v/>
      </c>
      <c r="M77" s="1036">
        <f>M83/M80</f>
        <v/>
      </c>
      <c r="N77" s="931">
        <f>N83/N80</f>
        <v/>
      </c>
      <c r="O77" s="931">
        <f>O83/O80</f>
        <v/>
      </c>
      <c r="P77" s="931">
        <f>P83/P80</f>
        <v/>
      </c>
      <c r="Q77" s="938">
        <f>Q83/Q80</f>
        <v/>
      </c>
      <c r="R77" s="1037">
        <f>R83/R80</f>
        <v/>
      </c>
      <c r="S77" s="931">
        <f>S83/S80</f>
        <v/>
      </c>
      <c r="T77" s="931">
        <f>T83/T80</f>
        <v/>
      </c>
      <c r="U77" s="931">
        <f>U83/U80</f>
        <v/>
      </c>
      <c r="V77" s="931">
        <f>V83/V80</f>
        <v/>
      </c>
      <c r="W77" s="931">
        <f>W83/W80</f>
        <v/>
      </c>
      <c r="X77" s="1036">
        <f>X83/X80</f>
        <v/>
      </c>
      <c r="Y77" s="931">
        <f>Y83/Y80</f>
        <v/>
      </c>
      <c r="Z77" s="931">
        <f>Z83/Z80</f>
        <v/>
      </c>
      <c r="AA77" s="931">
        <f>AA83/AA80</f>
        <v/>
      </c>
      <c r="AB77" s="931">
        <f>AB83/AB80</f>
        <v/>
      </c>
      <c r="AC77" s="938">
        <f>AC83/AC80</f>
        <v/>
      </c>
      <c r="AD77" s="1038" t="n"/>
      <c r="AE77" s="931" t="n"/>
      <c r="AF77" s="931" t="n"/>
      <c r="AG77" s="931" t="n"/>
      <c r="AH77" s="931" t="n"/>
      <c r="AI77" s="931" t="n"/>
      <c r="AJ77" s="938" t="n"/>
      <c r="AK77" s="929" t="n"/>
      <c r="AL77" s="931" t="n"/>
      <c r="AM77" s="931" t="n"/>
      <c r="AN77" s="931" t="n"/>
      <c r="AO77" s="931" t="n"/>
      <c r="AP77" s="931" t="n"/>
      <c r="AQ77" s="1039" t="n"/>
      <c r="AR77" s="1040" t="n"/>
      <c r="AS77" s="931" t="n"/>
      <c r="AT77" s="931" t="n"/>
      <c r="AU77" s="931" t="n"/>
      <c r="AV77" s="931" t="n"/>
      <c r="AW77" s="1041" t="n"/>
      <c r="AX77" s="931" t="n"/>
      <c r="AY77" s="931" t="n"/>
      <c r="AZ77" s="931" t="n"/>
      <c r="BA77" s="931" t="n"/>
      <c r="BB77" s="931" t="n"/>
      <c r="BC77" s="938" t="n"/>
      <c r="BD77" s="1041" t="n"/>
      <c r="BE77" s="931" t="n"/>
      <c r="BF77" s="931" t="n"/>
      <c r="BG77" s="931" t="n"/>
      <c r="BH77" s="931" t="n"/>
      <c r="BI77" s="938" t="n"/>
      <c r="BJ77" s="1041" t="n"/>
      <c r="BK77" s="931" t="n"/>
      <c r="BL77" s="931" t="n"/>
      <c r="BM77" s="931" t="n"/>
      <c r="BN77" s="931" t="n"/>
      <c r="BO77" s="938" t="n"/>
      <c r="BP77" s="1041" t="n"/>
      <c r="BQ77" s="931" t="n"/>
      <c r="BR77" s="931" t="n"/>
      <c r="BS77" s="931" t="n"/>
      <c r="BT77" s="938" t="n"/>
      <c r="BU77" s="1041" t="n"/>
      <c r="BV77" s="931" t="n"/>
      <c r="BW77" s="931" t="n"/>
      <c r="BX77" s="931" t="n"/>
      <c r="BY77" s="931" t="n"/>
      <c r="BZ77" s="939" t="n"/>
    </row>
    <row r="78" ht="16.5" customHeight="1" s="838">
      <c r="B78" s="756" t="n"/>
      <c r="C78" s="738" t="n"/>
      <c r="D78" s="738" t="n"/>
      <c r="E78" s="739" t="n"/>
      <c r="F78" s="134" t="inlineStr">
        <is>
          <t>`26 실적</t>
        </is>
      </c>
      <c r="G78" s="1075">
        <f>G84/G81</f>
        <v/>
      </c>
      <c r="H78" s="922">
        <f>H84/H81</f>
        <v/>
      </c>
      <c r="I78" s="922">
        <f>I84/I81</f>
        <v/>
      </c>
      <c r="J78" s="922">
        <f>J84/J81</f>
        <v/>
      </c>
      <c r="K78" s="922">
        <f>K84/K81</f>
        <v/>
      </c>
      <c r="L78" s="922">
        <f>L84/L81</f>
        <v/>
      </c>
      <c r="M78" s="1075">
        <f>M84/M81</f>
        <v/>
      </c>
      <c r="N78" s="922">
        <f>N84/N81</f>
        <v/>
      </c>
      <c r="O78" s="922">
        <f>O84/O81</f>
        <v/>
      </c>
      <c r="P78" s="922">
        <f>P84/P81</f>
        <v/>
      </c>
      <c r="Q78" s="923">
        <f>Q84/Q81</f>
        <v/>
      </c>
      <c r="R78" s="1076">
        <f>R84/R81</f>
        <v/>
      </c>
      <c r="S78" s="922">
        <f>S84/S81</f>
        <v/>
      </c>
      <c r="T78" s="922">
        <f>T84/T81</f>
        <v/>
      </c>
      <c r="U78" s="922">
        <f>U84/U81</f>
        <v/>
      </c>
      <c r="V78" s="922">
        <f>V84/V81</f>
        <v/>
      </c>
      <c r="W78" s="922">
        <f>W84/W81</f>
        <v/>
      </c>
      <c r="X78" s="1075">
        <f>X84/X81</f>
        <v/>
      </c>
      <c r="Y78" s="922">
        <f>Y84/Y81</f>
        <v/>
      </c>
      <c r="Z78" s="922">
        <f>Z84/Z81</f>
        <v/>
      </c>
      <c r="AA78" s="922">
        <f>AA84/AA81</f>
        <v/>
      </c>
      <c r="AB78" s="922">
        <f>AB84/AB81</f>
        <v/>
      </c>
      <c r="AC78" s="923">
        <f>AC84/AC81</f>
        <v/>
      </c>
      <c r="AD78" s="1077" t="n"/>
      <c r="AE78" s="922" t="n"/>
      <c r="AF78" s="922" t="n"/>
      <c r="AG78" s="922" t="n"/>
      <c r="AH78" s="922" t="n"/>
      <c r="AI78" s="922" t="n"/>
      <c r="AJ78" s="923" t="n"/>
      <c r="AK78" s="921" t="n"/>
      <c r="AL78" s="922" t="n"/>
      <c r="AM78" s="922" t="n"/>
      <c r="AN78" s="922" t="n"/>
      <c r="AO78" s="922" t="n"/>
      <c r="AP78" s="922" t="n"/>
      <c r="AQ78" s="1078" t="n"/>
      <c r="AR78" s="1079" t="n"/>
      <c r="AS78" s="922" t="n"/>
      <c r="AT78" s="922" t="n"/>
      <c r="AU78" s="922" t="n"/>
      <c r="AV78" s="922" t="n"/>
      <c r="AW78" s="320" t="n"/>
      <c r="AX78" s="133" t="n"/>
      <c r="AY78" s="133" t="n"/>
      <c r="AZ78" s="133" t="n"/>
      <c r="BA78" s="133" t="n"/>
      <c r="BB78" s="133" t="n"/>
      <c r="BC78" s="134" t="n"/>
      <c r="BD78" s="320" t="n"/>
      <c r="BE78" s="133" t="n"/>
      <c r="BF78" s="133" t="n"/>
      <c r="BG78" s="133" t="n"/>
      <c r="BH78" s="133" t="n"/>
      <c r="BI78" s="134" t="n"/>
      <c r="BJ78" s="320" t="n"/>
      <c r="BK78" s="133" t="n"/>
      <c r="BL78" s="133" t="n"/>
      <c r="BM78" s="133" t="n"/>
      <c r="BN78" s="133" t="n"/>
      <c r="BO78" s="134" t="n"/>
      <c r="BP78" s="320" t="n"/>
      <c r="BQ78" s="133" t="n"/>
      <c r="BR78" s="133" t="n"/>
      <c r="BS78" s="133" t="n"/>
      <c r="BT78" s="134" t="n"/>
      <c r="BU78" s="320" t="n"/>
      <c r="BV78" s="133" t="n"/>
      <c r="BW78" s="133" t="n"/>
      <c r="BX78" s="133" t="n"/>
      <c r="BY78" s="133" t="n"/>
      <c r="BZ78" s="135" t="n"/>
    </row>
    <row r="79" ht="16.5" customHeight="1" s="838">
      <c r="B79" s="756" t="n"/>
      <c r="C79" s="738" t="n"/>
      <c r="D79" s="738" t="n"/>
      <c r="E79" s="778" t="inlineStr">
        <is>
          <t>생산액</t>
        </is>
      </c>
      <c r="F79" s="220" t="inlineStr">
        <is>
          <t>`25 실적</t>
        </is>
      </c>
      <c r="G79" s="1042" t="n">
        <v>92.29005100000001</v>
      </c>
      <c r="H79" s="904" t="n">
        <v>92.29005100000001</v>
      </c>
      <c r="I79" s="904" t="n">
        <v>92.29005100000001</v>
      </c>
      <c r="J79" s="904" t="n">
        <v>92.29005100000001</v>
      </c>
      <c r="K79" s="904" t="n">
        <v>92.29005100000001</v>
      </c>
      <c r="L79" s="904" t="n">
        <v>92.29005100000001</v>
      </c>
      <c r="M79" s="1042" t="n">
        <v>66.925535</v>
      </c>
      <c r="N79" s="154" t="n">
        <v>66.925535</v>
      </c>
      <c r="O79" s="154" t="n">
        <v>66.925535</v>
      </c>
      <c r="P79" s="904" t="n">
        <v>66.925535</v>
      </c>
      <c r="Q79" s="905" t="n">
        <v>66.925535</v>
      </c>
      <c r="R79" s="1045" t="n">
        <v>73.24296</v>
      </c>
      <c r="S79" s="904" t="n">
        <v>73.24296</v>
      </c>
      <c r="T79" s="904" t="n">
        <v>73.24296</v>
      </c>
      <c r="U79" s="904" t="n">
        <v>73.24296</v>
      </c>
      <c r="V79" s="904" t="n">
        <v>73.24296</v>
      </c>
      <c r="W79" s="904" t="n">
        <v>73.24296</v>
      </c>
      <c r="X79" s="1042" t="n">
        <v>180.694578</v>
      </c>
      <c r="Y79" s="904" t="n">
        <v>180.694578</v>
      </c>
      <c r="Z79" s="904" t="n">
        <v>180.694578</v>
      </c>
      <c r="AA79" s="904" t="n">
        <v>180.694578</v>
      </c>
      <c r="AB79" s="904" t="n">
        <v>180.694578</v>
      </c>
      <c r="AC79" s="905" t="n">
        <v>180.694578</v>
      </c>
      <c r="AD79" s="1046" t="n"/>
      <c r="AE79" s="904" t="n"/>
      <c r="AF79" s="904" t="n"/>
      <c r="AG79" s="904" t="n"/>
      <c r="AH79" s="904" t="n"/>
      <c r="AI79" s="904" t="n"/>
      <c r="AJ79" s="905" t="n"/>
      <c r="AK79" s="903" t="n"/>
      <c r="AL79" s="904" t="n"/>
      <c r="AM79" s="904" t="n"/>
      <c r="AN79" s="904" t="n"/>
      <c r="AO79" s="904" t="n"/>
      <c r="AP79" s="904" t="n"/>
      <c r="AQ79" s="1047" t="n"/>
      <c r="AR79" s="1048" t="n"/>
      <c r="AS79" s="904" t="n"/>
      <c r="AT79" s="904" t="n"/>
      <c r="AU79" s="904" t="n"/>
      <c r="AV79" s="904" t="n"/>
      <c r="AW79" s="1049" t="n"/>
      <c r="AX79" s="904" t="n"/>
      <c r="AY79" s="904" t="n"/>
      <c r="AZ79" s="904" t="n"/>
      <c r="BA79" s="904" t="n"/>
      <c r="BB79" s="904" t="n"/>
      <c r="BC79" s="905" t="n"/>
      <c r="BD79" s="1049" t="n"/>
      <c r="BE79" s="904" t="n"/>
      <c r="BF79" s="904" t="n"/>
      <c r="BG79" s="904" t="n"/>
      <c r="BH79" s="904" t="n"/>
      <c r="BI79" s="905" t="n"/>
      <c r="BJ79" s="1049" t="n"/>
      <c r="BK79" s="904" t="n"/>
      <c r="BL79" s="904" t="n"/>
      <c r="BM79" s="904" t="n"/>
      <c r="BN79" s="904" t="n"/>
      <c r="BO79" s="905" t="n"/>
      <c r="BP79" s="1049" t="n"/>
      <c r="BQ79" s="904" t="n"/>
      <c r="BR79" s="904" t="n"/>
      <c r="BS79" s="904" t="n"/>
      <c r="BT79" s="905" t="n"/>
      <c r="BU79" s="1049" t="n"/>
      <c r="BV79" s="904" t="n"/>
      <c r="BW79" s="904" t="n"/>
      <c r="BX79" s="904" t="n"/>
      <c r="BY79" s="904" t="n"/>
      <c r="BZ79" s="936" t="n"/>
    </row>
    <row r="80" ht="16.5" customHeight="1" s="838">
      <c r="B80" s="756" t="n"/>
      <c r="C80" s="738" t="n"/>
      <c r="D80" s="738" t="n"/>
      <c r="E80" s="738" t="n"/>
      <c r="F80" s="151" t="inlineStr">
        <is>
          <t>`26 목표</t>
        </is>
      </c>
      <c r="G80" s="1050" t="n">
        <v>169.264741</v>
      </c>
      <c r="H80" s="926" t="n">
        <v>186.999941</v>
      </c>
      <c r="I80" s="926" t="n">
        <v>186.999941</v>
      </c>
      <c r="J80" s="926" t="n">
        <v>186.999941</v>
      </c>
      <c r="K80" s="926" t="n">
        <v>186.999941</v>
      </c>
      <c r="L80" s="926" t="n">
        <v>186.999941</v>
      </c>
      <c r="M80" s="1050" t="n">
        <v>78.320671</v>
      </c>
      <c r="N80" s="162" t="n">
        <v>75.66740900000001</v>
      </c>
      <c r="O80" s="162" t="n">
        <v>75.66740900000001</v>
      </c>
      <c r="P80" s="926" t="n">
        <v>75.66740900000001</v>
      </c>
      <c r="Q80" s="927" t="n">
        <v>75.66740900000001</v>
      </c>
      <c r="R80" s="1053" t="n">
        <v>115.675434</v>
      </c>
      <c r="S80" s="926" t="n">
        <v>80.346148</v>
      </c>
      <c r="T80" s="926" t="n">
        <v>80.346148</v>
      </c>
      <c r="U80" s="926" t="n">
        <v>80.346148</v>
      </c>
      <c r="V80" s="926" t="n">
        <v>80.346148</v>
      </c>
      <c r="W80" s="926" t="n">
        <v>80.346148</v>
      </c>
      <c r="X80" s="1050" t="n">
        <v>82.634767</v>
      </c>
      <c r="Y80" s="926" t="n">
        <v>82.634767</v>
      </c>
      <c r="Z80" s="926" t="n">
        <v>82.634767</v>
      </c>
      <c r="AA80" s="926" t="n">
        <v>82.634767</v>
      </c>
      <c r="AB80" s="926" t="n">
        <v>82.634767</v>
      </c>
      <c r="AC80" s="927" t="n">
        <v>82.634767</v>
      </c>
      <c r="AD80" s="1054" t="n"/>
      <c r="AE80" s="926" t="n"/>
      <c r="AF80" s="926" t="n"/>
      <c r="AG80" s="926" t="n"/>
      <c r="AH80" s="926" t="n"/>
      <c r="AI80" s="926" t="n"/>
      <c r="AJ80" s="927" t="n"/>
      <c r="AK80" s="925" t="n"/>
      <c r="AL80" s="926" t="n"/>
      <c r="AM80" s="926" t="n"/>
      <c r="AN80" s="926" t="n"/>
      <c r="AO80" s="926" t="n"/>
      <c r="AP80" s="926" t="n"/>
      <c r="AQ80" s="1055" t="n"/>
      <c r="AR80" s="1056" t="n"/>
      <c r="AS80" s="926" t="n"/>
      <c r="AT80" s="926" t="n"/>
      <c r="AU80" s="926" t="n"/>
      <c r="AV80" s="926" t="n"/>
      <c r="AW80" s="1057" t="n"/>
      <c r="AX80" s="926" t="n"/>
      <c r="AY80" s="926" t="n"/>
      <c r="AZ80" s="926" t="n"/>
      <c r="BA80" s="926" t="n"/>
      <c r="BB80" s="926" t="n"/>
      <c r="BC80" s="927" t="n"/>
      <c r="BD80" s="1057" t="n"/>
      <c r="BE80" s="926" t="n"/>
      <c r="BF80" s="926" t="n"/>
      <c r="BG80" s="926" t="n"/>
      <c r="BH80" s="926" t="n"/>
      <c r="BI80" s="927" t="n"/>
      <c r="BJ80" s="1057" t="n"/>
      <c r="BK80" s="926" t="n"/>
      <c r="BL80" s="926" t="n"/>
      <c r="BM80" s="926" t="n"/>
      <c r="BN80" s="926" t="n"/>
      <c r="BO80" s="927" t="n"/>
      <c r="BP80" s="1057" t="n"/>
      <c r="BQ80" s="926" t="n"/>
      <c r="BR80" s="926" t="n"/>
      <c r="BS80" s="926" t="n"/>
      <c r="BT80" s="927" t="n"/>
      <c r="BU80" s="1057" t="n"/>
      <c r="BV80" s="926" t="n"/>
      <c r="BW80" s="926" t="n"/>
      <c r="BX80" s="926" t="n"/>
      <c r="BY80" s="926" t="n"/>
      <c r="BZ80" s="928" t="n"/>
    </row>
    <row r="81" ht="16.5" customHeight="1" s="838">
      <c r="B81" s="756" t="n"/>
      <c r="C81" s="738" t="n"/>
      <c r="D81" s="738" t="n"/>
      <c r="E81" s="739" t="n"/>
      <c r="F81" s="134" t="inlineStr">
        <is>
          <t>`26 실적</t>
        </is>
      </c>
      <c r="G81" s="1058" t="n">
        <v>94.59105099999999</v>
      </c>
      <c r="H81" s="897" t="n">
        <v>140.588201</v>
      </c>
      <c r="I81" s="897" t="n">
        <v>93.33810800000001</v>
      </c>
      <c r="J81" s="897" t="n">
        <v>93.33810800000001</v>
      </c>
      <c r="K81" s="897" t="n">
        <v>93.33810800000001</v>
      </c>
      <c r="L81" s="897" t="n">
        <v>93.33810800000001</v>
      </c>
      <c r="M81" s="1100" t="n">
        <v>92.42165799999999</v>
      </c>
      <c r="N81" s="158" t="n">
        <v>51.465578</v>
      </c>
      <c r="O81" s="158" t="n">
        <v>51.465578</v>
      </c>
      <c r="P81" s="897" t="n">
        <v>51.465578</v>
      </c>
      <c r="Q81" s="898" t="n">
        <v>65.417185</v>
      </c>
      <c r="R81" s="1061" t="n">
        <v>76.458932</v>
      </c>
      <c r="S81" s="897" t="n">
        <v>80.408396</v>
      </c>
      <c r="T81" s="897" t="n">
        <v>80.408396</v>
      </c>
      <c r="U81" s="897" t="n">
        <v>103.902078</v>
      </c>
      <c r="V81" s="897" t="n">
        <v>103.902078</v>
      </c>
      <c r="W81" s="897" t="n">
        <v>80.408396</v>
      </c>
      <c r="X81" s="1058" t="n">
        <v>51.136588</v>
      </c>
      <c r="Y81" s="897" t="n">
        <v>98.06100000000001</v>
      </c>
      <c r="Z81" s="897" t="n">
        <v>98.06100000000001</v>
      </c>
      <c r="AA81" s="897" t="n">
        <v>77.658067</v>
      </c>
      <c r="AB81" s="897" t="n">
        <v>98.06100000000001</v>
      </c>
      <c r="AC81" s="898" t="n">
        <v>77.658067</v>
      </c>
      <c r="AD81" s="1062" t="n"/>
      <c r="AE81" s="897" t="n"/>
      <c r="AF81" s="897" t="n"/>
      <c r="AG81" s="897" t="n"/>
      <c r="AH81" s="897" t="n"/>
      <c r="AI81" s="897" t="n"/>
      <c r="AJ81" s="898" t="n"/>
      <c r="AK81" s="896" t="n"/>
      <c r="AL81" s="897" t="n"/>
      <c r="AM81" s="897" t="n"/>
      <c r="AN81" s="897" t="n"/>
      <c r="AO81" s="897" t="n"/>
      <c r="AP81" s="897" t="n"/>
      <c r="AQ81" s="1063" t="n"/>
      <c r="AR81" s="1064" t="n"/>
      <c r="AS81" s="897" t="n"/>
      <c r="AT81" s="897" t="n"/>
      <c r="AU81" s="897" t="n"/>
      <c r="AV81" s="897" t="n"/>
      <c r="AW81" s="1103" t="n"/>
      <c r="AX81" s="897" t="n"/>
      <c r="AY81" s="897" t="n"/>
      <c r="AZ81" s="897" t="n"/>
      <c r="BA81" s="897" t="n"/>
      <c r="BB81" s="897" t="n"/>
      <c r="BC81" s="898" t="n"/>
      <c r="BD81" s="1103" t="n"/>
      <c r="BE81" s="897" t="n"/>
      <c r="BF81" s="897" t="n"/>
      <c r="BG81" s="897" t="n"/>
      <c r="BH81" s="897" t="n"/>
      <c r="BI81" s="898" t="n"/>
      <c r="BJ81" s="1103" t="n"/>
      <c r="BK81" s="897" t="n"/>
      <c r="BL81" s="897" t="n"/>
      <c r="BM81" s="897" t="n"/>
      <c r="BN81" s="897" t="n"/>
      <c r="BO81" s="898" t="n"/>
      <c r="BP81" s="1103" t="n"/>
      <c r="BQ81" s="897" t="n"/>
      <c r="BR81" s="897" t="n"/>
      <c r="BS81" s="897" t="n"/>
      <c r="BT81" s="898" t="n"/>
      <c r="BU81" s="1103" t="n"/>
      <c r="BV81" s="897" t="n"/>
      <c r="BW81" s="897" t="n"/>
      <c r="BX81" s="897" t="n"/>
      <c r="BY81" s="897" t="n"/>
      <c r="BZ81" s="924" t="n"/>
    </row>
    <row r="82" ht="16.5" customHeight="1" s="838">
      <c r="B82" s="756" t="n"/>
      <c r="C82" s="738" t="n"/>
      <c r="D82" s="738" t="n"/>
      <c r="E82" s="778" t="inlineStr">
        <is>
          <t>가공비</t>
        </is>
      </c>
      <c r="F82" s="220" t="inlineStr">
        <is>
          <t>`25 실적</t>
        </is>
      </c>
      <c r="G82" s="1042" t="n">
        <v>9.913492</v>
      </c>
      <c r="H82" s="904" t="n">
        <v>9.913492</v>
      </c>
      <c r="I82" s="904" t="n">
        <v>9.913492</v>
      </c>
      <c r="J82" s="904" t="n">
        <v>9.913492</v>
      </c>
      <c r="K82" s="904" t="n">
        <v>9.913492</v>
      </c>
      <c r="L82" s="904" t="n">
        <v>9.913492</v>
      </c>
      <c r="M82" s="1042" t="n">
        <v>20.173504</v>
      </c>
      <c r="N82" s="154" t="n">
        <v>20.173504</v>
      </c>
      <c r="O82" s="154" t="n">
        <v>20.173504</v>
      </c>
      <c r="P82" s="904" t="n">
        <v>20.173504</v>
      </c>
      <c r="Q82" s="905" t="n">
        <v>20.173504</v>
      </c>
      <c r="R82" s="1045" t="n">
        <v>22.034302</v>
      </c>
      <c r="S82" s="904" t="n">
        <v>22.034302</v>
      </c>
      <c r="T82" s="904" t="n">
        <v>22.034302</v>
      </c>
      <c r="U82" s="904" t="n">
        <v>22.034302</v>
      </c>
      <c r="V82" s="904" t="n">
        <v>22.034302</v>
      </c>
      <c r="W82" s="904" t="n">
        <v>22.034302</v>
      </c>
      <c r="X82" s="1042" t="n">
        <v>8.842974</v>
      </c>
      <c r="Y82" s="904" t="n">
        <v>8.842974</v>
      </c>
      <c r="Z82" s="904" t="n">
        <v>8.842974</v>
      </c>
      <c r="AA82" s="904" t="n">
        <v>8.842974</v>
      </c>
      <c r="AB82" s="904" t="n">
        <v>8.842974</v>
      </c>
      <c r="AC82" s="905" t="n">
        <v>8.842974</v>
      </c>
      <c r="AD82" s="1046" t="n"/>
      <c r="AE82" s="904" t="n"/>
      <c r="AF82" s="904" t="n"/>
      <c r="AG82" s="904" t="n"/>
      <c r="AH82" s="904" t="n"/>
      <c r="AI82" s="904" t="n"/>
      <c r="AJ82" s="905" t="n"/>
      <c r="AK82" s="903" t="n"/>
      <c r="AL82" s="904" t="n"/>
      <c r="AM82" s="904" t="n"/>
      <c r="AN82" s="904" t="n"/>
      <c r="AO82" s="904" t="n"/>
      <c r="AP82" s="904" t="n"/>
      <c r="AQ82" s="1047" t="n"/>
      <c r="AR82" s="1048" t="n"/>
      <c r="AS82" s="904" t="n"/>
      <c r="AT82" s="904" t="n"/>
      <c r="AU82" s="904" t="n"/>
      <c r="AV82" s="904" t="n"/>
      <c r="AW82" s="1049" t="n"/>
      <c r="AX82" s="904" t="n"/>
      <c r="AY82" s="904" t="n"/>
      <c r="AZ82" s="904" t="n"/>
      <c r="BA82" s="904" t="n"/>
      <c r="BB82" s="904" t="n"/>
      <c r="BC82" s="905" t="n"/>
      <c r="BD82" s="1049" t="n"/>
      <c r="BE82" s="904" t="n"/>
      <c r="BF82" s="904" t="n"/>
      <c r="BG82" s="904" t="n"/>
      <c r="BH82" s="904" t="n"/>
      <c r="BI82" s="905" t="n"/>
      <c r="BJ82" s="1049" t="n"/>
      <c r="BK82" s="904" t="n"/>
      <c r="BL82" s="904" t="n"/>
      <c r="BM82" s="904" t="n"/>
      <c r="BN82" s="904" t="n"/>
      <c r="BO82" s="905" t="n"/>
      <c r="BP82" s="1049" t="n"/>
      <c r="BQ82" s="904" t="n"/>
      <c r="BR82" s="904" t="n"/>
      <c r="BS82" s="904" t="n"/>
      <c r="BT82" s="905" t="n"/>
      <c r="BU82" s="1049" t="n"/>
      <c r="BV82" s="904" t="n"/>
      <c r="BW82" s="904" t="n"/>
      <c r="BX82" s="904" t="n"/>
      <c r="BY82" s="904" t="n"/>
      <c r="BZ82" s="936" t="n"/>
    </row>
    <row r="83" ht="16.5" customHeight="1" s="838">
      <c r="B83" s="756" t="n"/>
      <c r="C83" s="738" t="n"/>
      <c r="D83" s="738" t="n"/>
      <c r="E83" s="738" t="n"/>
      <c r="F83" s="151" t="inlineStr">
        <is>
          <t>`26 목표</t>
        </is>
      </c>
      <c r="G83" s="1050" t="n">
        <v>16.683001</v>
      </c>
      <c r="H83" s="926" t="n">
        <v>8.353554000000001</v>
      </c>
      <c r="I83" s="926" t="n">
        <v>8.353554000000001</v>
      </c>
      <c r="J83" s="926" t="n">
        <v>8.353554000000001</v>
      </c>
      <c r="K83" s="926" t="n">
        <v>8.353554000000001</v>
      </c>
      <c r="L83" s="926" t="n">
        <v>8.353554000000001</v>
      </c>
      <c r="M83" s="1050" t="n">
        <v>7.716616</v>
      </c>
      <c r="N83" s="162" t="n">
        <v>13.803036</v>
      </c>
      <c r="O83" s="162" t="n">
        <v>13.803036</v>
      </c>
      <c r="P83" s="926" t="n">
        <v>13.803036</v>
      </c>
      <c r="Q83" s="927" t="n">
        <v>13.803036</v>
      </c>
      <c r="R83" s="1053" t="n">
        <v>7.268465</v>
      </c>
      <c r="S83" s="926" t="n">
        <v>16.079886</v>
      </c>
      <c r="T83" s="926" t="n">
        <v>16.079886</v>
      </c>
      <c r="U83" s="926" t="n">
        <v>16.079886</v>
      </c>
      <c r="V83" s="926" t="n">
        <v>16.079886</v>
      </c>
      <c r="W83" s="926" t="n">
        <v>16.079886</v>
      </c>
      <c r="X83" s="1050" t="n">
        <v>13.28614</v>
      </c>
      <c r="Y83" s="926" t="n">
        <v>13.28614</v>
      </c>
      <c r="Z83" s="926" t="n">
        <v>13.28614</v>
      </c>
      <c r="AA83" s="926" t="n">
        <v>13.28614</v>
      </c>
      <c r="AB83" s="926" t="n">
        <v>13.28614</v>
      </c>
      <c r="AC83" s="927" t="n">
        <v>13.28614</v>
      </c>
      <c r="AD83" s="1054" t="n"/>
      <c r="AE83" s="926" t="n"/>
      <c r="AF83" s="926" t="n"/>
      <c r="AG83" s="926" t="n"/>
      <c r="AH83" s="926" t="n"/>
      <c r="AI83" s="926" t="n"/>
      <c r="AJ83" s="927" t="n"/>
      <c r="AK83" s="925" t="n"/>
      <c r="AL83" s="926" t="n"/>
      <c r="AM83" s="926" t="n"/>
      <c r="AN83" s="926" t="n"/>
      <c r="AO83" s="926" t="n"/>
      <c r="AP83" s="926" t="n"/>
      <c r="AQ83" s="1055" t="n"/>
      <c r="AR83" s="1056" t="n"/>
      <c r="AS83" s="926" t="n"/>
      <c r="AT83" s="926" t="n"/>
      <c r="AU83" s="926" t="n"/>
      <c r="AV83" s="926" t="n"/>
      <c r="AW83" s="1057" t="n"/>
      <c r="AX83" s="926" t="n"/>
      <c r="AY83" s="926" t="n"/>
      <c r="AZ83" s="926" t="n"/>
      <c r="BA83" s="926" t="n"/>
      <c r="BB83" s="926" t="n"/>
      <c r="BC83" s="927" t="n"/>
      <c r="BD83" s="1057" t="n"/>
      <c r="BE83" s="926" t="n"/>
      <c r="BF83" s="926" t="n"/>
      <c r="BG83" s="926" t="n"/>
      <c r="BH83" s="926" t="n"/>
      <c r="BI83" s="927" t="n"/>
      <c r="BJ83" s="1057" t="n"/>
      <c r="BK83" s="926" t="n"/>
      <c r="BL83" s="926" t="n"/>
      <c r="BM83" s="926" t="n"/>
      <c r="BN83" s="926" t="n"/>
      <c r="BO83" s="927" t="n"/>
      <c r="BP83" s="1057" t="n"/>
      <c r="BQ83" s="926" t="n"/>
      <c r="BR83" s="926" t="n"/>
      <c r="BS83" s="926" t="n"/>
      <c r="BT83" s="927" t="n"/>
      <c r="BU83" s="1057" t="n"/>
      <c r="BV83" s="926" t="n"/>
      <c r="BW83" s="926" t="n"/>
      <c r="BX83" s="926" t="n"/>
      <c r="BY83" s="926" t="n"/>
      <c r="BZ83" s="928" t="n"/>
    </row>
    <row r="84" ht="16.5" customHeight="1" s="838">
      <c r="B84" s="756" t="n"/>
      <c r="C84" s="738" t="n"/>
      <c r="D84" s="739" t="n"/>
      <c r="E84" s="739" t="n"/>
      <c r="F84" s="134" t="inlineStr">
        <is>
          <t>`26 실적</t>
        </is>
      </c>
      <c r="G84" s="1058" t="n">
        <v>12.699285</v>
      </c>
      <c r="H84" s="897" t="n">
        <v>11.211</v>
      </c>
      <c r="I84" s="897" t="n">
        <v>9.904855</v>
      </c>
      <c r="J84" s="897" t="n">
        <v>9.904855</v>
      </c>
      <c r="K84" s="897" t="n">
        <v>9.904855</v>
      </c>
      <c r="L84" s="897" t="n">
        <v>9.904855</v>
      </c>
      <c r="M84" s="1100" t="n">
        <v>11.461288</v>
      </c>
      <c r="N84" s="158" t="n">
        <v>14.726844</v>
      </c>
      <c r="O84" s="158" t="n">
        <v>14.726844</v>
      </c>
      <c r="P84" s="897" t="n">
        <v>14.726844</v>
      </c>
      <c r="Q84" s="898" t="n">
        <v>8.257961999999999</v>
      </c>
      <c r="R84" s="1061" t="n">
        <v>9.908265999999999</v>
      </c>
      <c r="S84" s="897" t="n">
        <v>5.580169</v>
      </c>
      <c r="T84" s="897" t="n">
        <v>5.580169</v>
      </c>
      <c r="U84" s="897" t="n">
        <v>12.29167</v>
      </c>
      <c r="V84" s="897" t="n">
        <v>12.29167</v>
      </c>
      <c r="W84" s="897" t="n">
        <v>5.580169</v>
      </c>
      <c r="X84" s="1058" t="n">
        <v>16.844859</v>
      </c>
      <c r="Y84" s="897" t="n">
        <v>8.681286999999999</v>
      </c>
      <c r="Z84" s="897" t="n">
        <v>15.544025</v>
      </c>
      <c r="AA84" s="897" t="n">
        <v>7.824962</v>
      </c>
      <c r="AB84" s="897" t="n">
        <v>15.544025</v>
      </c>
      <c r="AC84" s="898" t="n">
        <v>7.824962</v>
      </c>
      <c r="AD84" s="1062" t="n"/>
      <c r="AE84" s="897" t="n"/>
      <c r="AF84" s="897" t="n"/>
      <c r="AG84" s="897" t="n"/>
      <c r="AH84" s="897" t="n"/>
      <c r="AI84" s="897" t="n"/>
      <c r="AJ84" s="898" t="n"/>
      <c r="AK84" s="896" t="n"/>
      <c r="AL84" s="897" t="n"/>
      <c r="AM84" s="897" t="n"/>
      <c r="AN84" s="897" t="n"/>
      <c r="AO84" s="897" t="n"/>
      <c r="AP84" s="897" t="n"/>
      <c r="AQ84" s="1063" t="n"/>
      <c r="AR84" s="1064" t="n"/>
      <c r="AS84" s="897" t="n"/>
      <c r="AT84" s="897" t="n"/>
      <c r="AU84" s="897" t="n"/>
      <c r="AV84" s="897" t="n"/>
      <c r="AW84" s="1103" t="n"/>
      <c r="AX84" s="897" t="n"/>
      <c r="AY84" s="897" t="n"/>
      <c r="AZ84" s="897" t="n"/>
      <c r="BA84" s="897" t="n"/>
      <c r="BB84" s="897" t="n"/>
      <c r="BC84" s="898" t="n"/>
      <c r="BD84" s="1103" t="n"/>
      <c r="BE84" s="897" t="n"/>
      <c r="BF84" s="897" t="n"/>
      <c r="BG84" s="897" t="n"/>
      <c r="BH84" s="897" t="n"/>
      <c r="BI84" s="898" t="n"/>
      <c r="BJ84" s="1103" t="n"/>
      <c r="BK84" s="897" t="n"/>
      <c r="BL84" s="897" t="n"/>
      <c r="BM84" s="897" t="n"/>
      <c r="BN84" s="897" t="n"/>
      <c r="BO84" s="898" t="n"/>
      <c r="BP84" s="1103" t="n"/>
      <c r="BQ84" s="897" t="n"/>
      <c r="BR84" s="897" t="n"/>
      <c r="BS84" s="897" t="n"/>
      <c r="BT84" s="898" t="n"/>
      <c r="BU84" s="1103" t="n"/>
      <c r="BV84" s="897" t="n"/>
      <c r="BW84" s="897" t="n"/>
      <c r="BX84" s="897" t="n"/>
      <c r="BY84" s="897" t="n"/>
      <c r="BZ84" s="924" t="n"/>
    </row>
    <row r="85" ht="16.5" customHeight="1" s="838">
      <c r="B85" s="756" t="n"/>
      <c r="C85" s="738" t="n"/>
      <c r="D85" s="737" t="inlineStr">
        <is>
          <t>지역2</t>
        </is>
      </c>
      <c r="E85" s="737" t="inlineStr">
        <is>
          <t>가공비율</t>
        </is>
      </c>
      <c r="F85" s="220" t="inlineStr">
        <is>
          <t>`25 실적</t>
        </is>
      </c>
      <c r="G85" s="1069">
        <f>G91/G88</f>
        <v/>
      </c>
      <c r="H85" s="930">
        <f>H91/H88</f>
        <v/>
      </c>
      <c r="I85" s="930">
        <f>I91/I88</f>
        <v/>
      </c>
      <c r="J85" s="930">
        <f>J91/J88</f>
        <v/>
      </c>
      <c r="K85" s="930">
        <f>K91/K88</f>
        <v/>
      </c>
      <c r="L85" s="930">
        <f>L91/L88</f>
        <v/>
      </c>
      <c r="M85" s="1069">
        <f>M91/M88</f>
        <v/>
      </c>
      <c r="N85" s="930">
        <f>N91/N88</f>
        <v/>
      </c>
      <c r="O85" s="930">
        <f>O91/O88</f>
        <v/>
      </c>
      <c r="P85" s="930">
        <f>P91/P88</f>
        <v/>
      </c>
      <c r="Q85" s="933">
        <f>Q91/Q88</f>
        <v/>
      </c>
      <c r="R85" s="1070">
        <f>R91/R88</f>
        <v/>
      </c>
      <c r="S85" s="930">
        <f>S91/S88</f>
        <v/>
      </c>
      <c r="T85" s="930">
        <f>T91/T88</f>
        <v/>
      </c>
      <c r="U85" s="930">
        <f>U91/U88</f>
        <v/>
      </c>
      <c r="V85" s="930">
        <f>V91/V88</f>
        <v/>
      </c>
      <c r="W85" s="930">
        <f>W91/W88</f>
        <v/>
      </c>
      <c r="X85" s="1069">
        <f>X91/X88</f>
        <v/>
      </c>
      <c r="Y85" s="930">
        <f>Y91/Y88</f>
        <v/>
      </c>
      <c r="Z85" s="930">
        <f>Z91/Z88</f>
        <v/>
      </c>
      <c r="AA85" s="930">
        <f>AA91/AA88</f>
        <v/>
      </c>
      <c r="AB85" s="930">
        <f>AB91/AB88</f>
        <v/>
      </c>
      <c r="AC85" s="933">
        <f>AC91/AC88</f>
        <v/>
      </c>
      <c r="AD85" s="1071" t="n"/>
      <c r="AE85" s="930" t="n"/>
      <c r="AF85" s="930" t="n"/>
      <c r="AG85" s="930" t="n"/>
      <c r="AH85" s="930" t="n"/>
      <c r="AI85" s="930" t="n"/>
      <c r="AJ85" s="933" t="n"/>
      <c r="AK85" s="932" t="n"/>
      <c r="AL85" s="930" t="n"/>
      <c r="AM85" s="930" t="n"/>
      <c r="AN85" s="930" t="n"/>
      <c r="AO85" s="930" t="n"/>
      <c r="AP85" s="930" t="n"/>
      <c r="AQ85" s="1072" t="n"/>
      <c r="AR85" s="1073" t="n"/>
      <c r="AS85" s="930" t="n"/>
      <c r="AT85" s="930" t="n"/>
      <c r="AU85" s="930" t="n"/>
      <c r="AV85" s="930" t="n"/>
      <c r="AW85" s="1074" t="n"/>
      <c r="AX85" s="930" t="n"/>
      <c r="AY85" s="930" t="n"/>
      <c r="AZ85" s="930" t="n"/>
      <c r="BA85" s="930" t="n"/>
      <c r="BB85" s="930" t="n"/>
      <c r="BC85" s="933" t="n"/>
      <c r="BD85" s="1074" t="n"/>
      <c r="BE85" s="930" t="n"/>
      <c r="BF85" s="930" t="n"/>
      <c r="BG85" s="930" t="n"/>
      <c r="BH85" s="930" t="n"/>
      <c r="BI85" s="933" t="n"/>
      <c r="BJ85" s="1074" t="n"/>
      <c r="BK85" s="930" t="n"/>
      <c r="BL85" s="930" t="n"/>
      <c r="BM85" s="930" t="n"/>
      <c r="BN85" s="930" t="n"/>
      <c r="BO85" s="933" t="n"/>
      <c r="BP85" s="1074" t="n"/>
      <c r="BQ85" s="930" t="n"/>
      <c r="BR85" s="930" t="n"/>
      <c r="BS85" s="930" t="n"/>
      <c r="BT85" s="933" t="n"/>
      <c r="BU85" s="1074" t="n"/>
      <c r="BV85" s="930" t="n"/>
      <c r="BW85" s="930" t="n"/>
      <c r="BX85" s="930" t="n"/>
      <c r="BY85" s="930" t="n"/>
      <c r="BZ85" s="934" t="n"/>
    </row>
    <row r="86" ht="16.5" customHeight="1" s="838">
      <c r="B86" s="756" t="n"/>
      <c r="C86" s="738" t="n"/>
      <c r="D86" s="738" t="n"/>
      <c r="E86" s="738" t="n"/>
      <c r="F86" s="151" t="inlineStr">
        <is>
          <t>`26 목표</t>
        </is>
      </c>
      <c r="G86" s="1036">
        <f>G92/G89</f>
        <v/>
      </c>
      <c r="H86" s="931">
        <f>H92/H89</f>
        <v/>
      </c>
      <c r="I86" s="931">
        <f>I92/I89</f>
        <v/>
      </c>
      <c r="J86" s="931">
        <f>J92/J89</f>
        <v/>
      </c>
      <c r="K86" s="931">
        <f>K92/K89</f>
        <v/>
      </c>
      <c r="L86" s="931">
        <f>L92/L89</f>
        <v/>
      </c>
      <c r="M86" s="1036">
        <f>M92/M89</f>
        <v/>
      </c>
      <c r="N86" s="931">
        <f>N92/N89</f>
        <v/>
      </c>
      <c r="O86" s="931">
        <f>O92/O89</f>
        <v/>
      </c>
      <c r="P86" s="931">
        <f>P92/P89</f>
        <v/>
      </c>
      <c r="Q86" s="938">
        <f>Q92/Q89</f>
        <v/>
      </c>
      <c r="R86" s="1037">
        <f>R92/R89</f>
        <v/>
      </c>
      <c r="S86" s="931">
        <f>S92/S89</f>
        <v/>
      </c>
      <c r="T86" s="931">
        <f>T92/T89</f>
        <v/>
      </c>
      <c r="U86" s="931">
        <f>U92/U89</f>
        <v/>
      </c>
      <c r="V86" s="931">
        <f>V92/V89</f>
        <v/>
      </c>
      <c r="W86" s="931">
        <f>W92/W89</f>
        <v/>
      </c>
      <c r="X86" s="1036">
        <f>X92/X89</f>
        <v/>
      </c>
      <c r="Y86" s="931">
        <f>Y92/Y89</f>
        <v/>
      </c>
      <c r="Z86" s="931">
        <f>Z92/Z89</f>
        <v/>
      </c>
      <c r="AA86" s="931">
        <f>AA92/AA89</f>
        <v/>
      </c>
      <c r="AB86" s="931">
        <f>AB92/AB89</f>
        <v/>
      </c>
      <c r="AC86" s="938">
        <f>AC92/AC89</f>
        <v/>
      </c>
      <c r="AD86" s="1038" t="n"/>
      <c r="AE86" s="931" t="n"/>
      <c r="AF86" s="931" t="n"/>
      <c r="AG86" s="931" t="n"/>
      <c r="AH86" s="931" t="n"/>
      <c r="AI86" s="931" t="n"/>
      <c r="AJ86" s="938" t="n"/>
      <c r="AK86" s="929" t="n"/>
      <c r="AL86" s="931" t="n"/>
      <c r="AM86" s="931" t="n"/>
      <c r="AN86" s="931" t="n"/>
      <c r="AO86" s="931" t="n"/>
      <c r="AP86" s="931" t="n"/>
      <c r="AQ86" s="1039" t="n"/>
      <c r="AR86" s="1040" t="n"/>
      <c r="AS86" s="931" t="n"/>
      <c r="AT86" s="931" t="n"/>
      <c r="AU86" s="931" t="n"/>
      <c r="AV86" s="931" t="n"/>
      <c r="AW86" s="1041" t="n"/>
      <c r="AX86" s="931" t="n"/>
      <c r="AY86" s="931" t="n"/>
      <c r="AZ86" s="931" t="n"/>
      <c r="BA86" s="931" t="n"/>
      <c r="BB86" s="931" t="n"/>
      <c r="BC86" s="938" t="n"/>
      <c r="BD86" s="1041" t="n"/>
      <c r="BE86" s="931" t="n"/>
      <c r="BF86" s="931" t="n"/>
      <c r="BG86" s="931" t="n"/>
      <c r="BH86" s="931" t="n"/>
      <c r="BI86" s="938" t="n"/>
      <c r="BJ86" s="1041" t="n"/>
      <c r="BK86" s="931" t="n"/>
      <c r="BL86" s="931" t="n"/>
      <c r="BM86" s="931" t="n"/>
      <c r="BN86" s="931" t="n"/>
      <c r="BO86" s="938" t="n"/>
      <c r="BP86" s="1041" t="n"/>
      <c r="BQ86" s="931" t="n"/>
      <c r="BR86" s="931" t="n"/>
      <c r="BS86" s="931" t="n"/>
      <c r="BT86" s="938" t="n"/>
      <c r="BU86" s="1041" t="n"/>
      <c r="BV86" s="931" t="n"/>
      <c r="BW86" s="931" t="n"/>
      <c r="BX86" s="931" t="n"/>
      <c r="BY86" s="931" t="n"/>
      <c r="BZ86" s="939" t="n"/>
    </row>
    <row r="87" ht="16.5" customHeight="1" s="838">
      <c r="B87" s="756" t="n"/>
      <c r="C87" s="738" t="n"/>
      <c r="D87" s="738" t="n"/>
      <c r="E87" s="739" t="n"/>
      <c r="F87" s="134" t="inlineStr">
        <is>
          <t>`26 실적</t>
        </is>
      </c>
      <c r="G87" s="1075">
        <f>G93/G90</f>
        <v/>
      </c>
      <c r="H87" s="922">
        <f>H93/H90</f>
        <v/>
      </c>
      <c r="I87" s="922">
        <f>I93/I90</f>
        <v/>
      </c>
      <c r="J87" s="922">
        <f>J93/J90</f>
        <v/>
      </c>
      <c r="K87" s="922">
        <f>K93/K90</f>
        <v/>
      </c>
      <c r="L87" s="922">
        <f>L93/L90</f>
        <v/>
      </c>
      <c r="M87" s="1075">
        <f>M93/M90</f>
        <v/>
      </c>
      <c r="N87" s="922">
        <f>N93/N90</f>
        <v/>
      </c>
      <c r="O87" s="922">
        <f>O93/O90</f>
        <v/>
      </c>
      <c r="P87" s="922">
        <f>P93/P90</f>
        <v/>
      </c>
      <c r="Q87" s="923">
        <f>Q93/Q90</f>
        <v/>
      </c>
      <c r="R87" s="1076">
        <f>R93/R90</f>
        <v/>
      </c>
      <c r="S87" s="922">
        <f>S93/S90</f>
        <v/>
      </c>
      <c r="T87" s="922">
        <f>T93/T90</f>
        <v/>
      </c>
      <c r="U87" s="922">
        <f>U93/U90</f>
        <v/>
      </c>
      <c r="V87" s="922">
        <f>V93/V90</f>
        <v/>
      </c>
      <c r="W87" s="922">
        <f>W93/W90</f>
        <v/>
      </c>
      <c r="X87" s="1075">
        <f>X93/X90</f>
        <v/>
      </c>
      <c r="Y87" s="922">
        <f>Y93/Y90</f>
        <v/>
      </c>
      <c r="Z87" s="922">
        <f>Z93/Z90</f>
        <v/>
      </c>
      <c r="AA87" s="922">
        <f>AA93/AA90</f>
        <v/>
      </c>
      <c r="AB87" s="922">
        <f>AB93/AB90</f>
        <v/>
      </c>
      <c r="AC87" s="923">
        <f>AC93/AC90</f>
        <v/>
      </c>
      <c r="AD87" s="1077" t="n"/>
      <c r="AE87" s="922" t="n"/>
      <c r="AF87" s="922" t="n"/>
      <c r="AG87" s="922" t="n"/>
      <c r="AH87" s="922" t="n"/>
      <c r="AI87" s="922" t="n"/>
      <c r="AJ87" s="923" t="n"/>
      <c r="AK87" s="921" t="n"/>
      <c r="AL87" s="922" t="n"/>
      <c r="AM87" s="922" t="n"/>
      <c r="AN87" s="922" t="n"/>
      <c r="AO87" s="922" t="n"/>
      <c r="AP87" s="922" t="n"/>
      <c r="AQ87" s="1078" t="n"/>
      <c r="AR87" s="1079" t="n"/>
      <c r="AS87" s="922" t="n"/>
      <c r="AT87" s="922" t="n"/>
      <c r="AU87" s="922" t="n"/>
      <c r="AV87" s="922" t="n"/>
      <c r="AW87" s="320" t="n"/>
      <c r="AX87" s="133" t="n"/>
      <c r="AY87" s="133" t="n"/>
      <c r="AZ87" s="133" t="n"/>
      <c r="BA87" s="133" t="n"/>
      <c r="BB87" s="133" t="n"/>
      <c r="BC87" s="134" t="n"/>
      <c r="BD87" s="320" t="n"/>
      <c r="BE87" s="133" t="n"/>
      <c r="BF87" s="133" t="n"/>
      <c r="BG87" s="133" t="n"/>
      <c r="BH87" s="133" t="n"/>
      <c r="BI87" s="134" t="n"/>
      <c r="BJ87" s="320" t="n"/>
      <c r="BK87" s="133" t="n"/>
      <c r="BL87" s="133" t="n"/>
      <c r="BM87" s="133" t="n"/>
      <c r="BN87" s="133" t="n"/>
      <c r="BO87" s="134" t="n"/>
      <c r="BP87" s="320" t="n"/>
      <c r="BQ87" s="133" t="n"/>
      <c r="BR87" s="133" t="n"/>
      <c r="BS87" s="133" t="n"/>
      <c r="BT87" s="134" t="n"/>
      <c r="BU87" s="320" t="n"/>
      <c r="BV87" s="133" t="n"/>
      <c r="BW87" s="133" t="n"/>
      <c r="BX87" s="133" t="n"/>
      <c r="BY87" s="133" t="n"/>
      <c r="BZ87" s="135" t="n"/>
    </row>
    <row r="88" ht="16.5" customHeight="1" s="838">
      <c r="B88" s="756" t="n"/>
      <c r="C88" s="738" t="n"/>
      <c r="D88" s="738" t="n"/>
      <c r="E88" s="778" t="inlineStr">
        <is>
          <t>생산액</t>
        </is>
      </c>
      <c r="F88" s="220" t="inlineStr">
        <is>
          <t>`25 실적</t>
        </is>
      </c>
      <c r="G88" s="1104" t="n">
        <v>152.549574</v>
      </c>
      <c r="H88" s="941" t="n">
        <v>152.549574</v>
      </c>
      <c r="I88" s="941" t="n">
        <v>152.549574</v>
      </c>
      <c r="J88" s="941" t="n">
        <v>152.549574</v>
      </c>
      <c r="K88" s="941" t="n">
        <v>152.549574</v>
      </c>
      <c r="L88" s="941" t="n">
        <v>152.549574</v>
      </c>
      <c r="M88" s="1104" t="n">
        <v>70.736689</v>
      </c>
      <c r="N88" s="941" t="n">
        <v>70.736689</v>
      </c>
      <c r="O88" s="941" t="n">
        <v>70.736689</v>
      </c>
      <c r="P88" s="941" t="n">
        <v>70.736689</v>
      </c>
      <c r="Q88" s="942" t="n">
        <v>70.736689</v>
      </c>
      <c r="R88" s="1105" t="n">
        <v>104.322102</v>
      </c>
      <c r="S88" s="941" t="n">
        <v>104.322102</v>
      </c>
      <c r="T88" s="941" t="n">
        <v>104.322102</v>
      </c>
      <c r="U88" s="941" t="n">
        <v>104.322102</v>
      </c>
      <c r="V88" s="941" t="n">
        <v>104.322102</v>
      </c>
      <c r="W88" s="941" t="n">
        <v>104.322102</v>
      </c>
      <c r="X88" s="1104" t="n">
        <v>160.502646</v>
      </c>
      <c r="Y88" s="941" t="n">
        <v>160.502646</v>
      </c>
      <c r="Z88" s="941" t="n">
        <v>160.502646</v>
      </c>
      <c r="AA88" s="941" t="n">
        <v>160.502646</v>
      </c>
      <c r="AB88" s="941" t="n">
        <v>160.502646</v>
      </c>
      <c r="AC88" s="942" t="n">
        <v>160.502646</v>
      </c>
      <c r="AD88" s="1106" t="n"/>
      <c r="AE88" s="941" t="n"/>
      <c r="AF88" s="941" t="n"/>
      <c r="AG88" s="941" t="n"/>
      <c r="AH88" s="941" t="n"/>
      <c r="AI88" s="941" t="n"/>
      <c r="AJ88" s="942" t="n"/>
      <c r="AK88" s="940" t="n"/>
      <c r="AL88" s="941" t="n"/>
      <c r="AM88" s="941" t="n"/>
      <c r="AN88" s="941" t="n"/>
      <c r="AO88" s="941" t="n"/>
      <c r="AP88" s="941" t="n"/>
      <c r="AQ88" s="1107" t="n"/>
      <c r="AR88" s="1108" t="n"/>
      <c r="AS88" s="941" t="n"/>
      <c r="AT88" s="941" t="n"/>
      <c r="AU88" s="941" t="n"/>
      <c r="AV88" s="941" t="n"/>
      <c r="AW88" s="1109" t="n"/>
      <c r="AX88" s="941" t="n"/>
      <c r="AY88" s="941" t="n"/>
      <c r="AZ88" s="941" t="n"/>
      <c r="BA88" s="941" t="n"/>
      <c r="BB88" s="941" t="n"/>
      <c r="BC88" s="942" t="n"/>
      <c r="BD88" s="1109" t="n"/>
      <c r="BE88" s="941" t="n"/>
      <c r="BF88" s="941" t="n"/>
      <c r="BG88" s="941" t="n"/>
      <c r="BH88" s="941" t="n"/>
      <c r="BI88" s="942" t="n"/>
      <c r="BJ88" s="1109" t="n"/>
      <c r="BK88" s="941" t="n"/>
      <c r="BL88" s="941" t="n"/>
      <c r="BM88" s="941" t="n"/>
      <c r="BN88" s="941" t="n"/>
      <c r="BO88" s="942" t="n"/>
      <c r="BP88" s="1109" t="n"/>
      <c r="BQ88" s="941" t="n"/>
      <c r="BR88" s="941" t="n"/>
      <c r="BS88" s="941" t="n"/>
      <c r="BT88" s="942" t="n"/>
      <c r="BU88" s="1109" t="n"/>
      <c r="BV88" s="941" t="n"/>
      <c r="BW88" s="941" t="n"/>
      <c r="BX88" s="941" t="n"/>
      <c r="BY88" s="941" t="n"/>
      <c r="BZ88" s="943" t="n"/>
    </row>
    <row r="89" ht="16.5" customHeight="1" s="838">
      <c r="B89" s="756" t="n"/>
      <c r="C89" s="738" t="n"/>
      <c r="D89" s="738" t="n"/>
      <c r="E89" s="738" t="n"/>
      <c r="F89" s="151" t="inlineStr">
        <is>
          <t>`26 목표</t>
        </is>
      </c>
      <c r="G89" s="1110" t="n">
        <v>95.67299</v>
      </c>
      <c r="H89" s="946" t="n">
        <v>78.936521</v>
      </c>
      <c r="I89" s="946" t="n">
        <v>78.936521</v>
      </c>
      <c r="J89" s="946" t="n">
        <v>78.936521</v>
      </c>
      <c r="K89" s="946" t="n">
        <v>78.936521</v>
      </c>
      <c r="L89" s="946" t="n">
        <v>78.936521</v>
      </c>
      <c r="M89" s="1110" t="n">
        <v>118.469463</v>
      </c>
      <c r="N89" s="946" t="n">
        <v>71.94196700000001</v>
      </c>
      <c r="O89" s="946" t="n">
        <v>71.94196700000001</v>
      </c>
      <c r="P89" s="946" t="n">
        <v>71.94196700000001</v>
      </c>
      <c r="Q89" s="1111" t="n">
        <v>71.94196700000001</v>
      </c>
      <c r="R89" s="1112" t="n">
        <v>65.85628199999999</v>
      </c>
      <c r="S89" s="946" t="n">
        <v>71.378927</v>
      </c>
      <c r="T89" s="946" t="n">
        <v>71.378927</v>
      </c>
      <c r="U89" s="946" t="n">
        <v>71.378927</v>
      </c>
      <c r="V89" s="946" t="n">
        <v>71.378927</v>
      </c>
      <c r="W89" s="946" t="n">
        <v>71.378927</v>
      </c>
      <c r="X89" s="1110" t="n">
        <v>51.770549</v>
      </c>
      <c r="Y89" s="946" t="n">
        <v>51.770549</v>
      </c>
      <c r="Z89" s="946" t="n">
        <v>51.770549</v>
      </c>
      <c r="AA89" s="946" t="n">
        <v>51.770549</v>
      </c>
      <c r="AB89" s="946" t="n">
        <v>51.770549</v>
      </c>
      <c r="AC89" s="1111" t="n">
        <v>51.770549</v>
      </c>
      <c r="AD89" s="1113" t="n"/>
      <c r="AE89" s="946" t="n"/>
      <c r="AF89" s="946" t="n"/>
      <c r="AG89" s="946" t="n"/>
      <c r="AH89" s="946" t="n"/>
      <c r="AI89" s="946" t="n"/>
      <c r="AJ89" s="1111" t="n"/>
      <c r="AK89" s="1114" t="n"/>
      <c r="AL89" s="946" t="n"/>
      <c r="AM89" s="946" t="n"/>
      <c r="AN89" s="946" t="n"/>
      <c r="AO89" s="946" t="n"/>
      <c r="AP89" s="946" t="n"/>
      <c r="AQ89" s="1115" t="n"/>
      <c r="AR89" s="1116" t="n"/>
      <c r="AS89" s="946" t="n"/>
      <c r="AT89" s="946" t="n"/>
      <c r="AU89" s="946" t="n"/>
      <c r="AV89" s="946" t="n"/>
      <c r="AW89" s="1117" t="n"/>
      <c r="AX89" s="946" t="n"/>
      <c r="AY89" s="946" t="n"/>
      <c r="AZ89" s="946" t="n"/>
      <c r="BA89" s="946" t="n"/>
      <c r="BB89" s="946" t="n"/>
      <c r="BC89" s="1111" t="n"/>
      <c r="BD89" s="1117" t="n"/>
      <c r="BE89" s="946" t="n"/>
      <c r="BF89" s="946" t="n"/>
      <c r="BG89" s="946" t="n"/>
      <c r="BH89" s="946" t="n"/>
      <c r="BI89" s="1111" t="n"/>
      <c r="BJ89" s="1117" t="n"/>
      <c r="BK89" s="946" t="n"/>
      <c r="BL89" s="946" t="n"/>
      <c r="BM89" s="946" t="n"/>
      <c r="BN89" s="946" t="n"/>
      <c r="BO89" s="1111" t="n"/>
      <c r="BP89" s="1117" t="n"/>
      <c r="BQ89" s="946" t="n"/>
      <c r="BR89" s="946" t="n"/>
      <c r="BS89" s="946" t="n"/>
      <c r="BT89" s="1111" t="n"/>
      <c r="BU89" s="1117" t="n"/>
      <c r="BV89" s="946" t="n"/>
      <c r="BW89" s="946" t="n"/>
      <c r="BX89" s="946" t="n"/>
      <c r="BY89" s="946" t="n"/>
      <c r="BZ89" s="1118" t="n"/>
    </row>
    <row r="90" ht="16.5" customHeight="1" s="838">
      <c r="B90" s="756" t="n"/>
      <c r="C90" s="738" t="n"/>
      <c r="D90" s="738" t="n"/>
      <c r="E90" s="739" t="n"/>
      <c r="F90" s="134" t="inlineStr">
        <is>
          <t>`26 실적</t>
        </is>
      </c>
      <c r="G90" s="1119" t="n">
        <v>142.405397</v>
      </c>
      <c r="H90" s="945" t="n">
        <v>124.67</v>
      </c>
      <c r="I90" s="945" t="n">
        <v>142.834745</v>
      </c>
      <c r="J90" s="945" t="n">
        <v>142.834745</v>
      </c>
      <c r="K90" s="945" t="n">
        <v>142.834745</v>
      </c>
      <c r="L90" s="945" t="n">
        <v>142.834745</v>
      </c>
      <c r="M90" s="1119" t="n">
        <v>87.969911</v>
      </c>
      <c r="N90" s="945" t="n">
        <v>86.301564</v>
      </c>
      <c r="O90" s="945" t="n">
        <v>86.301564</v>
      </c>
      <c r="P90" s="945" t="n">
        <v>86.301564</v>
      </c>
      <c r="Q90" s="947" t="n">
        <v>98.25764100000001</v>
      </c>
      <c r="R90" s="1120" t="n">
        <v>122.721764</v>
      </c>
      <c r="S90" s="945" t="n">
        <v>60.002077</v>
      </c>
      <c r="T90" s="945" t="n">
        <v>60.002077</v>
      </c>
      <c r="U90" s="945" t="n">
        <v>73.740137</v>
      </c>
      <c r="V90" s="945" t="n">
        <v>73.740137</v>
      </c>
      <c r="W90" s="945" t="n">
        <v>60.002077</v>
      </c>
      <c r="X90" s="1119" t="n">
        <v>54.856592</v>
      </c>
      <c r="Y90" s="945" t="n">
        <v>61.948898</v>
      </c>
      <c r="Z90" s="945" t="n">
        <v>66.480255</v>
      </c>
      <c r="AA90" s="945" t="n">
        <v>138.081573</v>
      </c>
      <c r="AB90" s="945" t="n">
        <v>66.480255</v>
      </c>
      <c r="AC90" s="947" t="n">
        <v>138.081573</v>
      </c>
      <c r="AD90" s="1121" t="n"/>
      <c r="AE90" s="945" t="n"/>
      <c r="AF90" s="945" t="n"/>
      <c r="AG90" s="945" t="n"/>
      <c r="AH90" s="945" t="n"/>
      <c r="AI90" s="945" t="n"/>
      <c r="AJ90" s="947" t="n"/>
      <c r="AK90" s="944" t="n"/>
      <c r="AL90" s="945" t="n"/>
      <c r="AM90" s="945" t="n"/>
      <c r="AN90" s="945" t="n"/>
      <c r="AO90" s="945" t="n"/>
      <c r="AP90" s="945" t="n"/>
      <c r="AQ90" s="1122" t="n"/>
      <c r="AR90" s="1123" t="n"/>
      <c r="AS90" s="945" t="n"/>
      <c r="AT90" s="945" t="n"/>
      <c r="AU90" s="945" t="n"/>
      <c r="AV90" s="945" t="n"/>
      <c r="AW90" s="1124" t="n"/>
      <c r="AX90" s="945" t="n"/>
      <c r="AY90" s="945" t="n"/>
      <c r="AZ90" s="945" t="n"/>
      <c r="BA90" s="945" t="n"/>
      <c r="BB90" s="945" t="n"/>
      <c r="BC90" s="947" t="n"/>
      <c r="BD90" s="1124" t="n"/>
      <c r="BE90" s="945" t="n"/>
      <c r="BF90" s="945" t="n"/>
      <c r="BG90" s="945" t="n"/>
      <c r="BH90" s="945" t="n"/>
      <c r="BI90" s="947" t="n"/>
      <c r="BJ90" s="1124" t="n"/>
      <c r="BK90" s="945" t="n"/>
      <c r="BL90" s="945" t="n"/>
      <c r="BM90" s="945" t="n"/>
      <c r="BN90" s="945" t="n"/>
      <c r="BO90" s="947" t="n"/>
      <c r="BP90" s="1124" t="n"/>
      <c r="BQ90" s="945" t="n"/>
      <c r="BR90" s="945" t="n"/>
      <c r="BS90" s="945" t="n"/>
      <c r="BT90" s="947" t="n"/>
      <c r="BU90" s="1124" t="n"/>
      <c r="BV90" s="945" t="n"/>
      <c r="BW90" s="945" t="n"/>
      <c r="BX90" s="945" t="n"/>
      <c r="BY90" s="945" t="n"/>
      <c r="BZ90" s="948" t="n"/>
    </row>
    <row r="91" ht="16.5" customHeight="1" s="838">
      <c r="B91" s="756" t="n"/>
      <c r="C91" s="738" t="n"/>
      <c r="D91" s="738" t="n"/>
      <c r="E91" s="778" t="inlineStr">
        <is>
          <t>가공비</t>
        </is>
      </c>
      <c r="F91" s="220" t="inlineStr">
        <is>
          <t>`25 실적</t>
        </is>
      </c>
      <c r="G91" s="1104" t="n">
        <v>7.06857838</v>
      </c>
      <c r="H91" s="941" t="n">
        <v>7.06857838</v>
      </c>
      <c r="I91" s="941" t="n">
        <v>7.06857838</v>
      </c>
      <c r="J91" s="941" t="n">
        <v>7.06857838</v>
      </c>
      <c r="K91" s="941" t="n">
        <v>7.06857838</v>
      </c>
      <c r="L91" s="941" t="n">
        <v>7.06857838</v>
      </c>
      <c r="M91" s="1104" t="n">
        <v>3.32921113</v>
      </c>
      <c r="N91" s="941" t="n">
        <v>3.32921113</v>
      </c>
      <c r="O91" s="941" t="n">
        <v>3.32921113</v>
      </c>
      <c r="P91" s="941" t="n">
        <v>3.32921113</v>
      </c>
      <c r="Q91" s="942" t="n">
        <v>3.32921113</v>
      </c>
      <c r="R91" s="1105" t="n">
        <v>3.94804038</v>
      </c>
      <c r="S91" s="941" t="n">
        <v>3.94804038</v>
      </c>
      <c r="T91" s="941" t="n">
        <v>3.94804038</v>
      </c>
      <c r="U91" s="941" t="n">
        <v>3.94804038</v>
      </c>
      <c r="V91" s="941" t="n">
        <v>3.94804038</v>
      </c>
      <c r="W91" s="941" t="n">
        <v>3.94804038</v>
      </c>
      <c r="X91" s="1104" t="n">
        <v>3.47876031</v>
      </c>
      <c r="Y91" s="941" t="n">
        <v>3.47876031</v>
      </c>
      <c r="Z91" s="941" t="n">
        <v>3.47876031</v>
      </c>
      <c r="AA91" s="941" t="n">
        <v>3.47876031</v>
      </c>
      <c r="AB91" s="941" t="n">
        <v>3.47876031</v>
      </c>
      <c r="AC91" s="942" t="n">
        <v>3.47876031</v>
      </c>
      <c r="AD91" s="1106" t="n"/>
      <c r="AE91" s="941" t="n"/>
      <c r="AF91" s="941" t="n"/>
      <c r="AG91" s="941" t="n"/>
      <c r="AH91" s="941" t="n"/>
      <c r="AI91" s="941" t="n"/>
      <c r="AJ91" s="942" t="n"/>
      <c r="AK91" s="940" t="n"/>
      <c r="AL91" s="941" t="n"/>
      <c r="AM91" s="941" t="n"/>
      <c r="AN91" s="941" t="n"/>
      <c r="AO91" s="941" t="n"/>
      <c r="AP91" s="941" t="n"/>
      <c r="AQ91" s="1107" t="n"/>
      <c r="AR91" s="1108" t="n"/>
      <c r="AS91" s="941" t="n"/>
      <c r="AT91" s="941" t="n"/>
      <c r="AU91" s="941" t="n"/>
      <c r="AV91" s="941" t="n"/>
      <c r="AW91" s="1109" t="n"/>
      <c r="AX91" s="941" t="n"/>
      <c r="AY91" s="941" t="n"/>
      <c r="AZ91" s="941" t="n"/>
      <c r="BA91" s="941" t="n"/>
      <c r="BB91" s="941" t="n"/>
      <c r="BC91" s="942" t="n"/>
      <c r="BD91" s="1109" t="n"/>
      <c r="BE91" s="941" t="n"/>
      <c r="BF91" s="941" t="n"/>
      <c r="BG91" s="941" t="n"/>
      <c r="BH91" s="941" t="n"/>
      <c r="BI91" s="942" t="n"/>
      <c r="BJ91" s="1109" t="n"/>
      <c r="BK91" s="941" t="n"/>
      <c r="BL91" s="941" t="n"/>
      <c r="BM91" s="941" t="n"/>
      <c r="BN91" s="941" t="n"/>
      <c r="BO91" s="942" t="n"/>
      <c r="BP91" s="1109" t="n"/>
      <c r="BQ91" s="941" t="n"/>
      <c r="BR91" s="941" t="n"/>
      <c r="BS91" s="941" t="n"/>
      <c r="BT91" s="942" t="n"/>
      <c r="BU91" s="1109" t="n"/>
      <c r="BV91" s="941" t="n"/>
      <c r="BW91" s="941" t="n"/>
      <c r="BX91" s="941" t="n"/>
      <c r="BY91" s="941" t="n"/>
      <c r="BZ91" s="943" t="n"/>
    </row>
    <row r="92" ht="16.5" customHeight="1" s="838">
      <c r="B92" s="756" t="n"/>
      <c r="C92" s="738" t="n"/>
      <c r="D92" s="738" t="n"/>
      <c r="E92" s="738" t="n"/>
      <c r="F92" s="151" t="inlineStr">
        <is>
          <t>`26 목표</t>
        </is>
      </c>
      <c r="G92" s="1110" t="n">
        <v>3.46459599</v>
      </c>
      <c r="H92" s="946" t="n">
        <v>3.55670782</v>
      </c>
      <c r="I92" s="946" t="n">
        <v>3.55670782</v>
      </c>
      <c r="J92" s="946" t="n">
        <v>3.55670782</v>
      </c>
      <c r="K92" s="946" t="n">
        <v>3.55670782</v>
      </c>
      <c r="L92" s="946" t="n">
        <v>3.55670782</v>
      </c>
      <c r="M92" s="1110" t="n">
        <v>7.57990677</v>
      </c>
      <c r="N92" s="946" t="n">
        <v>6.90249257</v>
      </c>
      <c r="O92" s="946" t="n">
        <v>6.90249257</v>
      </c>
      <c r="P92" s="946" t="n">
        <v>6.90249257</v>
      </c>
      <c r="Q92" s="1111" t="n">
        <v>6.90249257</v>
      </c>
      <c r="R92" s="1112" t="n">
        <v>8.527722860000001</v>
      </c>
      <c r="S92" s="946" t="n">
        <v>6.58531527</v>
      </c>
      <c r="T92" s="946" t="n">
        <v>6.58531527</v>
      </c>
      <c r="U92" s="946" t="n">
        <v>6.58531527</v>
      </c>
      <c r="V92" s="946" t="n">
        <v>6.58531527</v>
      </c>
      <c r="W92" s="946" t="n">
        <v>6.58531527</v>
      </c>
      <c r="X92" s="1110" t="n">
        <v>5.20781823</v>
      </c>
      <c r="Y92" s="946" t="n">
        <v>5.20781823</v>
      </c>
      <c r="Z92" s="946" t="n">
        <v>5.20781823</v>
      </c>
      <c r="AA92" s="946" t="n">
        <v>5.20781823</v>
      </c>
      <c r="AB92" s="946" t="n">
        <v>5.20781823</v>
      </c>
      <c r="AC92" s="1111" t="n">
        <v>5.20781823</v>
      </c>
      <c r="AD92" s="1113" t="n"/>
      <c r="AE92" s="946" t="n"/>
      <c r="AF92" s="946" t="n"/>
      <c r="AG92" s="946" t="n"/>
      <c r="AH92" s="946" t="n"/>
      <c r="AI92" s="946" t="n"/>
      <c r="AJ92" s="1111" t="n"/>
      <c r="AK92" s="1114" t="n"/>
      <c r="AL92" s="946" t="n"/>
      <c r="AM92" s="946" t="n"/>
      <c r="AN92" s="946" t="n"/>
      <c r="AO92" s="946" t="n"/>
      <c r="AP92" s="946" t="n"/>
      <c r="AQ92" s="1115" t="n"/>
      <c r="AR92" s="1116" t="n"/>
      <c r="AS92" s="946" t="n"/>
      <c r="AT92" s="946" t="n"/>
      <c r="AU92" s="946" t="n"/>
      <c r="AV92" s="946" t="n"/>
      <c r="AW92" s="1117" t="n"/>
      <c r="AX92" s="946" t="n"/>
      <c r="AY92" s="946" t="n"/>
      <c r="AZ92" s="946" t="n"/>
      <c r="BA92" s="946" t="n"/>
      <c r="BB92" s="946" t="n"/>
      <c r="BC92" s="1111" t="n"/>
      <c r="BD92" s="1117" t="n"/>
      <c r="BE92" s="946" t="n"/>
      <c r="BF92" s="946" t="n"/>
      <c r="BG92" s="946" t="n"/>
      <c r="BH92" s="946" t="n"/>
      <c r="BI92" s="1111" t="n"/>
      <c r="BJ92" s="1117" t="n"/>
      <c r="BK92" s="946" t="n"/>
      <c r="BL92" s="946" t="n"/>
      <c r="BM92" s="946" t="n"/>
      <c r="BN92" s="946" t="n"/>
      <c r="BO92" s="1111" t="n"/>
      <c r="BP92" s="1117" t="n"/>
      <c r="BQ92" s="946" t="n"/>
      <c r="BR92" s="946" t="n"/>
      <c r="BS92" s="946" t="n"/>
      <c r="BT92" s="1111" t="n"/>
      <c r="BU92" s="1117" t="n"/>
      <c r="BV92" s="946" t="n"/>
      <c r="BW92" s="946" t="n"/>
      <c r="BX92" s="946" t="n"/>
      <c r="BY92" s="946" t="n"/>
      <c r="BZ92" s="1118" t="n"/>
    </row>
    <row r="93" ht="16.5" customHeight="1" s="838">
      <c r="B93" s="756" t="n"/>
      <c r="C93" s="738" t="n"/>
      <c r="D93" s="739" t="n"/>
      <c r="E93" s="739" t="n"/>
      <c r="F93" s="134" t="inlineStr">
        <is>
          <t>`26 실적</t>
        </is>
      </c>
      <c r="G93" s="1119" t="n">
        <v>4.31803218</v>
      </c>
      <c r="H93" s="945" t="n">
        <v>3.67306176</v>
      </c>
      <c r="I93" s="945" t="n">
        <v>6.62869015</v>
      </c>
      <c r="J93" s="945" t="n">
        <v>6.62869015</v>
      </c>
      <c r="K93" s="945" t="n">
        <v>6.62869015</v>
      </c>
      <c r="L93" s="945" t="n">
        <v>6.62869015</v>
      </c>
      <c r="M93" s="1119" t="n">
        <v>8.3725703</v>
      </c>
      <c r="N93" s="945" t="n">
        <v>2.57429562</v>
      </c>
      <c r="O93" s="945" t="n">
        <v>2.57429562</v>
      </c>
      <c r="P93" s="945" t="n">
        <v>2.57429562</v>
      </c>
      <c r="Q93" s="947" t="n">
        <v>4.12219201</v>
      </c>
      <c r="R93" s="1120" t="n">
        <v>8.522693780000001</v>
      </c>
      <c r="S93" s="945" t="n">
        <v>3.7887975</v>
      </c>
      <c r="T93" s="945" t="n">
        <v>3.7887975</v>
      </c>
      <c r="U93" s="945" t="n">
        <v>2.79937392</v>
      </c>
      <c r="V93" s="945" t="n">
        <v>2.79937392</v>
      </c>
      <c r="W93" s="945" t="n">
        <v>3.7887975</v>
      </c>
      <c r="X93" s="1119" t="n">
        <v>7.18235969</v>
      </c>
      <c r="Y93" s="945" t="n">
        <v>6.12943506</v>
      </c>
      <c r="Z93" s="945" t="n">
        <v>6.12943506</v>
      </c>
      <c r="AA93" s="945" t="n">
        <v>4.17637082</v>
      </c>
      <c r="AB93" s="945" t="n">
        <v>6.12943506</v>
      </c>
      <c r="AC93" s="947" t="n">
        <v>4.17637082</v>
      </c>
      <c r="AD93" s="1121" t="n"/>
      <c r="AE93" s="945" t="n"/>
      <c r="AF93" s="945" t="n"/>
      <c r="AG93" s="945" t="n"/>
      <c r="AH93" s="945" t="n"/>
      <c r="AI93" s="945" t="n"/>
      <c r="AJ93" s="947" t="n"/>
      <c r="AK93" s="944" t="n"/>
      <c r="AL93" s="945" t="n"/>
      <c r="AM93" s="945" t="n"/>
      <c r="AN93" s="945" t="n"/>
      <c r="AO93" s="945" t="n"/>
      <c r="AP93" s="945" t="n"/>
      <c r="AQ93" s="1122" t="n"/>
      <c r="AR93" s="1123" t="n"/>
      <c r="AS93" s="945" t="n"/>
      <c r="AT93" s="945" t="n"/>
      <c r="AU93" s="945" t="n"/>
      <c r="AV93" s="945" t="n"/>
      <c r="AW93" s="1124" t="n"/>
      <c r="AX93" s="945" t="n"/>
      <c r="AY93" s="945" t="n"/>
      <c r="AZ93" s="945" t="n"/>
      <c r="BA93" s="945" t="n"/>
      <c r="BB93" s="945" t="n"/>
      <c r="BC93" s="947" t="n"/>
      <c r="BD93" s="1124" t="n"/>
      <c r="BE93" s="945" t="n"/>
      <c r="BF93" s="945" t="n"/>
      <c r="BG93" s="945" t="n"/>
      <c r="BH93" s="945" t="n"/>
      <c r="BI93" s="947" t="n"/>
      <c r="BJ93" s="1124" t="n"/>
      <c r="BK93" s="945" t="n"/>
      <c r="BL93" s="945" t="n"/>
      <c r="BM93" s="945" t="n"/>
      <c r="BN93" s="945" t="n"/>
      <c r="BO93" s="947" t="n"/>
      <c r="BP93" s="1124" t="n"/>
      <c r="BQ93" s="945" t="n"/>
      <c r="BR93" s="945" t="n"/>
      <c r="BS93" s="945" t="n"/>
      <c r="BT93" s="947" t="n"/>
      <c r="BU93" s="1124" t="n"/>
      <c r="BV93" s="945" t="n"/>
      <c r="BW93" s="945" t="n"/>
      <c r="BX93" s="945" t="n"/>
      <c r="BY93" s="945" t="n"/>
      <c r="BZ93" s="948" t="n"/>
    </row>
    <row r="94" ht="16.5" customHeight="1" s="838">
      <c r="B94" s="756" t="n"/>
      <c r="C94" s="738" t="n"/>
      <c r="D94" s="737" t="inlineStr">
        <is>
          <t>지역3</t>
        </is>
      </c>
      <c r="E94" s="737" t="inlineStr">
        <is>
          <t>가공비율</t>
        </is>
      </c>
      <c r="F94" s="220" t="inlineStr">
        <is>
          <t>`25 실적</t>
        </is>
      </c>
      <c r="G94" s="1069">
        <f>G100/G97</f>
        <v/>
      </c>
      <c r="H94" s="930">
        <f>H100/H97</f>
        <v/>
      </c>
      <c r="I94" s="930">
        <f>I100/I97</f>
        <v/>
      </c>
      <c r="J94" s="930">
        <f>J100/J97</f>
        <v/>
      </c>
      <c r="K94" s="930">
        <f>K100/K97</f>
        <v/>
      </c>
      <c r="L94" s="930">
        <f>L100/L97</f>
        <v/>
      </c>
      <c r="M94" s="1069">
        <f>M100/M97</f>
        <v/>
      </c>
      <c r="N94" s="930">
        <f>N100/N97</f>
        <v/>
      </c>
      <c r="O94" s="930">
        <f>O100/O97</f>
        <v/>
      </c>
      <c r="P94" s="930">
        <f>P100/P97</f>
        <v/>
      </c>
      <c r="Q94" s="933">
        <f>Q100/Q97</f>
        <v/>
      </c>
      <c r="R94" s="1070">
        <f>R100/R97</f>
        <v/>
      </c>
      <c r="S94" s="930">
        <f>S100/S97</f>
        <v/>
      </c>
      <c r="T94" s="930">
        <f>T100/T97</f>
        <v/>
      </c>
      <c r="U94" s="930">
        <f>U100/U97</f>
        <v/>
      </c>
      <c r="V94" s="930">
        <f>V100/V97</f>
        <v/>
      </c>
      <c r="W94" s="930">
        <f>W100/W97</f>
        <v/>
      </c>
      <c r="X94" s="1069">
        <f>X100/X97</f>
        <v/>
      </c>
      <c r="Y94" s="930">
        <f>Y100/Y97</f>
        <v/>
      </c>
      <c r="Z94" s="930">
        <f>Z100/Z97</f>
        <v/>
      </c>
      <c r="AA94" s="930">
        <f>AA100/AA97</f>
        <v/>
      </c>
      <c r="AB94" s="930">
        <f>AB100/AB97</f>
        <v/>
      </c>
      <c r="AC94" s="933">
        <f>AC100/AC97</f>
        <v/>
      </c>
      <c r="AD94" s="1071" t="n"/>
      <c r="AE94" s="930" t="n"/>
      <c r="AF94" s="930" t="n"/>
      <c r="AG94" s="930" t="n"/>
      <c r="AH94" s="930" t="n"/>
      <c r="AI94" s="930" t="n"/>
      <c r="AJ94" s="933" t="n"/>
      <c r="AK94" s="932" t="n"/>
      <c r="AL94" s="930" t="n"/>
      <c r="AM94" s="930" t="n"/>
      <c r="AN94" s="930" t="n"/>
      <c r="AO94" s="930" t="n"/>
      <c r="AP94" s="930" t="n"/>
      <c r="AQ94" s="1072" t="n"/>
      <c r="AR94" s="1073" t="n"/>
      <c r="AS94" s="930" t="n"/>
      <c r="AT94" s="930" t="n"/>
      <c r="AU94" s="930" t="n"/>
      <c r="AV94" s="930" t="n"/>
      <c r="AW94" s="1074" t="n"/>
      <c r="AX94" s="930" t="n"/>
      <c r="AY94" s="930" t="n"/>
      <c r="AZ94" s="930" t="n"/>
      <c r="BA94" s="930" t="n"/>
      <c r="BB94" s="930" t="n"/>
      <c r="BC94" s="933" t="n"/>
      <c r="BD94" s="1074" t="n"/>
      <c r="BE94" s="930" t="n"/>
      <c r="BF94" s="930" t="n"/>
      <c r="BG94" s="930" t="n"/>
      <c r="BH94" s="930" t="n"/>
      <c r="BI94" s="933" t="n"/>
      <c r="BJ94" s="1074" t="n"/>
      <c r="BK94" s="930" t="n"/>
      <c r="BL94" s="930" t="n"/>
      <c r="BM94" s="930" t="n"/>
      <c r="BN94" s="930" t="n"/>
      <c r="BO94" s="933" t="n"/>
      <c r="BP94" s="1074" t="n"/>
      <c r="BQ94" s="930" t="n"/>
      <c r="BR94" s="930" t="n"/>
      <c r="BS94" s="930" t="n"/>
      <c r="BT94" s="933" t="n"/>
      <c r="BU94" s="1074" t="n"/>
      <c r="BV94" s="930" t="n"/>
      <c r="BW94" s="930" t="n"/>
      <c r="BX94" s="930" t="n"/>
      <c r="BY94" s="930" t="n"/>
      <c r="BZ94" s="934" t="n"/>
    </row>
    <row r="95" ht="16.5" customHeight="1" s="838">
      <c r="B95" s="756" t="n"/>
      <c r="C95" s="738" t="n"/>
      <c r="D95" s="738" t="n"/>
      <c r="E95" s="738" t="n"/>
      <c r="F95" s="151" t="inlineStr">
        <is>
          <t>`26 목표</t>
        </is>
      </c>
      <c r="G95" s="1036">
        <f>G101/G98</f>
        <v/>
      </c>
      <c r="H95" s="931">
        <f>H101/H98</f>
        <v/>
      </c>
      <c r="I95" s="931">
        <f>I101/I98</f>
        <v/>
      </c>
      <c r="J95" s="931">
        <f>J101/J98</f>
        <v/>
      </c>
      <c r="K95" s="931">
        <f>K101/K98</f>
        <v/>
      </c>
      <c r="L95" s="931">
        <f>L101/L98</f>
        <v/>
      </c>
      <c r="M95" s="1036">
        <f>M101/M98</f>
        <v/>
      </c>
      <c r="N95" s="931">
        <f>N101/N98</f>
        <v/>
      </c>
      <c r="O95" s="931">
        <f>O101/O98</f>
        <v/>
      </c>
      <c r="P95" s="931">
        <f>P101/P98</f>
        <v/>
      </c>
      <c r="Q95" s="938">
        <f>Q101/Q98</f>
        <v/>
      </c>
      <c r="R95" s="1037">
        <f>R101/R98</f>
        <v/>
      </c>
      <c r="S95" s="931">
        <f>S101/S98</f>
        <v/>
      </c>
      <c r="T95" s="931">
        <f>T101/T98</f>
        <v/>
      </c>
      <c r="U95" s="931">
        <f>U101/U98</f>
        <v/>
      </c>
      <c r="V95" s="931">
        <f>V101/V98</f>
        <v/>
      </c>
      <c r="W95" s="931">
        <f>W101/W98</f>
        <v/>
      </c>
      <c r="X95" s="1036">
        <f>X101/X98</f>
        <v/>
      </c>
      <c r="Y95" s="931">
        <f>Y101/Y98</f>
        <v/>
      </c>
      <c r="Z95" s="931">
        <f>Z101/Z98</f>
        <v/>
      </c>
      <c r="AA95" s="931">
        <f>AA101/AA98</f>
        <v/>
      </c>
      <c r="AB95" s="931">
        <f>AB101/AB98</f>
        <v/>
      </c>
      <c r="AC95" s="938">
        <f>AC101/AC98</f>
        <v/>
      </c>
      <c r="AD95" s="1038" t="n"/>
      <c r="AE95" s="931" t="n"/>
      <c r="AF95" s="931" t="n"/>
      <c r="AG95" s="931" t="n"/>
      <c r="AH95" s="931" t="n"/>
      <c r="AI95" s="931" t="n"/>
      <c r="AJ95" s="938" t="n"/>
      <c r="AK95" s="929" t="n"/>
      <c r="AL95" s="931" t="n"/>
      <c r="AM95" s="931" t="n"/>
      <c r="AN95" s="931" t="n"/>
      <c r="AO95" s="931" t="n"/>
      <c r="AP95" s="931" t="n"/>
      <c r="AQ95" s="1039" t="n"/>
      <c r="AR95" s="1040" t="n"/>
      <c r="AS95" s="931" t="n"/>
      <c r="AT95" s="931" t="n"/>
      <c r="AU95" s="931" t="n"/>
      <c r="AV95" s="931" t="n"/>
      <c r="AW95" s="1041" t="n"/>
      <c r="AX95" s="931" t="n"/>
      <c r="AY95" s="931" t="n"/>
      <c r="AZ95" s="931" t="n"/>
      <c r="BA95" s="931" t="n"/>
      <c r="BB95" s="931" t="n"/>
      <c r="BC95" s="938" t="n"/>
      <c r="BD95" s="1041" t="n"/>
      <c r="BE95" s="931" t="n"/>
      <c r="BF95" s="931" t="n"/>
      <c r="BG95" s="931" t="n"/>
      <c r="BH95" s="931" t="n"/>
      <c r="BI95" s="938" t="n"/>
      <c r="BJ95" s="1041" t="n"/>
      <c r="BK95" s="931" t="n"/>
      <c r="BL95" s="931" t="n"/>
      <c r="BM95" s="931" t="n"/>
      <c r="BN95" s="931" t="n"/>
      <c r="BO95" s="938" t="n"/>
      <c r="BP95" s="1041" t="n"/>
      <c r="BQ95" s="931" t="n"/>
      <c r="BR95" s="931" t="n"/>
      <c r="BS95" s="931" t="n"/>
      <c r="BT95" s="938" t="n"/>
      <c r="BU95" s="1041" t="n"/>
      <c r="BV95" s="931" t="n"/>
      <c r="BW95" s="931" t="n"/>
      <c r="BX95" s="931" t="n"/>
      <c r="BY95" s="931" t="n"/>
      <c r="BZ95" s="939" t="n"/>
    </row>
    <row r="96" ht="16.5" customHeight="1" s="838">
      <c r="B96" s="756" t="n"/>
      <c r="C96" s="738" t="n"/>
      <c r="D96" s="738" t="n"/>
      <c r="E96" s="739" t="n"/>
      <c r="F96" s="134" t="inlineStr">
        <is>
          <t>`26 실적</t>
        </is>
      </c>
      <c r="G96" s="1075">
        <f>G102/G99</f>
        <v/>
      </c>
      <c r="H96" s="922">
        <f>H102/H99</f>
        <v/>
      </c>
      <c r="I96" s="922">
        <f>I102/I99</f>
        <v/>
      </c>
      <c r="J96" s="922">
        <f>J102/J99</f>
        <v/>
      </c>
      <c r="K96" s="922">
        <f>K102/K99</f>
        <v/>
      </c>
      <c r="L96" s="922">
        <f>L102/L99</f>
        <v/>
      </c>
      <c r="M96" s="1075">
        <f>M102/M99</f>
        <v/>
      </c>
      <c r="N96" s="922">
        <f>N102/N99</f>
        <v/>
      </c>
      <c r="O96" s="922">
        <f>O102/O99</f>
        <v/>
      </c>
      <c r="P96" s="922">
        <f>P102/P99</f>
        <v/>
      </c>
      <c r="Q96" s="923">
        <f>Q102/Q99</f>
        <v/>
      </c>
      <c r="R96" s="1076">
        <f>R102/R99</f>
        <v/>
      </c>
      <c r="S96" s="922">
        <f>S102/S99</f>
        <v/>
      </c>
      <c r="T96" s="922">
        <f>T102/T99</f>
        <v/>
      </c>
      <c r="U96" s="922">
        <f>U102/U99</f>
        <v/>
      </c>
      <c r="V96" s="922">
        <f>V102/V99</f>
        <v/>
      </c>
      <c r="W96" s="922">
        <f>W102/W99</f>
        <v/>
      </c>
      <c r="X96" s="1075">
        <f>X102/X99</f>
        <v/>
      </c>
      <c r="Y96" s="922">
        <f>Y102/Y99</f>
        <v/>
      </c>
      <c r="Z96" s="922">
        <f>Z102/Z99</f>
        <v/>
      </c>
      <c r="AA96" s="922">
        <f>AA102/AA99</f>
        <v/>
      </c>
      <c r="AB96" s="922">
        <f>AB102/AB99</f>
        <v/>
      </c>
      <c r="AC96" s="923">
        <f>AC102/AC99</f>
        <v/>
      </c>
      <c r="AD96" s="1077" t="n"/>
      <c r="AE96" s="922" t="n"/>
      <c r="AF96" s="922" t="n"/>
      <c r="AG96" s="922" t="n"/>
      <c r="AH96" s="922" t="n"/>
      <c r="AI96" s="922" t="n"/>
      <c r="AJ96" s="923" t="n"/>
      <c r="AK96" s="921" t="n"/>
      <c r="AL96" s="922" t="n"/>
      <c r="AM96" s="922" t="n"/>
      <c r="AN96" s="922" t="n"/>
      <c r="AO96" s="922" t="n"/>
      <c r="AP96" s="922" t="n"/>
      <c r="AQ96" s="1078" t="n"/>
      <c r="AR96" s="1079" t="n"/>
      <c r="AS96" s="922" t="n"/>
      <c r="AT96" s="922" t="n"/>
      <c r="AU96" s="922" t="n"/>
      <c r="AV96" s="922" t="n"/>
      <c r="AW96" s="320" t="n"/>
      <c r="AX96" s="133" t="n"/>
      <c r="AY96" s="133" t="n"/>
      <c r="AZ96" s="133" t="n"/>
      <c r="BA96" s="133" t="n"/>
      <c r="BB96" s="133" t="n"/>
      <c r="BC96" s="134" t="n"/>
      <c r="BD96" s="320" t="n"/>
      <c r="BE96" s="133" t="n"/>
      <c r="BF96" s="133" t="n"/>
      <c r="BG96" s="133" t="n"/>
      <c r="BH96" s="133" t="n"/>
      <c r="BI96" s="134" t="n"/>
      <c r="BJ96" s="320" t="n"/>
      <c r="BK96" s="133" t="n"/>
      <c r="BL96" s="133" t="n"/>
      <c r="BM96" s="133" t="n"/>
      <c r="BN96" s="133" t="n"/>
      <c r="BO96" s="134" t="n"/>
      <c r="BP96" s="320" t="n"/>
      <c r="BQ96" s="133" t="n"/>
      <c r="BR96" s="133" t="n"/>
      <c r="BS96" s="133" t="n"/>
      <c r="BT96" s="134" t="n"/>
      <c r="BU96" s="320" t="n"/>
      <c r="BV96" s="133" t="n"/>
      <c r="BW96" s="133" t="n"/>
      <c r="BX96" s="133" t="n"/>
      <c r="BY96" s="133" t="n"/>
      <c r="BZ96" s="135" t="n"/>
    </row>
    <row r="97" ht="16.5" customHeight="1" s="838">
      <c r="B97" s="756" t="n"/>
      <c r="C97" s="738" t="n"/>
      <c r="D97" s="738" t="n"/>
      <c r="E97" s="778" t="inlineStr">
        <is>
          <t>생산액</t>
        </is>
      </c>
      <c r="F97" s="220" t="inlineStr">
        <is>
          <t>`25 실적</t>
        </is>
      </c>
      <c r="G97" s="1104" t="n">
        <v>19.000645</v>
      </c>
      <c r="H97" s="941" t="n">
        <v>19.000645</v>
      </c>
      <c r="I97" s="941" t="n">
        <v>19.000645</v>
      </c>
      <c r="J97" s="941" t="n">
        <v>19.000645</v>
      </c>
      <c r="K97" s="941" t="n">
        <v>19.000645</v>
      </c>
      <c r="L97" s="941" t="n">
        <v>19.000645</v>
      </c>
      <c r="M97" s="1104" t="n">
        <v>27.908857</v>
      </c>
      <c r="N97" s="941" t="n">
        <v>27.908857</v>
      </c>
      <c r="O97" s="941" t="n">
        <v>27.908857</v>
      </c>
      <c r="P97" s="941" t="n">
        <v>27.908857</v>
      </c>
      <c r="Q97" s="942" t="n">
        <v>27.908857</v>
      </c>
      <c r="R97" s="1105" t="n">
        <v>19.852697</v>
      </c>
      <c r="S97" s="941" t="n">
        <v>19.852697</v>
      </c>
      <c r="T97" s="941" t="n">
        <v>19.852697</v>
      </c>
      <c r="U97" s="941" t="n">
        <v>19.852697</v>
      </c>
      <c r="V97" s="941" t="n">
        <v>19.852697</v>
      </c>
      <c r="W97" s="941" t="n">
        <v>19.852697</v>
      </c>
      <c r="X97" s="1104" t="n">
        <v>48.202027</v>
      </c>
      <c r="Y97" s="941" t="n">
        <v>48.202027</v>
      </c>
      <c r="Z97" s="941" t="n">
        <v>48.202027</v>
      </c>
      <c r="AA97" s="941" t="n">
        <v>48.202027</v>
      </c>
      <c r="AB97" s="941" t="n">
        <v>48.202027</v>
      </c>
      <c r="AC97" s="942" t="n">
        <v>48.202027</v>
      </c>
      <c r="AD97" s="1106" t="n"/>
      <c r="AE97" s="941" t="n"/>
      <c r="AF97" s="941" t="n"/>
      <c r="AG97" s="941" t="n"/>
      <c r="AH97" s="941" t="n"/>
      <c r="AI97" s="941" t="n"/>
      <c r="AJ97" s="942" t="n"/>
      <c r="AK97" s="940" t="n"/>
      <c r="AL97" s="941" t="n"/>
      <c r="AM97" s="941" t="n"/>
      <c r="AN97" s="941" t="n"/>
      <c r="AO97" s="941" t="n"/>
      <c r="AP97" s="941" t="n"/>
      <c r="AQ97" s="1107" t="n"/>
      <c r="AR97" s="1108" t="n"/>
      <c r="AS97" s="941" t="n"/>
      <c r="AT97" s="941" t="n"/>
      <c r="AU97" s="941" t="n"/>
      <c r="AV97" s="941" t="n"/>
      <c r="AW97" s="1109" t="n"/>
      <c r="AX97" s="941" t="n"/>
      <c r="AY97" s="941" t="n"/>
      <c r="AZ97" s="941" t="n"/>
      <c r="BA97" s="941" t="n"/>
      <c r="BB97" s="941" t="n"/>
      <c r="BC97" s="942" t="n"/>
      <c r="BD97" s="1109" t="n"/>
      <c r="BE97" s="941" t="n"/>
      <c r="BF97" s="941" t="n"/>
      <c r="BG97" s="941" t="n"/>
      <c r="BH97" s="941" t="n"/>
      <c r="BI97" s="942" t="n"/>
      <c r="BJ97" s="1109" t="n"/>
      <c r="BK97" s="941" t="n"/>
      <c r="BL97" s="941" t="n"/>
      <c r="BM97" s="941" t="n"/>
      <c r="BN97" s="941" t="n"/>
      <c r="BO97" s="942" t="n"/>
      <c r="BP97" s="1109" t="n"/>
      <c r="BQ97" s="941" t="n"/>
      <c r="BR97" s="941" t="n"/>
      <c r="BS97" s="941" t="n"/>
      <c r="BT97" s="942" t="n"/>
      <c r="BU97" s="1109" t="n"/>
      <c r="BV97" s="941" t="n"/>
      <c r="BW97" s="941" t="n"/>
      <c r="BX97" s="941" t="n"/>
      <c r="BY97" s="941" t="n"/>
      <c r="BZ97" s="943" t="n"/>
    </row>
    <row r="98" ht="16.5" customHeight="1" s="838">
      <c r="B98" s="756" t="n"/>
      <c r="C98" s="738" t="n"/>
      <c r="D98" s="738" t="n"/>
      <c r="E98" s="738" t="n"/>
      <c r="F98" s="151" t="inlineStr">
        <is>
          <t>`26 목표</t>
        </is>
      </c>
      <c r="G98" s="1110" t="n">
        <v>23.510471</v>
      </c>
      <c r="H98" s="946" t="n">
        <v>41.777171</v>
      </c>
      <c r="I98" s="946" t="n">
        <v>41.777171</v>
      </c>
      <c r="J98" s="946" t="n">
        <v>41.777171</v>
      </c>
      <c r="K98" s="946" t="n">
        <v>41.777171</v>
      </c>
      <c r="L98" s="946" t="n">
        <v>41.777171</v>
      </c>
      <c r="M98" s="1110" t="n">
        <v>37.694476</v>
      </c>
      <c r="N98" s="946" t="n">
        <v>24.806567</v>
      </c>
      <c r="O98" s="946" t="n">
        <v>24.806567</v>
      </c>
      <c r="P98" s="946" t="n">
        <v>24.806567</v>
      </c>
      <c r="Q98" s="1111" t="n">
        <v>24.806567</v>
      </c>
      <c r="R98" s="1112" t="n">
        <v>30.260794</v>
      </c>
      <c r="S98" s="946" t="n">
        <v>51.990951</v>
      </c>
      <c r="T98" s="946" t="n">
        <v>51.990951</v>
      </c>
      <c r="U98" s="946" t="n">
        <v>51.990951</v>
      </c>
      <c r="V98" s="946" t="n">
        <v>51.990951</v>
      </c>
      <c r="W98" s="946" t="n">
        <v>51.990951</v>
      </c>
      <c r="X98" s="1110" t="n">
        <v>52.8217</v>
      </c>
      <c r="Y98" s="946" t="n">
        <v>52.8217</v>
      </c>
      <c r="Z98" s="946" t="n">
        <v>52.8217</v>
      </c>
      <c r="AA98" s="946" t="n">
        <v>52.8217</v>
      </c>
      <c r="AB98" s="946" t="n">
        <v>52.8217</v>
      </c>
      <c r="AC98" s="1111" t="n">
        <v>52.8217</v>
      </c>
      <c r="AD98" s="1113" t="n"/>
      <c r="AE98" s="946" t="n"/>
      <c r="AF98" s="946" t="n"/>
      <c r="AG98" s="946" t="n"/>
      <c r="AH98" s="946" t="n"/>
      <c r="AI98" s="946" t="n"/>
      <c r="AJ98" s="1111" t="n"/>
      <c r="AK98" s="1114" t="n"/>
      <c r="AL98" s="946" t="n"/>
      <c r="AM98" s="946" t="n"/>
      <c r="AN98" s="946" t="n"/>
      <c r="AO98" s="946" t="n"/>
      <c r="AP98" s="946" t="n"/>
      <c r="AQ98" s="1115" t="n"/>
      <c r="AR98" s="1116" t="n"/>
      <c r="AS98" s="946" t="n"/>
      <c r="AT98" s="946" t="n"/>
      <c r="AU98" s="946" t="n"/>
      <c r="AV98" s="946" t="n"/>
      <c r="AW98" s="1117" t="n"/>
      <c r="AX98" s="946" t="n"/>
      <c r="AY98" s="946" t="n"/>
      <c r="AZ98" s="946" t="n"/>
      <c r="BA98" s="946" t="n"/>
      <c r="BB98" s="946" t="n"/>
      <c r="BC98" s="1111" t="n"/>
      <c r="BD98" s="1117" t="n"/>
      <c r="BE98" s="946" t="n"/>
      <c r="BF98" s="946" t="n"/>
      <c r="BG98" s="946" t="n"/>
      <c r="BH98" s="946" t="n"/>
      <c r="BI98" s="1111" t="n"/>
      <c r="BJ98" s="1117" t="n"/>
      <c r="BK98" s="946" t="n"/>
      <c r="BL98" s="946" t="n"/>
      <c r="BM98" s="946" t="n"/>
      <c r="BN98" s="946" t="n"/>
      <c r="BO98" s="1111" t="n"/>
      <c r="BP98" s="1117" t="n"/>
      <c r="BQ98" s="946" t="n"/>
      <c r="BR98" s="946" t="n"/>
      <c r="BS98" s="946" t="n"/>
      <c r="BT98" s="1111" t="n"/>
      <c r="BU98" s="1117" t="n"/>
      <c r="BV98" s="946" t="n"/>
      <c r="BW98" s="946" t="n"/>
      <c r="BX98" s="946" t="n"/>
      <c r="BY98" s="946" t="n"/>
      <c r="BZ98" s="1118" t="n"/>
    </row>
    <row r="99" ht="16.5" customHeight="1" s="838">
      <c r="B99" s="756" t="n"/>
      <c r="C99" s="738" t="n"/>
      <c r="D99" s="738" t="n"/>
      <c r="E99" s="739" t="n"/>
      <c r="F99" s="134" t="inlineStr">
        <is>
          <t>`26 실적</t>
        </is>
      </c>
      <c r="G99" s="1119" t="n">
        <v>16.670218</v>
      </c>
      <c r="H99" s="945" t="n">
        <v>21.265362</v>
      </c>
      <c r="I99" s="945" t="n">
        <v>47.843057</v>
      </c>
      <c r="J99" s="945" t="n">
        <v>47.843057</v>
      </c>
      <c r="K99" s="945" t="n">
        <v>47.843057</v>
      </c>
      <c r="L99" s="945" t="n">
        <v>47.843057</v>
      </c>
      <c r="M99" s="1119" t="n">
        <v>33.08097</v>
      </c>
      <c r="N99" s="945" t="n">
        <v>28.617236</v>
      </c>
      <c r="O99" s="945" t="n">
        <v>28.617236</v>
      </c>
      <c r="P99" s="945" t="n">
        <v>28.617236</v>
      </c>
      <c r="Q99" s="947" t="n">
        <v>37.989926</v>
      </c>
      <c r="R99" s="1120" t="n">
        <v>32.720116</v>
      </c>
      <c r="S99" s="945" t="n">
        <v>24.931221</v>
      </c>
      <c r="T99" s="945" t="n">
        <v>24.931221</v>
      </c>
      <c r="U99" s="945" t="n">
        <v>44.792597</v>
      </c>
      <c r="V99" s="945" t="n">
        <v>44.792597</v>
      </c>
      <c r="W99" s="945" t="n">
        <v>24.931221</v>
      </c>
      <c r="X99" s="1119" t="n">
        <v>34.43808</v>
      </c>
      <c r="Y99" s="945" t="n">
        <v>62.531371</v>
      </c>
      <c r="Z99" s="945" t="n">
        <v>62.531371</v>
      </c>
      <c r="AA99" s="945" t="n">
        <v>43.343494</v>
      </c>
      <c r="AB99" s="945" t="n">
        <v>62.531371</v>
      </c>
      <c r="AC99" s="947" t="n">
        <v>43.343494</v>
      </c>
      <c r="AD99" s="1121" t="n"/>
      <c r="AE99" s="945" t="n"/>
      <c r="AF99" s="945" t="n"/>
      <c r="AG99" s="945" t="n"/>
      <c r="AH99" s="945" t="n"/>
      <c r="AI99" s="945" t="n"/>
      <c r="AJ99" s="947" t="n"/>
      <c r="AK99" s="944" t="n"/>
      <c r="AL99" s="945" t="n"/>
      <c r="AM99" s="945" t="n"/>
      <c r="AN99" s="945" t="n"/>
      <c r="AO99" s="945" t="n"/>
      <c r="AP99" s="945" t="n"/>
      <c r="AQ99" s="1122" t="n"/>
      <c r="AR99" s="1123" t="n"/>
      <c r="AS99" s="945" t="n"/>
      <c r="AT99" s="945" t="n"/>
      <c r="AU99" s="945" t="n"/>
      <c r="AV99" s="945" t="n"/>
      <c r="AW99" s="1124" t="n"/>
      <c r="AX99" s="945" t="n"/>
      <c r="AY99" s="945" t="n"/>
      <c r="AZ99" s="945" t="n"/>
      <c r="BA99" s="945" t="n"/>
      <c r="BB99" s="945" t="n"/>
      <c r="BC99" s="947" t="n"/>
      <c r="BD99" s="1124" t="n"/>
      <c r="BE99" s="945" t="n"/>
      <c r="BF99" s="945" t="n"/>
      <c r="BG99" s="945" t="n"/>
      <c r="BH99" s="945" t="n"/>
      <c r="BI99" s="947" t="n"/>
      <c r="BJ99" s="1124" t="n"/>
      <c r="BK99" s="945" t="n"/>
      <c r="BL99" s="945" t="n"/>
      <c r="BM99" s="945" t="n"/>
      <c r="BN99" s="945" t="n"/>
      <c r="BO99" s="947" t="n"/>
      <c r="BP99" s="1124" t="n"/>
      <c r="BQ99" s="945" t="n"/>
      <c r="BR99" s="945" t="n"/>
      <c r="BS99" s="945" t="n"/>
      <c r="BT99" s="947" t="n"/>
      <c r="BU99" s="1124" t="n"/>
      <c r="BV99" s="945" t="n"/>
      <c r="BW99" s="945" t="n"/>
      <c r="BX99" s="945" t="n"/>
      <c r="BY99" s="945" t="n"/>
      <c r="BZ99" s="948" t="n"/>
    </row>
    <row r="100" ht="16.5" customHeight="1" s="838">
      <c r="B100" s="756" t="n"/>
      <c r="C100" s="738" t="n"/>
      <c r="D100" s="738" t="n"/>
      <c r="E100" s="778" t="inlineStr">
        <is>
          <t>가공비</t>
        </is>
      </c>
      <c r="F100" s="220" t="inlineStr">
        <is>
          <t>`25 실적</t>
        </is>
      </c>
      <c r="G100" s="1104" t="n">
        <v>1.18699193</v>
      </c>
      <c r="H100" s="941" t="n">
        <v>1.18699193</v>
      </c>
      <c r="I100" s="941" t="n">
        <v>1.18699193</v>
      </c>
      <c r="J100" s="941" t="n">
        <v>1.18699193</v>
      </c>
      <c r="K100" s="941" t="n">
        <v>1.18699193</v>
      </c>
      <c r="L100" s="941" t="n">
        <v>1.18699193</v>
      </c>
      <c r="M100" s="1104" t="n">
        <v>1.86080935</v>
      </c>
      <c r="N100" s="941" t="n">
        <v>1.86080935</v>
      </c>
      <c r="O100" s="941" t="n">
        <v>1.86080935</v>
      </c>
      <c r="P100" s="941" t="n">
        <v>1.86080935</v>
      </c>
      <c r="Q100" s="942" t="n">
        <v>1.86080935</v>
      </c>
      <c r="R100" s="1105" t="n">
        <v>1.45500759</v>
      </c>
      <c r="S100" s="941" t="n">
        <v>1.45500759</v>
      </c>
      <c r="T100" s="941" t="n">
        <v>1.45500759</v>
      </c>
      <c r="U100" s="941" t="n">
        <v>1.45500759</v>
      </c>
      <c r="V100" s="941" t="n">
        <v>1.45500759</v>
      </c>
      <c r="W100" s="941" t="n">
        <v>1.45500759</v>
      </c>
      <c r="X100" s="1104" t="n">
        <v>2.55912879</v>
      </c>
      <c r="Y100" s="941" t="n">
        <v>2.55912879</v>
      </c>
      <c r="Z100" s="941" t="n">
        <v>2.55912879</v>
      </c>
      <c r="AA100" s="941" t="n">
        <v>2.55912879</v>
      </c>
      <c r="AB100" s="941" t="n">
        <v>2.55912879</v>
      </c>
      <c r="AC100" s="942" t="n">
        <v>2.55912879</v>
      </c>
      <c r="AD100" s="1106" t="n"/>
      <c r="AE100" s="941" t="n"/>
      <c r="AF100" s="941" t="n"/>
      <c r="AG100" s="941" t="n"/>
      <c r="AH100" s="941" t="n"/>
      <c r="AI100" s="941" t="n"/>
      <c r="AJ100" s="942" t="n"/>
      <c r="AK100" s="940" t="n"/>
      <c r="AL100" s="941" t="n"/>
      <c r="AM100" s="941" t="n"/>
      <c r="AN100" s="941" t="n"/>
      <c r="AO100" s="941" t="n"/>
      <c r="AP100" s="941" t="n"/>
      <c r="AQ100" s="1107" t="n"/>
      <c r="AR100" s="1108" t="n"/>
      <c r="AS100" s="941" t="n"/>
      <c r="AT100" s="941" t="n"/>
      <c r="AU100" s="941" t="n"/>
      <c r="AV100" s="941" t="n"/>
      <c r="AW100" s="1109" t="n"/>
      <c r="AX100" s="941" t="n"/>
      <c r="AY100" s="941" t="n"/>
      <c r="AZ100" s="941" t="n"/>
      <c r="BA100" s="941" t="n"/>
      <c r="BB100" s="941" t="n"/>
      <c r="BC100" s="942" t="n"/>
      <c r="BD100" s="1109" t="n"/>
      <c r="BE100" s="941" t="n"/>
      <c r="BF100" s="941" t="n"/>
      <c r="BG100" s="941" t="n"/>
      <c r="BH100" s="941" t="n"/>
      <c r="BI100" s="942" t="n"/>
      <c r="BJ100" s="1109" t="n"/>
      <c r="BK100" s="941" t="n"/>
      <c r="BL100" s="941" t="n"/>
      <c r="BM100" s="941" t="n"/>
      <c r="BN100" s="941" t="n"/>
      <c r="BO100" s="942" t="n"/>
      <c r="BP100" s="1109" t="n"/>
      <c r="BQ100" s="941" t="n"/>
      <c r="BR100" s="941" t="n"/>
      <c r="BS100" s="941" t="n"/>
      <c r="BT100" s="942" t="n"/>
      <c r="BU100" s="1109" t="n"/>
      <c r="BV100" s="941" t="n"/>
      <c r="BW100" s="941" t="n"/>
      <c r="BX100" s="941" t="n"/>
      <c r="BY100" s="941" t="n"/>
      <c r="BZ100" s="943" t="n"/>
    </row>
    <row r="101" ht="16.5" customHeight="1" s="838">
      <c r="B101" s="756" t="n"/>
      <c r="C101" s="738" t="n"/>
      <c r="D101" s="738" t="n"/>
      <c r="E101" s="738" t="n"/>
      <c r="F101" s="151" t="inlineStr">
        <is>
          <t>`26 목표</t>
        </is>
      </c>
      <c r="G101" s="1110" t="n">
        <v>1.94083272</v>
      </c>
      <c r="H101" s="946" t="n">
        <v>1.80128457</v>
      </c>
      <c r="I101" s="946" t="n">
        <v>1.80128457</v>
      </c>
      <c r="J101" s="946" t="n">
        <v>1.80128457</v>
      </c>
      <c r="K101" s="946" t="n">
        <v>1.80128457</v>
      </c>
      <c r="L101" s="946" t="n">
        <v>1.80128457</v>
      </c>
      <c r="M101" s="1110" t="n">
        <v>2.75792608</v>
      </c>
      <c r="N101" s="946" t="n">
        <v>1.21039727</v>
      </c>
      <c r="O101" s="946" t="n">
        <v>1.21039727</v>
      </c>
      <c r="P101" s="946" t="n">
        <v>1.21039727</v>
      </c>
      <c r="Q101" s="1111" t="n">
        <v>1.21039727</v>
      </c>
      <c r="R101" s="1112" t="n">
        <v>1.26379918</v>
      </c>
      <c r="S101" s="946" t="n">
        <v>2.0170956</v>
      </c>
      <c r="T101" s="946" t="n">
        <v>2.0170956</v>
      </c>
      <c r="U101" s="946" t="n">
        <v>2.0170956</v>
      </c>
      <c r="V101" s="946" t="n">
        <v>2.0170956</v>
      </c>
      <c r="W101" s="946" t="n">
        <v>2.0170956</v>
      </c>
      <c r="X101" s="1110" t="n">
        <v>1.21306223</v>
      </c>
      <c r="Y101" s="946" t="n">
        <v>1.21306223</v>
      </c>
      <c r="Z101" s="946" t="n">
        <v>1.21306223</v>
      </c>
      <c r="AA101" s="946" t="n">
        <v>1.21306223</v>
      </c>
      <c r="AB101" s="946" t="n">
        <v>1.21306223</v>
      </c>
      <c r="AC101" s="1111" t="n">
        <v>1.21306223</v>
      </c>
      <c r="AD101" s="1113" t="n"/>
      <c r="AE101" s="946" t="n"/>
      <c r="AF101" s="946" t="n"/>
      <c r="AG101" s="946" t="n"/>
      <c r="AH101" s="946" t="n"/>
      <c r="AI101" s="946" t="n"/>
      <c r="AJ101" s="1111" t="n"/>
      <c r="AK101" s="1114" t="n"/>
      <c r="AL101" s="946" t="n"/>
      <c r="AM101" s="946" t="n"/>
      <c r="AN101" s="946" t="n"/>
      <c r="AO101" s="946" t="n"/>
      <c r="AP101" s="946" t="n"/>
      <c r="AQ101" s="1115" t="n"/>
      <c r="AR101" s="1116" t="n"/>
      <c r="AS101" s="946" t="n"/>
      <c r="AT101" s="946" t="n"/>
      <c r="AU101" s="946" t="n"/>
      <c r="AV101" s="946" t="n"/>
      <c r="AW101" s="1117" t="n"/>
      <c r="AX101" s="946" t="n"/>
      <c r="AY101" s="946" t="n"/>
      <c r="AZ101" s="946" t="n"/>
      <c r="BA101" s="946" t="n"/>
      <c r="BB101" s="946" t="n"/>
      <c r="BC101" s="1111" t="n"/>
      <c r="BD101" s="1117" t="n"/>
      <c r="BE101" s="946" t="n"/>
      <c r="BF101" s="946" t="n"/>
      <c r="BG101" s="946" t="n"/>
      <c r="BH101" s="946" t="n"/>
      <c r="BI101" s="1111" t="n"/>
      <c r="BJ101" s="1117" t="n"/>
      <c r="BK101" s="946" t="n"/>
      <c r="BL101" s="946" t="n"/>
      <c r="BM101" s="946" t="n"/>
      <c r="BN101" s="946" t="n"/>
      <c r="BO101" s="1111" t="n"/>
      <c r="BP101" s="1117" t="n"/>
      <c r="BQ101" s="946" t="n"/>
      <c r="BR101" s="946" t="n"/>
      <c r="BS101" s="946" t="n"/>
      <c r="BT101" s="1111" t="n"/>
      <c r="BU101" s="1117" t="n"/>
      <c r="BV101" s="946" t="n"/>
      <c r="BW101" s="946" t="n"/>
      <c r="BX101" s="946" t="n"/>
      <c r="BY101" s="946" t="n"/>
      <c r="BZ101" s="1118" t="n"/>
    </row>
    <row r="102" ht="16.5" customHeight="1" s="838">
      <c r="B102" s="756" t="n"/>
      <c r="C102" s="738" t="n"/>
      <c r="D102" s="739" t="n"/>
      <c r="E102" s="739" t="n"/>
      <c r="F102" s="134" t="inlineStr">
        <is>
          <t>`26 실적</t>
        </is>
      </c>
      <c r="G102" s="1119" t="n">
        <v>2.09967795</v>
      </c>
      <c r="H102" s="945" t="n">
        <v>2.42064876</v>
      </c>
      <c r="I102" s="945" t="n">
        <v>2.62222676</v>
      </c>
      <c r="J102" s="945" t="n">
        <v>2.62222676</v>
      </c>
      <c r="K102" s="945" t="n">
        <v>2.62222676</v>
      </c>
      <c r="L102" s="945" t="n">
        <v>2.62222676</v>
      </c>
      <c r="M102" s="1119" t="n">
        <v>1.40607561</v>
      </c>
      <c r="N102" s="945" t="n">
        <v>1.89861091</v>
      </c>
      <c r="O102" s="945" t="n">
        <v>1.89861091</v>
      </c>
      <c r="P102" s="945" t="n">
        <v>1.89861091</v>
      </c>
      <c r="Q102" s="947" t="n">
        <v>2.50446387</v>
      </c>
      <c r="R102" s="1120" t="n">
        <v>1.45987517</v>
      </c>
      <c r="S102" s="945" t="n">
        <v>1.71605883</v>
      </c>
      <c r="T102" s="945" t="n">
        <v>2.9967023</v>
      </c>
      <c r="U102" s="945" t="n">
        <v>2.9967023</v>
      </c>
      <c r="V102" s="945" t="n">
        <v>2.9967023</v>
      </c>
      <c r="W102" s="945" t="n">
        <v>2.9967023</v>
      </c>
      <c r="X102" s="1119" t="n">
        <v>1.54909939</v>
      </c>
      <c r="Y102" s="945" t="n">
        <v>3.07666359</v>
      </c>
      <c r="Z102" s="945" t="n">
        <v>3.07666359</v>
      </c>
      <c r="AA102" s="945" t="n">
        <v>1.32656227</v>
      </c>
      <c r="AB102" s="945" t="n">
        <v>3.07666359</v>
      </c>
      <c r="AC102" s="947" t="n">
        <v>1.32656227</v>
      </c>
      <c r="AD102" s="1121" t="n"/>
      <c r="AE102" s="945" t="n"/>
      <c r="AF102" s="945" t="n"/>
      <c r="AG102" s="945" t="n"/>
      <c r="AH102" s="945" t="n"/>
      <c r="AI102" s="945" t="n"/>
      <c r="AJ102" s="947" t="n"/>
      <c r="AK102" s="944" t="n"/>
      <c r="AL102" s="945" t="n"/>
      <c r="AM102" s="945" t="n"/>
      <c r="AN102" s="945" t="n"/>
      <c r="AO102" s="945" t="n"/>
      <c r="AP102" s="945" t="n"/>
      <c r="AQ102" s="1122" t="n"/>
      <c r="AR102" s="1123" t="n"/>
      <c r="AS102" s="945" t="n"/>
      <c r="AT102" s="945" t="n"/>
      <c r="AU102" s="945" t="n"/>
      <c r="AV102" s="945" t="n"/>
      <c r="AW102" s="1124" t="n"/>
      <c r="AX102" s="945" t="n"/>
      <c r="AY102" s="945" t="n"/>
      <c r="AZ102" s="945" t="n"/>
      <c r="BA102" s="945" t="n"/>
      <c r="BB102" s="945" t="n"/>
      <c r="BC102" s="947" t="n"/>
      <c r="BD102" s="1124" t="n"/>
      <c r="BE102" s="945" t="n"/>
      <c r="BF102" s="945" t="n"/>
      <c r="BG102" s="945" t="n"/>
      <c r="BH102" s="945" t="n"/>
      <c r="BI102" s="947" t="n"/>
      <c r="BJ102" s="1124" t="n"/>
      <c r="BK102" s="945" t="n"/>
      <c r="BL102" s="945" t="n"/>
      <c r="BM102" s="945" t="n"/>
      <c r="BN102" s="945" t="n"/>
      <c r="BO102" s="947" t="n"/>
      <c r="BP102" s="1124" t="n"/>
      <c r="BQ102" s="945" t="n"/>
      <c r="BR102" s="945" t="n"/>
      <c r="BS102" s="945" t="n"/>
      <c r="BT102" s="947" t="n"/>
      <c r="BU102" s="1124" t="n"/>
      <c r="BV102" s="945" t="n"/>
      <c r="BW102" s="945" t="n"/>
      <c r="BX102" s="945" t="n"/>
      <c r="BY102" s="945" t="n"/>
      <c r="BZ102" s="948" t="n"/>
    </row>
    <row r="103" ht="16.5" customHeight="1" s="838">
      <c r="B103" s="756" t="n"/>
      <c r="C103" s="738" t="n"/>
      <c r="D103" s="737" t="inlineStr">
        <is>
          <t>지역4</t>
        </is>
      </c>
      <c r="E103" s="737" t="inlineStr">
        <is>
          <t>가공비율</t>
        </is>
      </c>
      <c r="F103" s="220" t="inlineStr">
        <is>
          <t>`25 실적</t>
        </is>
      </c>
      <c r="G103" s="1069">
        <f>G109/G106</f>
        <v/>
      </c>
      <c r="H103" s="930">
        <f>H109/H106</f>
        <v/>
      </c>
      <c r="I103" s="930">
        <f>I109/I106</f>
        <v/>
      </c>
      <c r="J103" s="930">
        <f>J109/J106</f>
        <v/>
      </c>
      <c r="K103" s="930">
        <f>K109/K106</f>
        <v/>
      </c>
      <c r="L103" s="930">
        <f>L109/L106</f>
        <v/>
      </c>
      <c r="M103" s="1069">
        <f>M109/M106</f>
        <v/>
      </c>
      <c r="N103" s="930">
        <f>N109/N106</f>
        <v/>
      </c>
      <c r="O103" s="930">
        <f>O109/O106</f>
        <v/>
      </c>
      <c r="P103" s="930">
        <f>P109/P106</f>
        <v/>
      </c>
      <c r="Q103" s="933">
        <f>Q109/Q106</f>
        <v/>
      </c>
      <c r="R103" s="1070">
        <f>R109/R106</f>
        <v/>
      </c>
      <c r="S103" s="930">
        <f>S109/S106</f>
        <v/>
      </c>
      <c r="T103" s="930">
        <f>T109/T106</f>
        <v/>
      </c>
      <c r="U103" s="930">
        <f>U109/U106</f>
        <v/>
      </c>
      <c r="V103" s="930">
        <f>V109/V106</f>
        <v/>
      </c>
      <c r="W103" s="930">
        <f>W109/W106</f>
        <v/>
      </c>
      <c r="X103" s="1069">
        <f>X109/X106</f>
        <v/>
      </c>
      <c r="Y103" s="930">
        <f>Y109/Y106</f>
        <v/>
      </c>
      <c r="Z103" s="930">
        <f>Z109/Z106</f>
        <v/>
      </c>
      <c r="AA103" s="930">
        <f>AA109/AA106</f>
        <v/>
      </c>
      <c r="AB103" s="930">
        <f>AB109/AB106</f>
        <v/>
      </c>
      <c r="AC103" s="933">
        <f>AC109/AC106</f>
        <v/>
      </c>
      <c r="AD103" s="1071" t="n"/>
      <c r="AE103" s="930" t="n"/>
      <c r="AF103" s="930" t="n"/>
      <c r="AG103" s="930" t="n"/>
      <c r="AH103" s="930" t="n"/>
      <c r="AI103" s="930" t="n"/>
      <c r="AJ103" s="933" t="n"/>
      <c r="AK103" s="932" t="n"/>
      <c r="AL103" s="930" t="n"/>
      <c r="AM103" s="930" t="n"/>
      <c r="AN103" s="930" t="n"/>
      <c r="AO103" s="930" t="n"/>
      <c r="AP103" s="930" t="n"/>
      <c r="AQ103" s="1072" t="n"/>
      <c r="AR103" s="1073" t="n"/>
      <c r="AS103" s="930" t="n"/>
      <c r="AT103" s="930" t="n"/>
      <c r="AU103" s="930" t="n"/>
      <c r="AV103" s="930" t="n"/>
      <c r="AW103" s="1074" t="n"/>
      <c r="AX103" s="930" t="n"/>
      <c r="AY103" s="930" t="n"/>
      <c r="AZ103" s="930" t="n"/>
      <c r="BA103" s="930" t="n"/>
      <c r="BB103" s="930" t="n"/>
      <c r="BC103" s="933" t="n"/>
      <c r="BD103" s="1074" t="n"/>
      <c r="BE103" s="930" t="n"/>
      <c r="BF103" s="930" t="n"/>
      <c r="BG103" s="930" t="n"/>
      <c r="BH103" s="930" t="n"/>
      <c r="BI103" s="933" t="n"/>
      <c r="BJ103" s="1074" t="n"/>
      <c r="BK103" s="930" t="n"/>
      <c r="BL103" s="930" t="n"/>
      <c r="BM103" s="930" t="n"/>
      <c r="BN103" s="930" t="n"/>
      <c r="BO103" s="933" t="n"/>
      <c r="BP103" s="1074" t="n"/>
      <c r="BQ103" s="930" t="n"/>
      <c r="BR103" s="930" t="n"/>
      <c r="BS103" s="930" t="n"/>
      <c r="BT103" s="933" t="n"/>
      <c r="BU103" s="1074" t="n"/>
      <c r="BV103" s="930" t="n"/>
      <c r="BW103" s="930" t="n"/>
      <c r="BX103" s="930" t="n"/>
      <c r="BY103" s="930" t="n"/>
      <c r="BZ103" s="934" t="n"/>
    </row>
    <row r="104" ht="16.5" customHeight="1" s="838">
      <c r="B104" s="756" t="n"/>
      <c r="C104" s="738" t="n"/>
      <c r="D104" s="738" t="n"/>
      <c r="E104" s="738" t="n"/>
      <c r="F104" s="151" t="inlineStr">
        <is>
          <t>`26 목표</t>
        </is>
      </c>
      <c r="G104" s="1036">
        <f>G110/G107</f>
        <v/>
      </c>
      <c r="H104" s="931">
        <f>H110/H107</f>
        <v/>
      </c>
      <c r="I104" s="931">
        <f>I110/I107</f>
        <v/>
      </c>
      <c r="J104" s="931">
        <f>J110/J107</f>
        <v/>
      </c>
      <c r="K104" s="931">
        <f>K110/K107</f>
        <v/>
      </c>
      <c r="L104" s="931">
        <f>L110/L107</f>
        <v/>
      </c>
      <c r="M104" s="1036">
        <f>M110/M107</f>
        <v/>
      </c>
      <c r="N104" s="931">
        <f>N110/N107</f>
        <v/>
      </c>
      <c r="O104" s="931">
        <f>O110/O107</f>
        <v/>
      </c>
      <c r="P104" s="931">
        <f>P110/P107</f>
        <v/>
      </c>
      <c r="Q104" s="938">
        <f>Q110/Q107</f>
        <v/>
      </c>
      <c r="R104" s="1037">
        <f>R110/R107</f>
        <v/>
      </c>
      <c r="S104" s="931">
        <f>S110/S107</f>
        <v/>
      </c>
      <c r="T104" s="931">
        <f>T110/T107</f>
        <v/>
      </c>
      <c r="U104" s="931">
        <f>U110/U107</f>
        <v/>
      </c>
      <c r="V104" s="931">
        <f>V110/V107</f>
        <v/>
      </c>
      <c r="W104" s="931">
        <f>W110/W107</f>
        <v/>
      </c>
      <c r="X104" s="1036">
        <f>X110/X107</f>
        <v/>
      </c>
      <c r="Y104" s="931">
        <f>Y110/Y107</f>
        <v/>
      </c>
      <c r="Z104" s="931">
        <f>Z110/Z107</f>
        <v/>
      </c>
      <c r="AA104" s="931">
        <f>AA110/AA107</f>
        <v/>
      </c>
      <c r="AB104" s="931">
        <f>AB110/AB107</f>
        <v/>
      </c>
      <c r="AC104" s="938">
        <f>AC110/AC107</f>
        <v/>
      </c>
      <c r="AD104" s="1038" t="n"/>
      <c r="AE104" s="931" t="n"/>
      <c r="AF104" s="931" t="n"/>
      <c r="AG104" s="931" t="n"/>
      <c r="AH104" s="931" t="n"/>
      <c r="AI104" s="931" t="n"/>
      <c r="AJ104" s="938" t="n"/>
      <c r="AK104" s="929" t="n"/>
      <c r="AL104" s="931" t="n"/>
      <c r="AM104" s="931" t="n"/>
      <c r="AN104" s="931" t="n"/>
      <c r="AO104" s="931" t="n"/>
      <c r="AP104" s="931" t="n"/>
      <c r="AQ104" s="1039" t="n"/>
      <c r="AR104" s="1040" t="n"/>
      <c r="AS104" s="931" t="n"/>
      <c r="AT104" s="931" t="n"/>
      <c r="AU104" s="931" t="n"/>
      <c r="AV104" s="931" t="n"/>
      <c r="AW104" s="1041" t="n"/>
      <c r="AX104" s="931" t="n"/>
      <c r="AY104" s="931" t="n"/>
      <c r="AZ104" s="931" t="n"/>
      <c r="BA104" s="931" t="n"/>
      <c r="BB104" s="931" t="n"/>
      <c r="BC104" s="938" t="n"/>
      <c r="BD104" s="1041" t="n"/>
      <c r="BE104" s="931" t="n"/>
      <c r="BF104" s="931" t="n"/>
      <c r="BG104" s="931" t="n"/>
      <c r="BH104" s="931" t="n"/>
      <c r="BI104" s="938" t="n"/>
      <c r="BJ104" s="1041" t="n"/>
      <c r="BK104" s="931" t="n"/>
      <c r="BL104" s="931" t="n"/>
      <c r="BM104" s="931" t="n"/>
      <c r="BN104" s="931" t="n"/>
      <c r="BO104" s="938" t="n"/>
      <c r="BP104" s="1041" t="n"/>
      <c r="BQ104" s="931" t="n"/>
      <c r="BR104" s="931" t="n"/>
      <c r="BS104" s="931" t="n"/>
      <c r="BT104" s="938" t="n"/>
      <c r="BU104" s="1041" t="n"/>
      <c r="BV104" s="931" t="n"/>
      <c r="BW104" s="931" t="n"/>
      <c r="BX104" s="931" t="n"/>
      <c r="BY104" s="931" t="n"/>
      <c r="BZ104" s="939" t="n"/>
    </row>
    <row r="105" ht="16.5" customHeight="1" s="838">
      <c r="B105" s="756" t="n"/>
      <c r="C105" s="738" t="n"/>
      <c r="D105" s="738" t="n"/>
      <c r="E105" s="739" t="n"/>
      <c r="F105" s="134" t="inlineStr">
        <is>
          <t>`26 실적</t>
        </is>
      </c>
      <c r="G105" s="1075">
        <f>G111/G108</f>
        <v/>
      </c>
      <c r="H105" s="922">
        <f>H111/H108</f>
        <v/>
      </c>
      <c r="I105" s="922">
        <f>I111/I108</f>
        <v/>
      </c>
      <c r="J105" s="922">
        <f>J111/J108</f>
        <v/>
      </c>
      <c r="K105" s="922">
        <f>K111/K108</f>
        <v/>
      </c>
      <c r="L105" s="922">
        <f>L111/L108</f>
        <v/>
      </c>
      <c r="M105" s="1075">
        <f>M111/M108</f>
        <v/>
      </c>
      <c r="N105" s="922">
        <f>N111/N108</f>
        <v/>
      </c>
      <c r="O105" s="922">
        <f>O111/O108</f>
        <v/>
      </c>
      <c r="P105" s="922">
        <f>P111/P108</f>
        <v/>
      </c>
      <c r="Q105" s="923">
        <f>Q111/Q108</f>
        <v/>
      </c>
      <c r="R105" s="1076">
        <f>R111/R108</f>
        <v/>
      </c>
      <c r="S105" s="922">
        <f>S111/S108</f>
        <v/>
      </c>
      <c r="T105" s="922">
        <f>T111/T108</f>
        <v/>
      </c>
      <c r="U105" s="922">
        <f>U111/U108</f>
        <v/>
      </c>
      <c r="V105" s="922">
        <f>V111/V108</f>
        <v/>
      </c>
      <c r="W105" s="922">
        <f>W111/W108</f>
        <v/>
      </c>
      <c r="X105" s="1075">
        <f>X111/X108</f>
        <v/>
      </c>
      <c r="Y105" s="922">
        <f>Y111/Y108</f>
        <v/>
      </c>
      <c r="Z105" s="922">
        <f>Z111/Z108</f>
        <v/>
      </c>
      <c r="AA105" s="922">
        <f>AA111/AA108</f>
        <v/>
      </c>
      <c r="AB105" s="922">
        <f>AB111/AB108</f>
        <v/>
      </c>
      <c r="AC105" s="923">
        <f>AC111/AC108</f>
        <v/>
      </c>
      <c r="AD105" s="1077" t="n"/>
      <c r="AE105" s="922" t="n"/>
      <c r="AF105" s="922" t="n"/>
      <c r="AG105" s="922" t="n"/>
      <c r="AH105" s="922" t="n"/>
      <c r="AI105" s="922" t="n"/>
      <c r="AJ105" s="923" t="n"/>
      <c r="AK105" s="921" t="n"/>
      <c r="AL105" s="922" t="n"/>
      <c r="AM105" s="922" t="n"/>
      <c r="AN105" s="922" t="n"/>
      <c r="AO105" s="922" t="n"/>
      <c r="AP105" s="922" t="n"/>
      <c r="AQ105" s="1078" t="n"/>
      <c r="AR105" s="1079" t="n"/>
      <c r="AS105" s="922" t="n"/>
      <c r="AT105" s="922" t="n"/>
      <c r="AU105" s="922" t="n"/>
      <c r="AV105" s="922" t="n"/>
      <c r="AW105" s="320" t="n"/>
      <c r="AX105" s="133" t="n"/>
      <c r="AY105" s="133" t="n"/>
      <c r="AZ105" s="133" t="n"/>
      <c r="BA105" s="133" t="n"/>
      <c r="BB105" s="133" t="n"/>
      <c r="BC105" s="134" t="n"/>
      <c r="BD105" s="320" t="n"/>
      <c r="BE105" s="133" t="n"/>
      <c r="BF105" s="133" t="n"/>
      <c r="BG105" s="133" t="n"/>
      <c r="BH105" s="133" t="n"/>
      <c r="BI105" s="134" t="n"/>
      <c r="BJ105" s="320" t="n"/>
      <c r="BK105" s="133" t="n"/>
      <c r="BL105" s="133" t="n"/>
      <c r="BM105" s="133" t="n"/>
      <c r="BN105" s="133" t="n"/>
      <c r="BO105" s="134" t="n"/>
      <c r="BP105" s="320" t="n"/>
      <c r="BQ105" s="133" t="n"/>
      <c r="BR105" s="133" t="n"/>
      <c r="BS105" s="133" t="n"/>
      <c r="BT105" s="134" t="n"/>
      <c r="BU105" s="320" t="n"/>
      <c r="BV105" s="133" t="n"/>
      <c r="BW105" s="133" t="n"/>
      <c r="BX105" s="133" t="n"/>
      <c r="BY105" s="133" t="n"/>
      <c r="BZ105" s="135" t="n"/>
    </row>
    <row r="106" ht="16.5" customHeight="1" s="838">
      <c r="B106" s="756" t="n"/>
      <c r="C106" s="738" t="n"/>
      <c r="D106" s="738" t="n"/>
      <c r="E106" s="778" t="inlineStr">
        <is>
          <t>생산액</t>
        </is>
      </c>
      <c r="F106" s="220" t="inlineStr">
        <is>
          <t>`25 실적</t>
        </is>
      </c>
      <c r="G106" s="1104" t="n">
        <v>34.886075</v>
      </c>
      <c r="H106" s="941" t="n">
        <v>34.886075</v>
      </c>
      <c r="I106" s="941" t="n">
        <v>34.886075</v>
      </c>
      <c r="J106" s="941" t="n">
        <v>34.886075</v>
      </c>
      <c r="K106" s="941" t="n">
        <v>34.886075</v>
      </c>
      <c r="L106" s="941" t="n">
        <v>34.886075</v>
      </c>
      <c r="M106" s="1104" t="n">
        <v>26.640509</v>
      </c>
      <c r="N106" s="941" t="n">
        <v>26.640509</v>
      </c>
      <c r="O106" s="941" t="n">
        <v>26.640509</v>
      </c>
      <c r="P106" s="941" t="n">
        <v>26.640509</v>
      </c>
      <c r="Q106" s="942" t="n">
        <v>26.640509</v>
      </c>
      <c r="R106" s="1105" t="n">
        <v>34.15944</v>
      </c>
      <c r="S106" s="941" t="n">
        <v>34.15944</v>
      </c>
      <c r="T106" s="941" t="n">
        <v>34.15944</v>
      </c>
      <c r="U106" s="941" t="n">
        <v>34.15944</v>
      </c>
      <c r="V106" s="941" t="n">
        <v>34.15944</v>
      </c>
      <c r="W106" s="941" t="n">
        <v>34.15944</v>
      </c>
      <c r="X106" s="1104" t="n">
        <v>18.200045</v>
      </c>
      <c r="Y106" s="941" t="n">
        <v>18.200045</v>
      </c>
      <c r="Z106" s="941" t="n">
        <v>18.200045</v>
      </c>
      <c r="AA106" s="941" t="n">
        <v>18.200045</v>
      </c>
      <c r="AB106" s="941" t="n">
        <v>18.200045</v>
      </c>
      <c r="AC106" s="942" t="n">
        <v>18.200045</v>
      </c>
      <c r="AD106" s="1106" t="n"/>
      <c r="AE106" s="941" t="n"/>
      <c r="AF106" s="941" t="n"/>
      <c r="AG106" s="941" t="n"/>
      <c r="AH106" s="941" t="n"/>
      <c r="AI106" s="941" t="n"/>
      <c r="AJ106" s="942" t="n"/>
      <c r="AK106" s="940" t="n"/>
      <c r="AL106" s="941" t="n"/>
      <c r="AM106" s="941" t="n"/>
      <c r="AN106" s="941" t="n"/>
      <c r="AO106" s="941" t="n"/>
      <c r="AP106" s="941" t="n"/>
      <c r="AQ106" s="1107" t="n"/>
      <c r="AR106" s="1108" t="n"/>
      <c r="AS106" s="941" t="n"/>
      <c r="AT106" s="941" t="n"/>
      <c r="AU106" s="941" t="n"/>
      <c r="AV106" s="941" t="n"/>
      <c r="AW106" s="1109" t="n"/>
      <c r="AX106" s="941" t="n"/>
      <c r="AY106" s="941" t="n"/>
      <c r="AZ106" s="941" t="n"/>
      <c r="BA106" s="941" t="n"/>
      <c r="BB106" s="941" t="n"/>
      <c r="BC106" s="942" t="n"/>
      <c r="BD106" s="1109" t="n"/>
      <c r="BE106" s="941" t="n"/>
      <c r="BF106" s="941" t="n"/>
      <c r="BG106" s="941" t="n"/>
      <c r="BH106" s="941" t="n"/>
      <c r="BI106" s="942" t="n"/>
      <c r="BJ106" s="1109" t="n"/>
      <c r="BK106" s="941" t="n"/>
      <c r="BL106" s="941" t="n"/>
      <c r="BM106" s="941" t="n"/>
      <c r="BN106" s="941" t="n"/>
      <c r="BO106" s="942" t="n"/>
      <c r="BP106" s="1109" t="n"/>
      <c r="BQ106" s="941" t="n"/>
      <c r="BR106" s="941" t="n"/>
      <c r="BS106" s="941" t="n"/>
      <c r="BT106" s="942" t="n"/>
      <c r="BU106" s="1109" t="n"/>
      <c r="BV106" s="941" t="n"/>
      <c r="BW106" s="941" t="n"/>
      <c r="BX106" s="941" t="n"/>
      <c r="BY106" s="941" t="n"/>
      <c r="BZ106" s="943" t="n"/>
    </row>
    <row r="107" ht="16.5" customHeight="1" s="838">
      <c r="B107" s="756" t="n"/>
      <c r="C107" s="738" t="n"/>
      <c r="D107" s="738" t="n"/>
      <c r="E107" s="738" t="n"/>
      <c r="F107" s="151" t="inlineStr">
        <is>
          <t>`26 목표</t>
        </is>
      </c>
      <c r="G107" s="1110" t="n">
        <v>19.390138</v>
      </c>
      <c r="H107" s="946" t="n">
        <v>19.390138</v>
      </c>
      <c r="I107" s="946" t="n">
        <v>19.390138</v>
      </c>
      <c r="J107" s="946" t="n">
        <v>19.390138</v>
      </c>
      <c r="K107" s="946" t="n">
        <v>19.390138</v>
      </c>
      <c r="L107" s="946" t="n">
        <v>19.390138</v>
      </c>
      <c r="M107" s="1110" t="n">
        <v>15.380412</v>
      </c>
      <c r="N107" s="946" t="n">
        <v>15.380412</v>
      </c>
      <c r="O107" s="946" t="n">
        <v>15.380412</v>
      </c>
      <c r="P107" s="946" t="n">
        <v>15.380412</v>
      </c>
      <c r="Q107" s="1111" t="n">
        <v>15.380412</v>
      </c>
      <c r="R107" s="1112" t="n">
        <v>23.420488</v>
      </c>
      <c r="S107" s="946" t="n">
        <v>23.420488</v>
      </c>
      <c r="T107" s="946" t="n">
        <v>23.420488</v>
      </c>
      <c r="U107" s="946" t="n">
        <v>23.420488</v>
      </c>
      <c r="V107" s="946" t="n">
        <v>23.420488</v>
      </c>
      <c r="W107" s="946" t="n">
        <v>23.420488</v>
      </c>
      <c r="X107" s="1110" t="n">
        <v>19.088903</v>
      </c>
      <c r="Y107" s="946" t="n">
        <v>19.088903</v>
      </c>
      <c r="Z107" s="946" t="n">
        <v>19.088903</v>
      </c>
      <c r="AA107" s="946" t="n">
        <v>19.088903</v>
      </c>
      <c r="AB107" s="946" t="n">
        <v>19.088903</v>
      </c>
      <c r="AC107" s="1111" t="n">
        <v>19.088903</v>
      </c>
      <c r="AD107" s="1113" t="n"/>
      <c r="AE107" s="946" t="n"/>
      <c r="AF107" s="946" t="n"/>
      <c r="AG107" s="946" t="n"/>
      <c r="AH107" s="946" t="n"/>
      <c r="AI107" s="946" t="n"/>
      <c r="AJ107" s="1111" t="n"/>
      <c r="AK107" s="1114" t="n"/>
      <c r="AL107" s="946" t="n"/>
      <c r="AM107" s="946" t="n"/>
      <c r="AN107" s="946" t="n"/>
      <c r="AO107" s="946" t="n"/>
      <c r="AP107" s="946" t="n"/>
      <c r="AQ107" s="1115" t="n"/>
      <c r="AR107" s="1116" t="n"/>
      <c r="AS107" s="946" t="n"/>
      <c r="AT107" s="946" t="n"/>
      <c r="AU107" s="946" t="n"/>
      <c r="AV107" s="946" t="n"/>
      <c r="AW107" s="1117" t="n"/>
      <c r="AX107" s="946" t="n"/>
      <c r="AY107" s="946" t="n"/>
      <c r="AZ107" s="946" t="n"/>
      <c r="BA107" s="946" t="n"/>
      <c r="BB107" s="946" t="n"/>
      <c r="BC107" s="1111" t="n"/>
      <c r="BD107" s="1117" t="n"/>
      <c r="BE107" s="946" t="n"/>
      <c r="BF107" s="946" t="n"/>
      <c r="BG107" s="946" t="n"/>
      <c r="BH107" s="946" t="n"/>
      <c r="BI107" s="1111" t="n"/>
      <c r="BJ107" s="1117" t="n"/>
      <c r="BK107" s="946" t="n"/>
      <c r="BL107" s="946" t="n"/>
      <c r="BM107" s="946" t="n"/>
      <c r="BN107" s="946" t="n"/>
      <c r="BO107" s="1111" t="n"/>
      <c r="BP107" s="1117" t="n"/>
      <c r="BQ107" s="946" t="n"/>
      <c r="BR107" s="946" t="n"/>
      <c r="BS107" s="946" t="n"/>
      <c r="BT107" s="1111" t="n"/>
      <c r="BU107" s="1117" t="n"/>
      <c r="BV107" s="946" t="n"/>
      <c r="BW107" s="946" t="n"/>
      <c r="BX107" s="946" t="n"/>
      <c r="BY107" s="946" t="n"/>
      <c r="BZ107" s="1118" t="n"/>
    </row>
    <row r="108" ht="16.5" customHeight="1" s="838">
      <c r="B108" s="756" t="n"/>
      <c r="C108" s="738" t="n"/>
      <c r="D108" s="738" t="n"/>
      <c r="E108" s="739" t="n"/>
      <c r="F108" s="134" t="inlineStr">
        <is>
          <t>`26 실적</t>
        </is>
      </c>
      <c r="G108" s="1119" t="n">
        <v>18.989125</v>
      </c>
      <c r="H108" s="945" t="n">
        <v>13.628751</v>
      </c>
      <c r="I108" s="945" t="n">
        <v>38.219732</v>
      </c>
      <c r="J108" s="945" t="n">
        <v>38.219732</v>
      </c>
      <c r="K108" s="945" t="n">
        <v>38.219732</v>
      </c>
      <c r="L108" s="945" t="n">
        <v>38.219732</v>
      </c>
      <c r="M108" s="1119" t="n">
        <v>29.346804</v>
      </c>
      <c r="N108" s="945" t="n">
        <v>30.738918</v>
      </c>
      <c r="O108" s="945" t="n">
        <v>30.738918</v>
      </c>
      <c r="P108" s="945" t="n">
        <v>30.738918</v>
      </c>
      <c r="Q108" s="947" t="n">
        <v>20.242662</v>
      </c>
      <c r="R108" s="1120" t="n">
        <v>19.120236</v>
      </c>
      <c r="S108" s="945" t="n">
        <v>16.474373</v>
      </c>
      <c r="T108" s="945" t="n">
        <v>16.474373</v>
      </c>
      <c r="U108" s="945" t="n">
        <v>34.22818</v>
      </c>
      <c r="V108" s="945" t="n">
        <v>34.22818</v>
      </c>
      <c r="W108" s="945" t="n">
        <v>16.474373</v>
      </c>
      <c r="X108" s="1119" t="n">
        <v>42.472579</v>
      </c>
      <c r="Y108" s="945" t="n">
        <v>20.735367</v>
      </c>
      <c r="Z108" s="945" t="n">
        <v>20.735367</v>
      </c>
      <c r="AA108" s="945" t="n">
        <v>31.041814</v>
      </c>
      <c r="AB108" s="945" t="n">
        <v>20.735367</v>
      </c>
      <c r="AC108" s="947" t="n">
        <v>31.041814</v>
      </c>
      <c r="AD108" s="1121" t="n"/>
      <c r="AE108" s="945" t="n"/>
      <c r="AF108" s="945" t="n"/>
      <c r="AG108" s="945" t="n"/>
      <c r="AH108" s="945" t="n"/>
      <c r="AI108" s="945" t="n"/>
      <c r="AJ108" s="947" t="n"/>
      <c r="AK108" s="944" t="n"/>
      <c r="AL108" s="945" t="n"/>
      <c r="AM108" s="945" t="n"/>
      <c r="AN108" s="945" t="n"/>
      <c r="AO108" s="945" t="n"/>
      <c r="AP108" s="945" t="n"/>
      <c r="AQ108" s="1122" t="n"/>
      <c r="AR108" s="1123" t="n"/>
      <c r="AS108" s="945" t="n"/>
      <c r="AT108" s="945" t="n"/>
      <c r="AU108" s="945" t="n"/>
      <c r="AV108" s="945" t="n"/>
      <c r="AW108" s="1124" t="n"/>
      <c r="AX108" s="945" t="n"/>
      <c r="AY108" s="945" t="n"/>
      <c r="AZ108" s="945" t="n"/>
      <c r="BA108" s="945" t="n"/>
      <c r="BB108" s="945" t="n"/>
      <c r="BC108" s="947" t="n"/>
      <c r="BD108" s="1124" t="n"/>
      <c r="BE108" s="945" t="n"/>
      <c r="BF108" s="945" t="n"/>
      <c r="BG108" s="945" t="n"/>
      <c r="BH108" s="945" t="n"/>
      <c r="BI108" s="947" t="n"/>
      <c r="BJ108" s="1124" t="n"/>
      <c r="BK108" s="945" t="n"/>
      <c r="BL108" s="945" t="n"/>
      <c r="BM108" s="945" t="n"/>
      <c r="BN108" s="945" t="n"/>
      <c r="BO108" s="947" t="n"/>
      <c r="BP108" s="1124" t="n"/>
      <c r="BQ108" s="945" t="n"/>
      <c r="BR108" s="945" t="n"/>
      <c r="BS108" s="945" t="n"/>
      <c r="BT108" s="947" t="n"/>
      <c r="BU108" s="1124" t="n"/>
      <c r="BV108" s="945" t="n"/>
      <c r="BW108" s="945" t="n"/>
      <c r="BX108" s="945" t="n"/>
      <c r="BY108" s="945" t="n"/>
      <c r="BZ108" s="948" t="n"/>
    </row>
    <row r="109" ht="16.5" customHeight="1" s="838">
      <c r="B109" s="756" t="n"/>
      <c r="C109" s="738" t="n"/>
      <c r="D109" s="738" t="n"/>
      <c r="E109" s="778" t="inlineStr">
        <is>
          <t>가공비</t>
        </is>
      </c>
      <c r="F109" s="220" t="inlineStr">
        <is>
          <t>`25 실적</t>
        </is>
      </c>
      <c r="G109" s="1104" t="n">
        <v>1.1522663</v>
      </c>
      <c r="H109" s="941" t="n">
        <v>1.1522663</v>
      </c>
      <c r="I109" s="941" t="n">
        <v>1.1522663</v>
      </c>
      <c r="J109" s="941" t="n">
        <v>1.1522663</v>
      </c>
      <c r="K109" s="941" t="n">
        <v>1.1522663</v>
      </c>
      <c r="L109" s="941" t="n">
        <v>1.1522663</v>
      </c>
      <c r="M109" s="1104" t="n">
        <v>1.30929951</v>
      </c>
      <c r="N109" s="941" t="n">
        <v>1.30929951</v>
      </c>
      <c r="O109" s="941" t="n">
        <v>1.30929951</v>
      </c>
      <c r="P109" s="941" t="n">
        <v>1.30929951</v>
      </c>
      <c r="Q109" s="942" t="n">
        <v>1.30929951</v>
      </c>
      <c r="R109" s="1105" t="n">
        <v>2.29241947</v>
      </c>
      <c r="S109" s="941" t="n">
        <v>2.29241947</v>
      </c>
      <c r="T109" s="941" t="n">
        <v>2.29241947</v>
      </c>
      <c r="U109" s="941" t="n">
        <v>2.29241947</v>
      </c>
      <c r="V109" s="941" t="n">
        <v>2.29241947</v>
      </c>
      <c r="W109" s="941" t="n">
        <v>2.29241947</v>
      </c>
      <c r="X109" s="1104" t="n">
        <v>2.44065049</v>
      </c>
      <c r="Y109" s="941" t="n">
        <v>2.44065049</v>
      </c>
      <c r="Z109" s="941" t="n">
        <v>2.44065049</v>
      </c>
      <c r="AA109" s="941" t="n">
        <v>2.44065049</v>
      </c>
      <c r="AB109" s="941" t="n">
        <v>2.44065049</v>
      </c>
      <c r="AC109" s="942" t="n">
        <v>2.44065049</v>
      </c>
      <c r="AD109" s="1106" t="n"/>
      <c r="AE109" s="941" t="n"/>
      <c r="AF109" s="941" t="n"/>
      <c r="AG109" s="941" t="n"/>
      <c r="AH109" s="941" t="n"/>
      <c r="AI109" s="941" t="n"/>
      <c r="AJ109" s="942" t="n"/>
      <c r="AK109" s="940" t="n"/>
      <c r="AL109" s="941" t="n"/>
      <c r="AM109" s="941" t="n"/>
      <c r="AN109" s="941" t="n"/>
      <c r="AO109" s="941" t="n"/>
      <c r="AP109" s="941" t="n"/>
      <c r="AQ109" s="1107" t="n"/>
      <c r="AR109" s="1108" t="n"/>
      <c r="AS109" s="941" t="n"/>
      <c r="AT109" s="941" t="n"/>
      <c r="AU109" s="941" t="n"/>
      <c r="AV109" s="941" t="n"/>
      <c r="AW109" s="1109" t="n"/>
      <c r="AX109" s="941" t="n"/>
      <c r="AY109" s="941" t="n"/>
      <c r="AZ109" s="941" t="n"/>
      <c r="BA109" s="941" t="n"/>
      <c r="BB109" s="941" t="n"/>
      <c r="BC109" s="942" t="n"/>
      <c r="BD109" s="1109" t="n"/>
      <c r="BE109" s="941" t="n"/>
      <c r="BF109" s="941" t="n"/>
      <c r="BG109" s="941" t="n"/>
      <c r="BH109" s="941" t="n"/>
      <c r="BI109" s="942" t="n"/>
      <c r="BJ109" s="1109" t="n"/>
      <c r="BK109" s="941" t="n"/>
      <c r="BL109" s="941" t="n"/>
      <c r="BM109" s="941" t="n"/>
      <c r="BN109" s="941" t="n"/>
      <c r="BO109" s="942" t="n"/>
      <c r="BP109" s="1109" t="n"/>
      <c r="BQ109" s="941" t="n"/>
      <c r="BR109" s="941" t="n"/>
      <c r="BS109" s="941" t="n"/>
      <c r="BT109" s="942" t="n"/>
      <c r="BU109" s="1109" t="n"/>
      <c r="BV109" s="941" t="n"/>
      <c r="BW109" s="941" t="n"/>
      <c r="BX109" s="941" t="n"/>
      <c r="BY109" s="941" t="n"/>
      <c r="BZ109" s="943" t="n"/>
    </row>
    <row r="110" ht="16.5" customHeight="1" s="838">
      <c r="B110" s="756" t="n"/>
      <c r="C110" s="738" t="n"/>
      <c r="D110" s="738" t="n"/>
      <c r="E110" s="738" t="n"/>
      <c r="F110" s="151" t="inlineStr">
        <is>
          <t>`26 목표</t>
        </is>
      </c>
      <c r="G110" s="1110" t="n">
        <v>1.67393268</v>
      </c>
      <c r="H110" s="946" t="n">
        <v>0.84794865</v>
      </c>
      <c r="I110" s="946" t="n">
        <v>0.84794865</v>
      </c>
      <c r="J110" s="946" t="n">
        <v>0.84794865</v>
      </c>
      <c r="K110" s="946" t="n">
        <v>0.84794865</v>
      </c>
      <c r="L110" s="946" t="n">
        <v>0.84794865</v>
      </c>
      <c r="M110" s="1110" t="n">
        <v>1.55251792</v>
      </c>
      <c r="N110" s="946" t="n">
        <v>2.12662873</v>
      </c>
      <c r="O110" s="946" t="n">
        <v>2.12662873</v>
      </c>
      <c r="P110" s="946" t="n">
        <v>2.12662873</v>
      </c>
      <c r="Q110" s="1111" t="n">
        <v>2.12662873</v>
      </c>
      <c r="R110" s="1112" t="n">
        <v>1.3113459</v>
      </c>
      <c r="S110" s="946" t="n">
        <v>1.617672</v>
      </c>
      <c r="T110" s="946" t="n">
        <v>1.617672</v>
      </c>
      <c r="U110" s="946" t="n">
        <v>1.617672</v>
      </c>
      <c r="V110" s="946" t="n">
        <v>1.617672</v>
      </c>
      <c r="W110" s="946" t="n">
        <v>1.617672</v>
      </c>
      <c r="X110" s="1110" t="n">
        <v>1.97636277</v>
      </c>
      <c r="Y110" s="946" t="n">
        <v>1.97636277</v>
      </c>
      <c r="Z110" s="946" t="n">
        <v>1.97636277</v>
      </c>
      <c r="AA110" s="946" t="n">
        <v>1.97636277</v>
      </c>
      <c r="AB110" s="946" t="n">
        <v>1.97636277</v>
      </c>
      <c r="AC110" s="1111" t="n">
        <v>1.97636277</v>
      </c>
      <c r="AD110" s="1113" t="n"/>
      <c r="AE110" s="946" t="n"/>
      <c r="AF110" s="946" t="n"/>
      <c r="AG110" s="946" t="n"/>
      <c r="AH110" s="946" t="n"/>
      <c r="AI110" s="946" t="n"/>
      <c r="AJ110" s="1111" t="n"/>
      <c r="AK110" s="1114" t="n"/>
      <c r="AL110" s="946" t="n"/>
      <c r="AM110" s="946" t="n"/>
      <c r="AN110" s="946" t="n"/>
      <c r="AO110" s="946" t="n"/>
      <c r="AP110" s="946" t="n"/>
      <c r="AQ110" s="1115" t="n"/>
      <c r="AR110" s="1116" t="n"/>
      <c r="AS110" s="946" t="n"/>
      <c r="AT110" s="946" t="n"/>
      <c r="AU110" s="946" t="n"/>
      <c r="AV110" s="946" t="n"/>
      <c r="AW110" s="1117" t="n"/>
      <c r="AX110" s="946" t="n"/>
      <c r="AY110" s="946" t="n"/>
      <c r="AZ110" s="946" t="n"/>
      <c r="BA110" s="946" t="n"/>
      <c r="BB110" s="946" t="n"/>
      <c r="BC110" s="1111" t="n"/>
      <c r="BD110" s="1117" t="n"/>
      <c r="BE110" s="946" t="n"/>
      <c r="BF110" s="946" t="n"/>
      <c r="BG110" s="946" t="n"/>
      <c r="BH110" s="946" t="n"/>
      <c r="BI110" s="1111" t="n"/>
      <c r="BJ110" s="1117" t="n"/>
      <c r="BK110" s="946" t="n"/>
      <c r="BL110" s="946" t="n"/>
      <c r="BM110" s="946" t="n"/>
      <c r="BN110" s="946" t="n"/>
      <c r="BO110" s="1111" t="n"/>
      <c r="BP110" s="1117" t="n"/>
      <c r="BQ110" s="946" t="n"/>
      <c r="BR110" s="946" t="n"/>
      <c r="BS110" s="946" t="n"/>
      <c r="BT110" s="1111" t="n"/>
      <c r="BU110" s="1117" t="n"/>
      <c r="BV110" s="946" t="n"/>
      <c r="BW110" s="946" t="n"/>
      <c r="BX110" s="946" t="n"/>
      <c r="BY110" s="946" t="n"/>
      <c r="BZ110" s="1118" t="n"/>
    </row>
    <row r="111" ht="16.5" customHeight="1" s="838">
      <c r="B111" s="756" t="n"/>
      <c r="C111" s="738" t="n"/>
      <c r="D111" s="739" t="n"/>
      <c r="E111" s="739" t="n"/>
      <c r="F111" s="134" t="inlineStr">
        <is>
          <t>`26 실적</t>
        </is>
      </c>
      <c r="G111" s="1119" t="n">
        <v>1.08012984</v>
      </c>
      <c r="H111" s="945" t="n">
        <v>1.01194636</v>
      </c>
      <c r="I111" s="945" t="n">
        <v>1.99338157</v>
      </c>
      <c r="J111" s="945" t="n">
        <v>1.99338157</v>
      </c>
      <c r="K111" s="945" t="n">
        <v>1.99338157</v>
      </c>
      <c r="L111" s="945" t="n">
        <v>1.99338157</v>
      </c>
      <c r="M111" s="1119" t="n">
        <v>1.15791259</v>
      </c>
      <c r="N111" s="945" t="n">
        <v>1.5119353</v>
      </c>
      <c r="O111" s="945" t="n">
        <v>1.5119353</v>
      </c>
      <c r="P111" s="945" t="n">
        <v>1.5119353</v>
      </c>
      <c r="Q111" s="947" t="n">
        <v>2.01757475</v>
      </c>
      <c r="R111" s="1120" t="n">
        <v>1.19948849</v>
      </c>
      <c r="S111" s="945" t="n">
        <v>2.38756058</v>
      </c>
      <c r="T111" s="945" t="n">
        <v>2.38756058</v>
      </c>
      <c r="U111" s="945" t="n">
        <v>1.07371826</v>
      </c>
      <c r="V111" s="945" t="n">
        <v>1.07371826</v>
      </c>
      <c r="W111" s="945" t="n">
        <v>2.38756058</v>
      </c>
      <c r="X111" s="1119" t="n">
        <v>1.65015067</v>
      </c>
      <c r="Y111" s="945" t="n">
        <v>2.20545896</v>
      </c>
      <c r="Z111" s="945" t="n">
        <v>2.20545896</v>
      </c>
      <c r="AA111" s="945" t="n">
        <v>1.58769894</v>
      </c>
      <c r="AB111" s="945" t="n">
        <v>2.20545896</v>
      </c>
      <c r="AC111" s="947" t="n">
        <v>1.58769894</v>
      </c>
      <c r="AD111" s="1121" t="n"/>
      <c r="AE111" s="945" t="n"/>
      <c r="AF111" s="945" t="n"/>
      <c r="AG111" s="945" t="n"/>
      <c r="AH111" s="945" t="n"/>
      <c r="AI111" s="945" t="n"/>
      <c r="AJ111" s="947" t="n"/>
      <c r="AK111" s="944" t="n"/>
      <c r="AL111" s="945" t="n"/>
      <c r="AM111" s="945" t="n"/>
      <c r="AN111" s="945" t="n"/>
      <c r="AO111" s="945" t="n"/>
      <c r="AP111" s="945" t="n"/>
      <c r="AQ111" s="1122" t="n"/>
      <c r="AR111" s="1123" t="n"/>
      <c r="AS111" s="945" t="n"/>
      <c r="AT111" s="945" t="n"/>
      <c r="AU111" s="945" t="n"/>
      <c r="AV111" s="945" t="n"/>
      <c r="AW111" s="1124" t="n"/>
      <c r="AX111" s="945" t="n"/>
      <c r="AY111" s="945" t="n"/>
      <c r="AZ111" s="945" t="n"/>
      <c r="BA111" s="945" t="n"/>
      <c r="BB111" s="945" t="n"/>
      <c r="BC111" s="947" t="n"/>
      <c r="BD111" s="1124" t="n"/>
      <c r="BE111" s="945" t="n"/>
      <c r="BF111" s="945" t="n"/>
      <c r="BG111" s="945" t="n"/>
      <c r="BH111" s="945" t="n"/>
      <c r="BI111" s="947" t="n"/>
      <c r="BJ111" s="1124" t="n"/>
      <c r="BK111" s="945" t="n"/>
      <c r="BL111" s="945" t="n"/>
      <c r="BM111" s="945" t="n"/>
      <c r="BN111" s="945" t="n"/>
      <c r="BO111" s="947" t="n"/>
      <c r="BP111" s="1124" t="n"/>
      <c r="BQ111" s="945" t="n"/>
      <c r="BR111" s="945" t="n"/>
      <c r="BS111" s="945" t="n"/>
      <c r="BT111" s="947" t="n"/>
      <c r="BU111" s="1124" t="n"/>
      <c r="BV111" s="945" t="n"/>
      <c r="BW111" s="945" t="n"/>
      <c r="BX111" s="945" t="n"/>
      <c r="BY111" s="945" t="n"/>
      <c r="BZ111" s="948" t="n"/>
    </row>
    <row r="112" ht="16.5" customHeight="1" s="838">
      <c r="B112" s="756" t="n"/>
      <c r="C112" s="738" t="n"/>
      <c r="D112" s="737" t="inlineStr">
        <is>
          <t>지역5</t>
        </is>
      </c>
      <c r="E112" s="737" t="inlineStr">
        <is>
          <t>가공비율</t>
        </is>
      </c>
      <c r="F112" s="220" t="inlineStr">
        <is>
          <t>`25 실적</t>
        </is>
      </c>
      <c r="G112" s="1069">
        <f>G118/G115</f>
        <v/>
      </c>
      <c r="H112" s="930">
        <f>H118/H115</f>
        <v/>
      </c>
      <c r="I112" s="930">
        <f>I118/I115</f>
        <v/>
      </c>
      <c r="J112" s="930">
        <f>J118/J115</f>
        <v/>
      </c>
      <c r="K112" s="930">
        <f>K118/K115</f>
        <v/>
      </c>
      <c r="L112" s="930">
        <f>L118/L115</f>
        <v/>
      </c>
      <c r="M112" s="1069">
        <f>M118/M115</f>
        <v/>
      </c>
      <c r="N112" s="930">
        <f>N118/N115</f>
        <v/>
      </c>
      <c r="O112" s="930">
        <f>O118/O115</f>
        <v/>
      </c>
      <c r="P112" s="930">
        <f>P118/P115</f>
        <v/>
      </c>
      <c r="Q112" s="933">
        <f>Q118/Q115</f>
        <v/>
      </c>
      <c r="R112" s="1070">
        <f>R118/R115</f>
        <v/>
      </c>
      <c r="S112" s="930">
        <f>S118/S115</f>
        <v/>
      </c>
      <c r="T112" s="930">
        <f>T118/T115</f>
        <v/>
      </c>
      <c r="U112" s="930">
        <f>U118/U115</f>
        <v/>
      </c>
      <c r="V112" s="930">
        <f>V118/V115</f>
        <v/>
      </c>
      <c r="W112" s="930">
        <f>W118/W115</f>
        <v/>
      </c>
      <c r="X112" s="1069">
        <f>X118/X115</f>
        <v/>
      </c>
      <c r="Y112" s="930">
        <f>Y118/Y115</f>
        <v/>
      </c>
      <c r="Z112" s="930">
        <f>Z118/Z115</f>
        <v/>
      </c>
      <c r="AA112" s="930">
        <f>AA118/AA115</f>
        <v/>
      </c>
      <c r="AB112" s="930">
        <f>AB118/AB115</f>
        <v/>
      </c>
      <c r="AC112" s="933">
        <f>AC118/AC115</f>
        <v/>
      </c>
      <c r="AD112" s="1071" t="n"/>
      <c r="AE112" s="930" t="n"/>
      <c r="AF112" s="930" t="n"/>
      <c r="AG112" s="930" t="n"/>
      <c r="AH112" s="930" t="n"/>
      <c r="AI112" s="930" t="n"/>
      <c r="AJ112" s="933" t="n"/>
      <c r="AK112" s="932" t="n"/>
      <c r="AL112" s="930" t="n"/>
      <c r="AM112" s="930" t="n"/>
      <c r="AN112" s="930" t="n"/>
      <c r="AO112" s="930" t="n"/>
      <c r="AP112" s="930" t="n"/>
      <c r="AQ112" s="1072" t="n"/>
      <c r="AR112" s="1073" t="n"/>
      <c r="AS112" s="930" t="n"/>
      <c r="AT112" s="930" t="n"/>
      <c r="AU112" s="930" t="n"/>
      <c r="AV112" s="930" t="n"/>
      <c r="AW112" s="1074" t="n"/>
      <c r="AX112" s="930" t="n"/>
      <c r="AY112" s="930" t="n"/>
      <c r="AZ112" s="930" t="n"/>
      <c r="BA112" s="930" t="n"/>
      <c r="BB112" s="930" t="n"/>
      <c r="BC112" s="933" t="n"/>
      <c r="BD112" s="1074" t="n"/>
      <c r="BE112" s="930" t="n"/>
      <c r="BF112" s="930" t="n"/>
      <c r="BG112" s="930" t="n"/>
      <c r="BH112" s="930" t="n"/>
      <c r="BI112" s="933" t="n"/>
      <c r="BJ112" s="1074" t="n"/>
      <c r="BK112" s="930" t="n"/>
      <c r="BL112" s="930" t="n"/>
      <c r="BM112" s="930" t="n"/>
      <c r="BN112" s="930" t="n"/>
      <c r="BO112" s="933" t="n"/>
      <c r="BP112" s="1074" t="n"/>
      <c r="BQ112" s="930" t="n"/>
      <c r="BR112" s="930" t="n"/>
      <c r="BS112" s="930" t="n"/>
      <c r="BT112" s="933" t="n"/>
      <c r="BU112" s="1074" t="n"/>
      <c r="BV112" s="930" t="n"/>
      <c r="BW112" s="930" t="n"/>
      <c r="BX112" s="930" t="n"/>
      <c r="BY112" s="930" t="n"/>
      <c r="BZ112" s="934" t="n"/>
    </row>
    <row r="113" ht="16.5" customHeight="1" s="838">
      <c r="B113" s="756" t="n"/>
      <c r="C113" s="738" t="n"/>
      <c r="D113" s="738" t="n"/>
      <c r="E113" s="738" t="n"/>
      <c r="F113" s="151" t="inlineStr">
        <is>
          <t>`26 목표</t>
        </is>
      </c>
      <c r="G113" s="1036">
        <f>G119/G116</f>
        <v/>
      </c>
      <c r="H113" s="931">
        <f>H119/H116</f>
        <v/>
      </c>
      <c r="I113" s="931">
        <f>I119/I116</f>
        <v/>
      </c>
      <c r="J113" s="931">
        <f>J119/J116</f>
        <v/>
      </c>
      <c r="K113" s="931">
        <f>K119/K116</f>
        <v/>
      </c>
      <c r="L113" s="931">
        <f>L119/L116</f>
        <v/>
      </c>
      <c r="M113" s="1036">
        <f>M119/M116</f>
        <v/>
      </c>
      <c r="N113" s="931">
        <f>N119/N116</f>
        <v/>
      </c>
      <c r="O113" s="931">
        <f>O119/O116</f>
        <v/>
      </c>
      <c r="P113" s="931">
        <f>P119/P116</f>
        <v/>
      </c>
      <c r="Q113" s="938">
        <f>Q119/Q116</f>
        <v/>
      </c>
      <c r="R113" s="1037">
        <f>R119/R116</f>
        <v/>
      </c>
      <c r="S113" s="931">
        <f>S119/S116</f>
        <v/>
      </c>
      <c r="T113" s="931">
        <f>T119/T116</f>
        <v/>
      </c>
      <c r="U113" s="931">
        <f>U119/U116</f>
        <v/>
      </c>
      <c r="V113" s="931">
        <f>V119/V116</f>
        <v/>
      </c>
      <c r="W113" s="931">
        <f>W119/W116</f>
        <v/>
      </c>
      <c r="X113" s="1036">
        <f>X119/X116</f>
        <v/>
      </c>
      <c r="Y113" s="931">
        <f>Y119/Y116</f>
        <v/>
      </c>
      <c r="Z113" s="931">
        <f>Z119/Z116</f>
        <v/>
      </c>
      <c r="AA113" s="931">
        <f>AA119/AA116</f>
        <v/>
      </c>
      <c r="AB113" s="931">
        <f>AB119/AB116</f>
        <v/>
      </c>
      <c r="AC113" s="938">
        <f>AC119/AC116</f>
        <v/>
      </c>
      <c r="AD113" s="1038" t="n"/>
      <c r="AE113" s="931" t="n"/>
      <c r="AF113" s="931" t="n"/>
      <c r="AG113" s="931" t="n"/>
      <c r="AH113" s="931" t="n"/>
      <c r="AI113" s="931" t="n"/>
      <c r="AJ113" s="938" t="n"/>
      <c r="AK113" s="929" t="n"/>
      <c r="AL113" s="931" t="n"/>
      <c r="AM113" s="931" t="n"/>
      <c r="AN113" s="931" t="n"/>
      <c r="AO113" s="931" t="n"/>
      <c r="AP113" s="931" t="n"/>
      <c r="AQ113" s="1039" t="n"/>
      <c r="AR113" s="1040" t="n"/>
      <c r="AS113" s="931" t="n"/>
      <c r="AT113" s="931" t="n"/>
      <c r="AU113" s="931" t="n"/>
      <c r="AV113" s="931" t="n"/>
      <c r="AW113" s="1041" t="n"/>
      <c r="AX113" s="931" t="n"/>
      <c r="AY113" s="931" t="n"/>
      <c r="AZ113" s="931" t="n"/>
      <c r="BA113" s="931" t="n"/>
      <c r="BB113" s="931" t="n"/>
      <c r="BC113" s="938" t="n"/>
      <c r="BD113" s="1041" t="n"/>
      <c r="BE113" s="931" t="n"/>
      <c r="BF113" s="931" t="n"/>
      <c r="BG113" s="931" t="n"/>
      <c r="BH113" s="931" t="n"/>
      <c r="BI113" s="938" t="n"/>
      <c r="BJ113" s="1041" t="n"/>
      <c r="BK113" s="931" t="n"/>
      <c r="BL113" s="931" t="n"/>
      <c r="BM113" s="931" t="n"/>
      <c r="BN113" s="931" t="n"/>
      <c r="BO113" s="938" t="n"/>
      <c r="BP113" s="1041" t="n"/>
      <c r="BQ113" s="931" t="n"/>
      <c r="BR113" s="931" t="n"/>
      <c r="BS113" s="931" t="n"/>
      <c r="BT113" s="938" t="n"/>
      <c r="BU113" s="1041" t="n"/>
      <c r="BV113" s="931" t="n"/>
      <c r="BW113" s="931" t="n"/>
      <c r="BX113" s="931" t="n"/>
      <c r="BY113" s="931" t="n"/>
      <c r="BZ113" s="939" t="n"/>
    </row>
    <row r="114" ht="16.5" customHeight="1" s="838">
      <c r="B114" s="756" t="n"/>
      <c r="C114" s="738" t="n"/>
      <c r="D114" s="738" t="n"/>
      <c r="E114" s="739" t="n"/>
      <c r="F114" s="134" t="inlineStr">
        <is>
          <t>`26 실적</t>
        </is>
      </c>
      <c r="G114" s="1075">
        <f>G120/G117</f>
        <v/>
      </c>
      <c r="H114" s="922">
        <f>H120/H117</f>
        <v/>
      </c>
      <c r="I114" s="922">
        <f>I120/I117</f>
        <v/>
      </c>
      <c r="J114" s="922">
        <f>J120/J117</f>
        <v/>
      </c>
      <c r="K114" s="922">
        <f>K120/K117</f>
        <v/>
      </c>
      <c r="L114" s="922">
        <f>L120/L117</f>
        <v/>
      </c>
      <c r="M114" s="1075">
        <f>M120/M117</f>
        <v/>
      </c>
      <c r="N114" s="922">
        <f>N120/N117</f>
        <v/>
      </c>
      <c r="O114" s="922">
        <f>O120/O117</f>
        <v/>
      </c>
      <c r="P114" s="922">
        <f>P120/P117</f>
        <v/>
      </c>
      <c r="Q114" s="923">
        <f>Q120/Q117</f>
        <v/>
      </c>
      <c r="R114" s="1076">
        <f>R120/R117</f>
        <v/>
      </c>
      <c r="S114" s="922">
        <f>S120/S117</f>
        <v/>
      </c>
      <c r="T114" s="922">
        <f>T120/T117</f>
        <v/>
      </c>
      <c r="U114" s="922">
        <f>U120/U117</f>
        <v/>
      </c>
      <c r="V114" s="922">
        <f>V120/V117</f>
        <v/>
      </c>
      <c r="W114" s="922">
        <f>W120/W117</f>
        <v/>
      </c>
      <c r="X114" s="1075">
        <f>X120/X117</f>
        <v/>
      </c>
      <c r="Y114" s="922">
        <f>Y120/Y117</f>
        <v/>
      </c>
      <c r="Z114" s="922">
        <f>Z120/Z117</f>
        <v/>
      </c>
      <c r="AA114" s="922">
        <f>AA120/AA117</f>
        <v/>
      </c>
      <c r="AB114" s="922">
        <f>AB120/AB117</f>
        <v/>
      </c>
      <c r="AC114" s="923">
        <f>AC120/AC117</f>
        <v/>
      </c>
      <c r="AD114" s="1077" t="n"/>
      <c r="AE114" s="922" t="n"/>
      <c r="AF114" s="922" t="n"/>
      <c r="AG114" s="922" t="n"/>
      <c r="AH114" s="922" t="n"/>
      <c r="AI114" s="922" t="n"/>
      <c r="AJ114" s="923" t="n"/>
      <c r="AK114" s="921" t="n"/>
      <c r="AL114" s="922" t="n"/>
      <c r="AM114" s="922" t="n"/>
      <c r="AN114" s="922" t="n"/>
      <c r="AO114" s="922" t="n"/>
      <c r="AP114" s="922" t="n"/>
      <c r="AQ114" s="1078" t="n"/>
      <c r="AR114" s="1079" t="n"/>
      <c r="AS114" s="922" t="n"/>
      <c r="AT114" s="922" t="n"/>
      <c r="AU114" s="922" t="n"/>
      <c r="AV114" s="922" t="n"/>
      <c r="AW114" s="320" t="n"/>
      <c r="AX114" s="133" t="n"/>
      <c r="AY114" s="133" t="n"/>
      <c r="AZ114" s="133" t="n"/>
      <c r="BA114" s="133" t="n"/>
      <c r="BB114" s="133" t="n"/>
      <c r="BC114" s="134" t="n"/>
      <c r="BD114" s="320" t="n"/>
      <c r="BE114" s="133" t="n"/>
      <c r="BF114" s="133" t="n"/>
      <c r="BG114" s="133" t="n"/>
      <c r="BH114" s="133" t="n"/>
      <c r="BI114" s="134" t="n"/>
      <c r="BJ114" s="320" t="n"/>
      <c r="BK114" s="133" t="n"/>
      <c r="BL114" s="133" t="n"/>
      <c r="BM114" s="133" t="n"/>
      <c r="BN114" s="133" t="n"/>
      <c r="BO114" s="134" t="n"/>
      <c r="BP114" s="320" t="n"/>
      <c r="BQ114" s="133" t="n"/>
      <c r="BR114" s="133" t="n"/>
      <c r="BS114" s="133" t="n"/>
      <c r="BT114" s="134" t="n"/>
      <c r="BU114" s="320" t="n"/>
      <c r="BV114" s="133" t="n"/>
      <c r="BW114" s="133" t="n"/>
      <c r="BX114" s="133" t="n"/>
      <c r="BY114" s="133" t="n"/>
      <c r="BZ114" s="135" t="n"/>
    </row>
    <row r="115" ht="16.5" customHeight="1" s="838">
      <c r="B115" s="756" t="n"/>
      <c r="C115" s="738" t="n"/>
      <c r="D115" s="738" t="n"/>
      <c r="E115" s="778" t="inlineStr">
        <is>
          <t>생산액</t>
        </is>
      </c>
      <c r="F115" s="220" t="inlineStr">
        <is>
          <t>`25 실적</t>
        </is>
      </c>
      <c r="G115" s="1104" t="n">
        <v>25.297412</v>
      </c>
      <c r="H115" s="941" t="n">
        <v>25.297412</v>
      </c>
      <c r="I115" s="941" t="n">
        <v>25.297412</v>
      </c>
      <c r="J115" s="941" t="n">
        <v>25.297412</v>
      </c>
      <c r="K115" s="941" t="n">
        <v>25.297412</v>
      </c>
      <c r="L115" s="941" t="n">
        <v>25.297412</v>
      </c>
      <c r="M115" s="1104" t="n">
        <v>54.752782</v>
      </c>
      <c r="N115" s="941" t="n">
        <v>54.752782</v>
      </c>
      <c r="O115" s="941" t="n">
        <v>54.752782</v>
      </c>
      <c r="P115" s="941" t="n">
        <v>54.752782</v>
      </c>
      <c r="Q115" s="942" t="n">
        <v>54.752782</v>
      </c>
      <c r="R115" s="1105" t="n">
        <v>33.129933</v>
      </c>
      <c r="S115" s="941" t="n">
        <v>33.129933</v>
      </c>
      <c r="T115" s="941" t="n">
        <v>33.129933</v>
      </c>
      <c r="U115" s="941" t="n">
        <v>33.129933</v>
      </c>
      <c r="V115" s="941" t="n">
        <v>33.129933</v>
      </c>
      <c r="W115" s="941" t="n">
        <v>33.129933</v>
      </c>
      <c r="X115" s="1104" t="n">
        <v>20.356256</v>
      </c>
      <c r="Y115" s="941" t="n">
        <v>20.356256</v>
      </c>
      <c r="Z115" s="941" t="n">
        <v>20.356256</v>
      </c>
      <c r="AA115" s="941" t="n">
        <v>20.356256</v>
      </c>
      <c r="AB115" s="941" t="n">
        <v>20.356256</v>
      </c>
      <c r="AC115" s="942" t="n">
        <v>20.356256</v>
      </c>
      <c r="AD115" s="1106" t="n"/>
      <c r="AE115" s="941" t="n"/>
      <c r="AF115" s="941" t="n"/>
      <c r="AG115" s="941" t="n"/>
      <c r="AH115" s="941" t="n"/>
      <c r="AI115" s="941" t="n"/>
      <c r="AJ115" s="942" t="n"/>
      <c r="AK115" s="940" t="n"/>
      <c r="AL115" s="941" t="n"/>
      <c r="AM115" s="941" t="n"/>
      <c r="AN115" s="941" t="n"/>
      <c r="AO115" s="941" t="n"/>
      <c r="AP115" s="941" t="n"/>
      <c r="AQ115" s="1107" t="n"/>
      <c r="AR115" s="1108" t="n"/>
      <c r="AS115" s="941" t="n"/>
      <c r="AT115" s="941" t="n"/>
      <c r="AU115" s="941" t="n"/>
      <c r="AV115" s="941" t="n"/>
      <c r="AW115" s="1109" t="n"/>
      <c r="AX115" s="941" t="n"/>
      <c r="AY115" s="941" t="n"/>
      <c r="AZ115" s="941" t="n"/>
      <c r="BA115" s="941" t="n"/>
      <c r="BB115" s="941" t="n"/>
      <c r="BC115" s="942" t="n"/>
      <c r="BD115" s="1109" t="n"/>
      <c r="BE115" s="941" t="n"/>
      <c r="BF115" s="941" t="n"/>
      <c r="BG115" s="941" t="n"/>
      <c r="BH115" s="941" t="n"/>
      <c r="BI115" s="942" t="n"/>
      <c r="BJ115" s="1109" t="n"/>
      <c r="BK115" s="941" t="n"/>
      <c r="BL115" s="941" t="n"/>
      <c r="BM115" s="941" t="n"/>
      <c r="BN115" s="941" t="n"/>
      <c r="BO115" s="942" t="n"/>
      <c r="BP115" s="1109" t="n"/>
      <c r="BQ115" s="941" t="n"/>
      <c r="BR115" s="941" t="n"/>
      <c r="BS115" s="941" t="n"/>
      <c r="BT115" s="942" t="n"/>
      <c r="BU115" s="1109" t="n"/>
      <c r="BV115" s="941" t="n"/>
      <c r="BW115" s="941" t="n"/>
      <c r="BX115" s="941" t="n"/>
      <c r="BY115" s="941" t="n"/>
      <c r="BZ115" s="943" t="n"/>
    </row>
    <row r="116" ht="16.5" customHeight="1" s="838">
      <c r="B116" s="756" t="n"/>
      <c r="C116" s="738" t="n"/>
      <c r="D116" s="738" t="n"/>
      <c r="E116" s="738" t="n"/>
      <c r="F116" s="151" t="inlineStr">
        <is>
          <t>`26 목표</t>
        </is>
      </c>
      <c r="G116" s="1110" t="n">
        <v>50.205709</v>
      </c>
      <c r="H116" s="946" t="n">
        <v>39.541015</v>
      </c>
      <c r="I116" s="946" t="n">
        <v>39.541015</v>
      </c>
      <c r="J116" s="946" t="n">
        <v>39.541015</v>
      </c>
      <c r="K116" s="946" t="n">
        <v>39.541015</v>
      </c>
      <c r="L116" s="946" t="n">
        <v>39.541015</v>
      </c>
      <c r="M116" s="1110" t="n">
        <v>51.786227</v>
      </c>
      <c r="N116" s="946" t="n">
        <v>44.73133</v>
      </c>
      <c r="O116" s="946" t="n">
        <v>44.73133</v>
      </c>
      <c r="P116" s="946" t="n">
        <v>44.73133</v>
      </c>
      <c r="Q116" s="1111" t="n">
        <v>44.73133</v>
      </c>
      <c r="R116" s="1112" t="n">
        <v>39.935762</v>
      </c>
      <c r="S116" s="946" t="n">
        <v>19.072813</v>
      </c>
      <c r="T116" s="946" t="n">
        <v>19.072813</v>
      </c>
      <c r="U116" s="946" t="n">
        <v>19.072813</v>
      </c>
      <c r="V116" s="946" t="n">
        <v>19.072813</v>
      </c>
      <c r="W116" s="946" t="n">
        <v>19.072813</v>
      </c>
      <c r="X116" s="1110" t="n">
        <v>28.021377</v>
      </c>
      <c r="Y116" s="946" t="n">
        <v>28.021377</v>
      </c>
      <c r="Z116" s="946" t="n">
        <v>28.021377</v>
      </c>
      <c r="AA116" s="946" t="n">
        <v>28.021377</v>
      </c>
      <c r="AB116" s="946" t="n">
        <v>28.021377</v>
      </c>
      <c r="AC116" s="1111" t="n">
        <v>28.021377</v>
      </c>
      <c r="AD116" s="1113" t="n"/>
      <c r="AE116" s="946" t="n"/>
      <c r="AF116" s="946" t="n"/>
      <c r="AG116" s="946" t="n"/>
      <c r="AH116" s="946" t="n"/>
      <c r="AI116" s="946" t="n"/>
      <c r="AJ116" s="1111" t="n"/>
      <c r="AK116" s="1114" t="n"/>
      <c r="AL116" s="946" t="n"/>
      <c r="AM116" s="946" t="n"/>
      <c r="AN116" s="946" t="n"/>
      <c r="AO116" s="946" t="n"/>
      <c r="AP116" s="946" t="n"/>
      <c r="AQ116" s="1115" t="n"/>
      <c r="AR116" s="1116" t="n"/>
      <c r="AS116" s="946" t="n"/>
      <c r="AT116" s="946" t="n"/>
      <c r="AU116" s="946" t="n"/>
      <c r="AV116" s="946" t="n"/>
      <c r="AW116" s="1117" t="n"/>
      <c r="AX116" s="946" t="n"/>
      <c r="AY116" s="946" t="n"/>
      <c r="AZ116" s="946" t="n"/>
      <c r="BA116" s="946" t="n"/>
      <c r="BB116" s="946" t="n"/>
      <c r="BC116" s="1111" t="n"/>
      <c r="BD116" s="1117" t="n"/>
      <c r="BE116" s="946" t="n"/>
      <c r="BF116" s="946" t="n"/>
      <c r="BG116" s="946" t="n"/>
      <c r="BH116" s="946" t="n"/>
      <c r="BI116" s="1111" t="n"/>
      <c r="BJ116" s="1117" t="n"/>
      <c r="BK116" s="946" t="n"/>
      <c r="BL116" s="946" t="n"/>
      <c r="BM116" s="946" t="n"/>
      <c r="BN116" s="946" t="n"/>
      <c r="BO116" s="1111" t="n"/>
      <c r="BP116" s="1117" t="n"/>
      <c r="BQ116" s="946" t="n"/>
      <c r="BR116" s="946" t="n"/>
      <c r="BS116" s="946" t="n"/>
      <c r="BT116" s="1111" t="n"/>
      <c r="BU116" s="1117" t="n"/>
      <c r="BV116" s="946" t="n"/>
      <c r="BW116" s="946" t="n"/>
      <c r="BX116" s="946" t="n"/>
      <c r="BY116" s="946" t="n"/>
      <c r="BZ116" s="1118" t="n"/>
    </row>
    <row r="117" ht="16.5" customHeight="1" s="838">
      <c r="B117" s="756" t="n"/>
      <c r="C117" s="738" t="n"/>
      <c r="D117" s="738" t="n"/>
      <c r="E117" s="739" t="n"/>
      <c r="F117" s="134" t="inlineStr">
        <is>
          <t>`26 실적</t>
        </is>
      </c>
      <c r="G117" s="1119" t="n">
        <v>49.930964</v>
      </c>
      <c r="H117" s="945" t="n">
        <v>66.786007</v>
      </c>
      <c r="I117" s="945" t="n">
        <v>31.536785</v>
      </c>
      <c r="J117" s="945" t="n">
        <v>31.536785</v>
      </c>
      <c r="K117" s="945" t="n">
        <v>31.536785</v>
      </c>
      <c r="L117" s="945" t="n">
        <v>31.536785</v>
      </c>
      <c r="M117" s="1119" t="n">
        <v>35.734279</v>
      </c>
      <c r="N117" s="945" t="n">
        <v>17.893003</v>
      </c>
      <c r="O117" s="945" t="n">
        <v>17.893003</v>
      </c>
      <c r="P117" s="945" t="n">
        <v>17.893003</v>
      </c>
      <c r="Q117" s="947" t="n">
        <v>28.457363</v>
      </c>
      <c r="R117" s="1120" t="n">
        <v>41.729821</v>
      </c>
      <c r="S117" s="945" t="n">
        <v>50.818504</v>
      </c>
      <c r="T117" s="945" t="n">
        <v>50.818504</v>
      </c>
      <c r="U117" s="945" t="n">
        <v>20.374035</v>
      </c>
      <c r="V117" s="945" t="n">
        <v>20.374035</v>
      </c>
      <c r="W117" s="945" t="n">
        <v>50.818504</v>
      </c>
      <c r="X117" s="1119" t="n">
        <v>32.465322</v>
      </c>
      <c r="Y117" s="945" t="n">
        <v>53.791932</v>
      </c>
      <c r="Z117" s="945" t="n">
        <v>53.791932</v>
      </c>
      <c r="AA117" s="945" t="n">
        <v>53.791932</v>
      </c>
      <c r="AB117" s="945" t="n">
        <v>53.791932</v>
      </c>
      <c r="AC117" s="947" t="n">
        <v>53.791932</v>
      </c>
      <c r="AD117" s="1121" t="n"/>
      <c r="AE117" s="945" t="n"/>
      <c r="AF117" s="945" t="n"/>
      <c r="AG117" s="945" t="n"/>
      <c r="AH117" s="945" t="n"/>
      <c r="AI117" s="945" t="n"/>
      <c r="AJ117" s="947" t="n"/>
      <c r="AK117" s="944" t="n"/>
      <c r="AL117" s="945" t="n"/>
      <c r="AM117" s="945" t="n"/>
      <c r="AN117" s="945" t="n"/>
      <c r="AO117" s="945" t="n"/>
      <c r="AP117" s="945" t="n"/>
      <c r="AQ117" s="1122" t="n"/>
      <c r="AR117" s="1123" t="n"/>
      <c r="AS117" s="945" t="n"/>
      <c r="AT117" s="945" t="n"/>
      <c r="AU117" s="945" t="n"/>
      <c r="AV117" s="945" t="n"/>
      <c r="AW117" s="1124" t="n"/>
      <c r="AX117" s="945" t="n"/>
      <c r="AY117" s="945" t="n"/>
      <c r="AZ117" s="945" t="n"/>
      <c r="BA117" s="945" t="n"/>
      <c r="BB117" s="945" t="n"/>
      <c r="BC117" s="947" t="n"/>
      <c r="BD117" s="1124" t="n"/>
      <c r="BE117" s="945" t="n"/>
      <c r="BF117" s="945" t="n"/>
      <c r="BG117" s="945" t="n"/>
      <c r="BH117" s="945" t="n"/>
      <c r="BI117" s="947" t="n"/>
      <c r="BJ117" s="1124" t="n"/>
      <c r="BK117" s="945" t="n"/>
      <c r="BL117" s="945" t="n"/>
      <c r="BM117" s="945" t="n"/>
      <c r="BN117" s="945" t="n"/>
      <c r="BO117" s="947" t="n"/>
      <c r="BP117" s="1124" t="n"/>
      <c r="BQ117" s="945" t="n"/>
      <c r="BR117" s="945" t="n"/>
      <c r="BS117" s="945" t="n"/>
      <c r="BT117" s="947" t="n"/>
      <c r="BU117" s="1124" t="n"/>
      <c r="BV117" s="945" t="n"/>
      <c r="BW117" s="945" t="n"/>
      <c r="BX117" s="945" t="n"/>
      <c r="BY117" s="945" t="n"/>
      <c r="BZ117" s="948" t="n"/>
    </row>
    <row r="118" ht="16.5" customHeight="1" s="838">
      <c r="B118" s="756" t="n"/>
      <c r="C118" s="738" t="n"/>
      <c r="D118" s="738" t="n"/>
      <c r="E118" s="778" t="inlineStr">
        <is>
          <t>가공비</t>
        </is>
      </c>
      <c r="F118" s="220" t="inlineStr">
        <is>
          <t>`25 실적</t>
        </is>
      </c>
      <c r="G118" s="1104" t="n">
        <v>1.84839931</v>
      </c>
      <c r="H118" s="941" t="n">
        <v>1.84839931</v>
      </c>
      <c r="I118" s="941" t="n">
        <v>1.84839931</v>
      </c>
      <c r="J118" s="941" t="n">
        <v>1.84839931</v>
      </c>
      <c r="K118" s="941" t="n">
        <v>1.84839931</v>
      </c>
      <c r="L118" s="941" t="n">
        <v>1.84839931</v>
      </c>
      <c r="M118" s="1104" t="n">
        <v>2.08817318</v>
      </c>
      <c r="N118" s="941" t="n">
        <v>2.08817318</v>
      </c>
      <c r="O118" s="941" t="n">
        <v>2.08817318</v>
      </c>
      <c r="P118" s="941" t="n">
        <v>2.08817318</v>
      </c>
      <c r="Q118" s="942" t="n">
        <v>2.08817318</v>
      </c>
      <c r="R118" s="1105" t="n">
        <v>1.68285882</v>
      </c>
      <c r="S118" s="941" t="n">
        <v>1.68285882</v>
      </c>
      <c r="T118" s="941" t="n">
        <v>1.68285882</v>
      </c>
      <c r="U118" s="941" t="n">
        <v>1.68285882</v>
      </c>
      <c r="V118" s="941" t="n">
        <v>1.68285882</v>
      </c>
      <c r="W118" s="941" t="n">
        <v>1.68285882</v>
      </c>
      <c r="X118" s="1104" t="n">
        <v>1.95587116</v>
      </c>
      <c r="Y118" s="941" t="n">
        <v>1.95587116</v>
      </c>
      <c r="Z118" s="941" t="n">
        <v>1.95587116</v>
      </c>
      <c r="AA118" s="941" t="n">
        <v>1.95587116</v>
      </c>
      <c r="AB118" s="941" t="n">
        <v>1.95587116</v>
      </c>
      <c r="AC118" s="942" t="n">
        <v>1.95587116</v>
      </c>
      <c r="AD118" s="1106" t="n"/>
      <c r="AE118" s="941" t="n"/>
      <c r="AF118" s="941" t="n"/>
      <c r="AG118" s="941" t="n"/>
      <c r="AH118" s="941" t="n"/>
      <c r="AI118" s="941" t="n"/>
      <c r="AJ118" s="942" t="n"/>
      <c r="AK118" s="940" t="n"/>
      <c r="AL118" s="941" t="n"/>
      <c r="AM118" s="941" t="n"/>
      <c r="AN118" s="941" t="n"/>
      <c r="AO118" s="941" t="n"/>
      <c r="AP118" s="941" t="n"/>
      <c r="AQ118" s="1107" t="n"/>
      <c r="AR118" s="1108" t="n"/>
      <c r="AS118" s="941" t="n"/>
      <c r="AT118" s="941" t="n"/>
      <c r="AU118" s="941" t="n"/>
      <c r="AV118" s="941" t="n"/>
      <c r="AW118" s="1109" t="n"/>
      <c r="AX118" s="941" t="n"/>
      <c r="AY118" s="941" t="n"/>
      <c r="AZ118" s="941" t="n"/>
      <c r="BA118" s="941" t="n"/>
      <c r="BB118" s="941" t="n"/>
      <c r="BC118" s="942" t="n"/>
      <c r="BD118" s="1109" t="n"/>
      <c r="BE118" s="941" t="n"/>
      <c r="BF118" s="941" t="n"/>
      <c r="BG118" s="941" t="n"/>
      <c r="BH118" s="941" t="n"/>
      <c r="BI118" s="942" t="n"/>
      <c r="BJ118" s="1109" t="n"/>
      <c r="BK118" s="941" t="n"/>
      <c r="BL118" s="941" t="n"/>
      <c r="BM118" s="941" t="n"/>
      <c r="BN118" s="941" t="n"/>
      <c r="BO118" s="942" t="n"/>
      <c r="BP118" s="1109" t="n"/>
      <c r="BQ118" s="941" t="n"/>
      <c r="BR118" s="941" t="n"/>
      <c r="BS118" s="941" t="n"/>
      <c r="BT118" s="942" t="n"/>
      <c r="BU118" s="1109" t="n"/>
      <c r="BV118" s="941" t="n"/>
      <c r="BW118" s="941" t="n"/>
      <c r="BX118" s="941" t="n"/>
      <c r="BY118" s="941" t="n"/>
      <c r="BZ118" s="943" t="n"/>
    </row>
    <row r="119" ht="16.5" customHeight="1" s="838">
      <c r="B119" s="756" t="n"/>
      <c r="C119" s="738" t="n"/>
      <c r="D119" s="738" t="n"/>
      <c r="E119" s="738" t="n"/>
      <c r="F119" s="151" t="inlineStr">
        <is>
          <t>`26 목표</t>
        </is>
      </c>
      <c r="G119" s="1110" t="n">
        <v>1.88677215</v>
      </c>
      <c r="H119" s="946" t="n">
        <v>1.0237932</v>
      </c>
      <c r="I119" s="946" t="n">
        <v>1.0237932</v>
      </c>
      <c r="J119" s="946" t="n">
        <v>1.0237932</v>
      </c>
      <c r="K119" s="946" t="n">
        <v>1.0237932</v>
      </c>
      <c r="L119" s="946" t="n">
        <v>1.0237932</v>
      </c>
      <c r="M119" s="1110" t="n">
        <v>1.85232307</v>
      </c>
      <c r="N119" s="946" t="n">
        <v>1.71749716</v>
      </c>
      <c r="O119" s="946" t="n">
        <v>1.71749716</v>
      </c>
      <c r="P119" s="946" t="n">
        <v>1.71749716</v>
      </c>
      <c r="Q119" s="1111" t="n">
        <v>1.71749716</v>
      </c>
      <c r="R119" s="1112" t="n">
        <v>1.25285279</v>
      </c>
      <c r="S119" s="946" t="n">
        <v>1.4103341</v>
      </c>
      <c r="T119" s="946" t="n">
        <v>1.4103341</v>
      </c>
      <c r="U119" s="946" t="n">
        <v>1.4103341</v>
      </c>
      <c r="V119" s="946" t="n">
        <v>1.4103341</v>
      </c>
      <c r="W119" s="946" t="n">
        <v>1.4103341</v>
      </c>
      <c r="X119" s="1110" t="n">
        <v>2.31499105</v>
      </c>
      <c r="Y119" s="946" t="n">
        <v>2.31499105</v>
      </c>
      <c r="Z119" s="946" t="n">
        <v>2.31499105</v>
      </c>
      <c r="AA119" s="946" t="n">
        <v>2.31499105</v>
      </c>
      <c r="AB119" s="946" t="n">
        <v>2.31499105</v>
      </c>
      <c r="AC119" s="1111" t="n">
        <v>2.31499105</v>
      </c>
      <c r="AD119" s="1113" t="n"/>
      <c r="AE119" s="946" t="n"/>
      <c r="AF119" s="946" t="n"/>
      <c r="AG119" s="946" t="n"/>
      <c r="AH119" s="946" t="n"/>
      <c r="AI119" s="946" t="n"/>
      <c r="AJ119" s="1111" t="n"/>
      <c r="AK119" s="1114" t="n"/>
      <c r="AL119" s="946" t="n"/>
      <c r="AM119" s="946" t="n"/>
      <c r="AN119" s="946" t="n"/>
      <c r="AO119" s="946" t="n"/>
      <c r="AP119" s="946" t="n"/>
      <c r="AQ119" s="1115" t="n"/>
      <c r="AR119" s="1116" t="n"/>
      <c r="AS119" s="946" t="n"/>
      <c r="AT119" s="946" t="n"/>
      <c r="AU119" s="946" t="n"/>
      <c r="AV119" s="946" t="n"/>
      <c r="AW119" s="1117" t="n"/>
      <c r="AX119" s="946" t="n"/>
      <c r="AY119" s="946" t="n"/>
      <c r="AZ119" s="946" t="n"/>
      <c r="BA119" s="946" t="n"/>
      <c r="BB119" s="946" t="n"/>
      <c r="BC119" s="1111" t="n"/>
      <c r="BD119" s="1117" t="n"/>
      <c r="BE119" s="946" t="n"/>
      <c r="BF119" s="946" t="n"/>
      <c r="BG119" s="946" t="n"/>
      <c r="BH119" s="946" t="n"/>
      <c r="BI119" s="1111" t="n"/>
      <c r="BJ119" s="1117" t="n"/>
      <c r="BK119" s="946" t="n"/>
      <c r="BL119" s="946" t="n"/>
      <c r="BM119" s="946" t="n"/>
      <c r="BN119" s="946" t="n"/>
      <c r="BO119" s="1111" t="n"/>
      <c r="BP119" s="1117" t="n"/>
      <c r="BQ119" s="946" t="n"/>
      <c r="BR119" s="946" t="n"/>
      <c r="BS119" s="946" t="n"/>
      <c r="BT119" s="1111" t="n"/>
      <c r="BU119" s="1117" t="n"/>
      <c r="BV119" s="946" t="n"/>
      <c r="BW119" s="946" t="n"/>
      <c r="BX119" s="946" t="n"/>
      <c r="BY119" s="946" t="n"/>
      <c r="BZ119" s="1118" t="n"/>
    </row>
    <row r="120" ht="16.5" customHeight="1" s="838">
      <c r="B120" s="756" t="n"/>
      <c r="C120" s="738" t="n"/>
      <c r="D120" s="739" t="n"/>
      <c r="E120" s="739" t="n"/>
      <c r="F120" s="134" t="inlineStr">
        <is>
          <t>`26 실적</t>
        </is>
      </c>
      <c r="G120" s="1119" t="n">
        <v>1.09903807</v>
      </c>
      <c r="H120" s="945" t="n">
        <v>2.94591229</v>
      </c>
      <c r="I120" s="945" t="n">
        <v>0.99173619</v>
      </c>
      <c r="J120" s="945" t="n">
        <v>0.99173619</v>
      </c>
      <c r="K120" s="945" t="n">
        <v>0.99173619</v>
      </c>
      <c r="L120" s="945" t="n">
        <v>0.99173619</v>
      </c>
      <c r="M120" s="1119" t="n">
        <v>2.48359972</v>
      </c>
      <c r="N120" s="945" t="n">
        <v>2.521238</v>
      </c>
      <c r="O120" s="945" t="n">
        <v>2.521238</v>
      </c>
      <c r="P120" s="945" t="n">
        <v>2.521238</v>
      </c>
      <c r="Q120" s="947" t="n">
        <v>1.66450749</v>
      </c>
      <c r="R120" s="1120" t="n">
        <v>1.4075064</v>
      </c>
      <c r="S120" s="945" t="n">
        <v>1.46276386</v>
      </c>
      <c r="T120" s="945" t="n">
        <v>1.46276386</v>
      </c>
      <c r="U120" s="945" t="n">
        <v>1.43122789</v>
      </c>
      <c r="V120" s="945" t="n">
        <v>1.43122789</v>
      </c>
      <c r="W120" s="945" t="n">
        <v>1.46276386</v>
      </c>
      <c r="X120" s="1119" t="n">
        <v>1.74408783</v>
      </c>
      <c r="Y120" s="945" t="n">
        <v>2.96455642</v>
      </c>
      <c r="Z120" s="945" t="n">
        <v>2.96455642</v>
      </c>
      <c r="AA120" s="945" t="n">
        <v>2.96455642</v>
      </c>
      <c r="AB120" s="945" t="n">
        <v>2.96455642</v>
      </c>
      <c r="AC120" s="947" t="n">
        <v>2.96455642</v>
      </c>
      <c r="AD120" s="1121" t="n"/>
      <c r="AE120" s="945" t="n"/>
      <c r="AF120" s="945" t="n"/>
      <c r="AG120" s="945" t="n"/>
      <c r="AH120" s="945" t="n"/>
      <c r="AI120" s="945" t="n"/>
      <c r="AJ120" s="947" t="n"/>
      <c r="AK120" s="944" t="n"/>
      <c r="AL120" s="945" t="n"/>
      <c r="AM120" s="945" t="n"/>
      <c r="AN120" s="945" t="n"/>
      <c r="AO120" s="945" t="n"/>
      <c r="AP120" s="945" t="n"/>
      <c r="AQ120" s="1122" t="n"/>
      <c r="AR120" s="1123" t="n"/>
      <c r="AS120" s="945" t="n"/>
      <c r="AT120" s="945" t="n"/>
      <c r="AU120" s="945" t="n"/>
      <c r="AV120" s="945" t="n"/>
      <c r="AW120" s="1124" t="n"/>
      <c r="AX120" s="945" t="n"/>
      <c r="AY120" s="945" t="n"/>
      <c r="AZ120" s="945" t="n"/>
      <c r="BA120" s="945" t="n"/>
      <c r="BB120" s="945" t="n"/>
      <c r="BC120" s="947" t="n"/>
      <c r="BD120" s="1124" t="n"/>
      <c r="BE120" s="945" t="n"/>
      <c r="BF120" s="945" t="n"/>
      <c r="BG120" s="945" t="n"/>
      <c r="BH120" s="945" t="n"/>
      <c r="BI120" s="947" t="n"/>
      <c r="BJ120" s="1124" t="n"/>
      <c r="BK120" s="945" t="n"/>
      <c r="BL120" s="945" t="n"/>
      <c r="BM120" s="945" t="n"/>
      <c r="BN120" s="945" t="n"/>
      <c r="BO120" s="947" t="n"/>
      <c r="BP120" s="1124" t="n"/>
      <c r="BQ120" s="945" t="n"/>
      <c r="BR120" s="945" t="n"/>
      <c r="BS120" s="945" t="n"/>
      <c r="BT120" s="947" t="n"/>
      <c r="BU120" s="1124" t="n"/>
      <c r="BV120" s="945" t="n"/>
      <c r="BW120" s="945" t="n"/>
      <c r="BX120" s="945" t="n"/>
      <c r="BY120" s="945" t="n"/>
      <c r="BZ120" s="948" t="n"/>
    </row>
    <row r="121" ht="16.5" customHeight="1" s="838">
      <c r="B121" s="756" t="n"/>
      <c r="C121" s="738" t="n"/>
      <c r="D121" s="737" t="inlineStr">
        <is>
          <t>지역6</t>
        </is>
      </c>
      <c r="E121" s="737" t="inlineStr">
        <is>
          <t>가공비율</t>
        </is>
      </c>
      <c r="F121" s="220" t="inlineStr">
        <is>
          <t>`25 실적</t>
        </is>
      </c>
      <c r="G121" s="1069">
        <f>G127/G124</f>
        <v/>
      </c>
      <c r="H121" s="930">
        <f>H127/H124</f>
        <v/>
      </c>
      <c r="I121" s="930">
        <f>I127/I124</f>
        <v/>
      </c>
      <c r="J121" s="930">
        <f>J127/J124</f>
        <v/>
      </c>
      <c r="K121" s="930">
        <f>K127/K124</f>
        <v/>
      </c>
      <c r="L121" s="930">
        <f>L127/L124</f>
        <v/>
      </c>
      <c r="M121" s="1069">
        <f>M127/M124</f>
        <v/>
      </c>
      <c r="N121" s="930">
        <f>N127/N124</f>
        <v/>
      </c>
      <c r="O121" s="930">
        <f>O127/O124</f>
        <v/>
      </c>
      <c r="P121" s="930">
        <f>P127/P124</f>
        <v/>
      </c>
      <c r="Q121" s="933">
        <f>Q127/Q124</f>
        <v/>
      </c>
      <c r="R121" s="1070">
        <f>R127/R124</f>
        <v/>
      </c>
      <c r="S121" s="930">
        <f>S127/S124</f>
        <v/>
      </c>
      <c r="T121" s="930">
        <f>T127/T124</f>
        <v/>
      </c>
      <c r="U121" s="930">
        <f>U127/U124</f>
        <v/>
      </c>
      <c r="V121" s="930">
        <f>V127/V124</f>
        <v/>
      </c>
      <c r="W121" s="930">
        <f>W127/W124</f>
        <v/>
      </c>
      <c r="X121" s="1069">
        <f>X127/X124</f>
        <v/>
      </c>
      <c r="Y121" s="930">
        <f>Y127/Y124</f>
        <v/>
      </c>
      <c r="Z121" s="930">
        <f>Z127/Z124</f>
        <v/>
      </c>
      <c r="AA121" s="930">
        <f>AA127/AA124</f>
        <v/>
      </c>
      <c r="AB121" s="930">
        <f>AB127/AB124</f>
        <v/>
      </c>
      <c r="AC121" s="933">
        <f>AC127/AC124</f>
        <v/>
      </c>
      <c r="AD121" s="1071" t="n"/>
      <c r="AE121" s="930" t="n"/>
      <c r="AF121" s="930" t="n"/>
      <c r="AG121" s="930" t="n"/>
      <c r="AH121" s="930" t="n"/>
      <c r="AI121" s="930" t="n"/>
      <c r="AJ121" s="933" t="n"/>
      <c r="AK121" s="932" t="n"/>
      <c r="AL121" s="930" t="n"/>
      <c r="AM121" s="930" t="n"/>
      <c r="AN121" s="930" t="n"/>
      <c r="AO121" s="930" t="n"/>
      <c r="AP121" s="930" t="n"/>
      <c r="AQ121" s="1072" t="n"/>
      <c r="AR121" s="1073" t="n"/>
      <c r="AS121" s="930" t="n"/>
      <c r="AT121" s="930" t="n"/>
      <c r="AU121" s="930" t="n"/>
      <c r="AV121" s="930" t="n"/>
      <c r="AW121" s="1074" t="n"/>
      <c r="AX121" s="930" t="n"/>
      <c r="AY121" s="930" t="n"/>
      <c r="AZ121" s="930" t="n"/>
      <c r="BA121" s="930" t="n"/>
      <c r="BB121" s="930" t="n"/>
      <c r="BC121" s="933" t="n"/>
      <c r="BD121" s="1074" t="n"/>
      <c r="BE121" s="930" t="n"/>
      <c r="BF121" s="930" t="n"/>
      <c r="BG121" s="930" t="n"/>
      <c r="BH121" s="930" t="n"/>
      <c r="BI121" s="933" t="n"/>
      <c r="BJ121" s="1074" t="n"/>
      <c r="BK121" s="930" t="n"/>
      <c r="BL121" s="930" t="n"/>
      <c r="BM121" s="930" t="n"/>
      <c r="BN121" s="930" t="n"/>
      <c r="BO121" s="933" t="n"/>
      <c r="BP121" s="1074" t="n"/>
      <c r="BQ121" s="930" t="n"/>
      <c r="BR121" s="930" t="n"/>
      <c r="BS121" s="930" t="n"/>
      <c r="BT121" s="933" t="n"/>
      <c r="BU121" s="1074" t="n"/>
      <c r="BV121" s="930" t="n"/>
      <c r="BW121" s="930" t="n"/>
      <c r="BX121" s="930" t="n"/>
      <c r="BY121" s="930" t="n"/>
      <c r="BZ121" s="934" t="n"/>
    </row>
    <row r="122" ht="16.5" customHeight="1" s="838">
      <c r="B122" s="756" t="n"/>
      <c r="C122" s="738" t="n"/>
      <c r="D122" s="738" t="n"/>
      <c r="E122" s="738" t="n"/>
      <c r="F122" s="151" t="inlineStr">
        <is>
          <t>`26 목표</t>
        </is>
      </c>
      <c r="G122" s="1036">
        <f>G128/G125</f>
        <v/>
      </c>
      <c r="H122" s="931">
        <f>H128/H125</f>
        <v/>
      </c>
      <c r="I122" s="931">
        <f>I128/I125</f>
        <v/>
      </c>
      <c r="J122" s="931">
        <f>J128/J125</f>
        <v/>
      </c>
      <c r="K122" s="931">
        <f>K128/K125</f>
        <v/>
      </c>
      <c r="L122" s="931">
        <f>L128/L125</f>
        <v/>
      </c>
      <c r="M122" s="1036">
        <f>M128/M125</f>
        <v/>
      </c>
      <c r="N122" s="931">
        <f>N128/N125</f>
        <v/>
      </c>
      <c r="O122" s="931">
        <f>O128/O125</f>
        <v/>
      </c>
      <c r="P122" s="931">
        <f>P128/P125</f>
        <v/>
      </c>
      <c r="Q122" s="938">
        <f>Q128/Q125</f>
        <v/>
      </c>
      <c r="R122" s="1037">
        <f>R128/R125</f>
        <v/>
      </c>
      <c r="S122" s="931">
        <f>S128/S125</f>
        <v/>
      </c>
      <c r="T122" s="931">
        <f>T128/T125</f>
        <v/>
      </c>
      <c r="U122" s="931">
        <f>U128/U125</f>
        <v/>
      </c>
      <c r="V122" s="931">
        <f>V128/V125</f>
        <v/>
      </c>
      <c r="W122" s="931">
        <f>W128/W125</f>
        <v/>
      </c>
      <c r="X122" s="1036">
        <f>X128/X125</f>
        <v/>
      </c>
      <c r="Y122" s="931">
        <f>Y128/Y125</f>
        <v/>
      </c>
      <c r="Z122" s="931">
        <f>Z128/Z125</f>
        <v/>
      </c>
      <c r="AA122" s="931">
        <f>AA128/AA125</f>
        <v/>
      </c>
      <c r="AB122" s="931">
        <f>AB128/AB125</f>
        <v/>
      </c>
      <c r="AC122" s="938">
        <f>AC128/AC125</f>
        <v/>
      </c>
      <c r="AD122" s="1038" t="n"/>
      <c r="AE122" s="931" t="n"/>
      <c r="AF122" s="931" t="n"/>
      <c r="AG122" s="931" t="n"/>
      <c r="AH122" s="931" t="n"/>
      <c r="AI122" s="931" t="n"/>
      <c r="AJ122" s="938" t="n"/>
      <c r="AK122" s="929" t="n"/>
      <c r="AL122" s="931" t="n"/>
      <c r="AM122" s="931" t="n"/>
      <c r="AN122" s="931" t="n"/>
      <c r="AO122" s="931" t="n"/>
      <c r="AP122" s="931" t="n"/>
      <c r="AQ122" s="1039" t="n"/>
      <c r="AR122" s="1040" t="n"/>
      <c r="AS122" s="931" t="n"/>
      <c r="AT122" s="931" t="n"/>
      <c r="AU122" s="931" t="n"/>
      <c r="AV122" s="931" t="n"/>
      <c r="AW122" s="1041" t="n"/>
      <c r="AX122" s="931" t="n"/>
      <c r="AY122" s="931" t="n"/>
      <c r="AZ122" s="931" t="n"/>
      <c r="BA122" s="931" t="n"/>
      <c r="BB122" s="931" t="n"/>
      <c r="BC122" s="938" t="n"/>
      <c r="BD122" s="1041" t="n"/>
      <c r="BE122" s="931" t="n"/>
      <c r="BF122" s="931" t="n"/>
      <c r="BG122" s="931" t="n"/>
      <c r="BH122" s="931" t="n"/>
      <c r="BI122" s="938" t="n"/>
      <c r="BJ122" s="1041" t="n"/>
      <c r="BK122" s="931" t="n"/>
      <c r="BL122" s="931" t="n"/>
      <c r="BM122" s="931" t="n"/>
      <c r="BN122" s="931" t="n"/>
      <c r="BO122" s="938" t="n"/>
      <c r="BP122" s="1041" t="n"/>
      <c r="BQ122" s="931" t="n"/>
      <c r="BR122" s="931" t="n"/>
      <c r="BS122" s="931" t="n"/>
      <c r="BT122" s="938" t="n"/>
      <c r="BU122" s="1041" t="n"/>
      <c r="BV122" s="931" t="n"/>
      <c r="BW122" s="931" t="n"/>
      <c r="BX122" s="931" t="n"/>
      <c r="BY122" s="931" t="n"/>
      <c r="BZ122" s="939" t="n"/>
    </row>
    <row r="123" ht="16.5" customHeight="1" s="838">
      <c r="B123" s="756" t="n"/>
      <c r="C123" s="738" t="n"/>
      <c r="D123" s="738" t="n"/>
      <c r="E123" s="739" t="n"/>
      <c r="F123" s="134" t="inlineStr">
        <is>
          <t>`26 실적</t>
        </is>
      </c>
      <c r="G123" s="1075">
        <f>G129/G126</f>
        <v/>
      </c>
      <c r="H123" s="922">
        <f>H129/H126</f>
        <v/>
      </c>
      <c r="I123" s="922">
        <f>I129/I126</f>
        <v/>
      </c>
      <c r="J123" s="922">
        <f>J129/J126</f>
        <v/>
      </c>
      <c r="K123" s="922">
        <f>K129/K126</f>
        <v/>
      </c>
      <c r="L123" s="922">
        <f>L129/L126</f>
        <v/>
      </c>
      <c r="M123" s="1075">
        <f>M129/M126</f>
        <v/>
      </c>
      <c r="N123" s="922">
        <f>N129/N126</f>
        <v/>
      </c>
      <c r="O123" s="922">
        <f>O129/O126</f>
        <v/>
      </c>
      <c r="P123" s="922">
        <f>P129/P126</f>
        <v/>
      </c>
      <c r="Q123" s="923">
        <f>Q129/Q126</f>
        <v/>
      </c>
      <c r="R123" s="1076">
        <f>R129/R126</f>
        <v/>
      </c>
      <c r="S123" s="922">
        <f>S129/S126</f>
        <v/>
      </c>
      <c r="T123" s="922">
        <f>T129/T126</f>
        <v/>
      </c>
      <c r="U123" s="922">
        <f>U129/U126</f>
        <v/>
      </c>
      <c r="V123" s="922">
        <f>V129/V126</f>
        <v/>
      </c>
      <c r="W123" s="922">
        <f>W129/W126</f>
        <v/>
      </c>
      <c r="X123" s="1075">
        <f>X129/X126</f>
        <v/>
      </c>
      <c r="Y123" s="922">
        <f>Y129/Y126</f>
        <v/>
      </c>
      <c r="Z123" s="922">
        <f>Z129/Z126</f>
        <v/>
      </c>
      <c r="AA123" s="922">
        <f>AA129/AA126</f>
        <v/>
      </c>
      <c r="AB123" s="922">
        <f>AB129/AB126</f>
        <v/>
      </c>
      <c r="AC123" s="923">
        <f>AC129/AC126</f>
        <v/>
      </c>
      <c r="AD123" s="1077" t="n"/>
      <c r="AE123" s="922" t="n"/>
      <c r="AF123" s="922" t="n"/>
      <c r="AG123" s="922" t="n"/>
      <c r="AH123" s="922" t="n"/>
      <c r="AI123" s="922" t="n"/>
      <c r="AJ123" s="923" t="n"/>
      <c r="AK123" s="921" t="n"/>
      <c r="AL123" s="922" t="n"/>
      <c r="AM123" s="922" t="n"/>
      <c r="AN123" s="922" t="n"/>
      <c r="AO123" s="922" t="n"/>
      <c r="AP123" s="922" t="n"/>
      <c r="AQ123" s="1078" t="n"/>
      <c r="AR123" s="1079" t="n"/>
      <c r="AS123" s="922" t="n"/>
      <c r="AT123" s="922" t="n"/>
      <c r="AU123" s="922" t="n"/>
      <c r="AV123" s="922" t="n"/>
      <c r="AW123" s="320" t="n"/>
      <c r="AX123" s="133" t="n"/>
      <c r="AY123" s="133" t="n"/>
      <c r="AZ123" s="133" t="n"/>
      <c r="BA123" s="133" t="n"/>
      <c r="BB123" s="133" t="n"/>
      <c r="BC123" s="134" t="n"/>
      <c r="BD123" s="320" t="n"/>
      <c r="BE123" s="133" t="n"/>
      <c r="BF123" s="133" t="n"/>
      <c r="BG123" s="133" t="n"/>
      <c r="BH123" s="133" t="n"/>
      <c r="BI123" s="134" t="n"/>
      <c r="BJ123" s="320" t="n"/>
      <c r="BK123" s="133" t="n"/>
      <c r="BL123" s="133" t="n"/>
      <c r="BM123" s="133" t="n"/>
      <c r="BN123" s="133" t="n"/>
      <c r="BO123" s="134" t="n"/>
      <c r="BP123" s="320" t="n"/>
      <c r="BQ123" s="133" t="n"/>
      <c r="BR123" s="133" t="n"/>
      <c r="BS123" s="133" t="n"/>
      <c r="BT123" s="134" t="n"/>
      <c r="BU123" s="320" t="n"/>
      <c r="BV123" s="133" t="n"/>
      <c r="BW123" s="133" t="n"/>
      <c r="BX123" s="133" t="n"/>
      <c r="BY123" s="133" t="n"/>
      <c r="BZ123" s="135" t="n"/>
    </row>
    <row r="124" ht="16.5" customHeight="1" s="838">
      <c r="B124" s="756" t="n"/>
      <c r="C124" s="738" t="n"/>
      <c r="D124" s="738" t="n"/>
      <c r="E124" s="778" t="inlineStr">
        <is>
          <t>생산액</t>
        </is>
      </c>
      <c r="F124" s="366" t="inlineStr">
        <is>
          <t>`25 실적</t>
        </is>
      </c>
      <c r="G124" s="1104" t="n">
        <v>37.57821</v>
      </c>
      <c r="H124" s="941" t="n">
        <v>37.57821</v>
      </c>
      <c r="I124" s="941" t="n">
        <v>37.57821</v>
      </c>
      <c r="J124" s="941" t="n">
        <v>37.57821</v>
      </c>
      <c r="K124" s="941" t="n">
        <v>37.57821</v>
      </c>
      <c r="L124" s="941" t="n">
        <v>37.57821</v>
      </c>
      <c r="M124" s="1104" t="n">
        <v>45.743394</v>
      </c>
      <c r="N124" s="941" t="n">
        <v>45.743394</v>
      </c>
      <c r="O124" s="941" t="n">
        <v>45.743394</v>
      </c>
      <c r="P124" s="941" t="n">
        <v>45.743394</v>
      </c>
      <c r="Q124" s="942" t="n">
        <v>45.743394</v>
      </c>
      <c r="R124" s="940" t="n">
        <v>36.519587</v>
      </c>
      <c r="S124" s="941" t="n">
        <v>36.519587</v>
      </c>
      <c r="T124" s="941" t="n">
        <v>36.519587</v>
      </c>
      <c r="U124" s="941" t="n">
        <v>36.519587</v>
      </c>
      <c r="V124" s="941" t="n">
        <v>36.519587</v>
      </c>
      <c r="W124" s="941" t="n">
        <v>36.519587</v>
      </c>
      <c r="X124" s="1104" t="n">
        <v>37.513559</v>
      </c>
      <c r="Y124" s="941" t="n">
        <v>37.513559</v>
      </c>
      <c r="Z124" s="941" t="n">
        <v>37.513559</v>
      </c>
      <c r="AA124" s="941" t="n">
        <v>37.513559</v>
      </c>
      <c r="AB124" s="941" t="n">
        <v>37.513559</v>
      </c>
      <c r="AC124" s="942" t="n">
        <v>37.513559</v>
      </c>
      <c r="AD124" s="1106" t="n"/>
      <c r="AE124" s="941" t="n"/>
      <c r="AF124" s="941" t="n"/>
      <c r="AG124" s="941" t="n"/>
      <c r="AH124" s="941" t="n"/>
      <c r="AI124" s="941" t="n"/>
      <c r="AJ124" s="942" t="n"/>
      <c r="AK124" s="940" t="n"/>
      <c r="AL124" s="941" t="n"/>
      <c r="AM124" s="941" t="n"/>
      <c r="AN124" s="941" t="n"/>
      <c r="AO124" s="941" t="n"/>
      <c r="AP124" s="941" t="n"/>
      <c r="AQ124" s="1107" t="n"/>
      <c r="AR124" s="1108" t="n"/>
      <c r="AS124" s="941" t="n"/>
      <c r="AT124" s="941" t="n"/>
      <c r="AU124" s="941" t="n"/>
      <c r="AV124" s="941" t="n"/>
      <c r="AW124" s="1109" t="n"/>
      <c r="AX124" s="941" t="n"/>
      <c r="AY124" s="941" t="n"/>
      <c r="AZ124" s="941" t="n"/>
      <c r="BA124" s="941" t="n"/>
      <c r="BB124" s="941" t="n"/>
      <c r="BC124" s="942" t="n"/>
      <c r="BD124" s="1109" t="n"/>
      <c r="BE124" s="941" t="n"/>
      <c r="BF124" s="941" t="n"/>
      <c r="BG124" s="941" t="n"/>
      <c r="BH124" s="941" t="n"/>
      <c r="BI124" s="942" t="n"/>
      <c r="BJ124" s="1109" t="n"/>
      <c r="BK124" s="941" t="n"/>
      <c r="BL124" s="941" t="n"/>
      <c r="BM124" s="941" t="n"/>
      <c r="BN124" s="941" t="n"/>
      <c r="BO124" s="942" t="n"/>
      <c r="BP124" s="1109" t="n"/>
      <c r="BQ124" s="941" t="n"/>
      <c r="BR124" s="941" t="n"/>
      <c r="BS124" s="941" t="n"/>
      <c r="BT124" s="942" t="n"/>
      <c r="BU124" s="1109" t="n"/>
      <c r="BV124" s="941" t="n"/>
      <c r="BW124" s="941" t="n"/>
      <c r="BX124" s="941" t="n"/>
      <c r="BY124" s="941" t="n"/>
      <c r="BZ124" s="943" t="n"/>
    </row>
    <row r="125" ht="16.5" customHeight="1" s="838">
      <c r="B125" s="756" t="n"/>
      <c r="C125" s="738" t="n"/>
      <c r="D125" s="738" t="n"/>
      <c r="E125" s="738" t="n"/>
      <c r="F125" s="367" t="inlineStr">
        <is>
          <t>`26 목표</t>
        </is>
      </c>
      <c r="G125" s="1110" t="n">
        <v>51.187162</v>
      </c>
      <c r="H125" s="946" t="n">
        <v>26.909909</v>
      </c>
      <c r="I125" s="946" t="n">
        <v>26.909909</v>
      </c>
      <c r="J125" s="946" t="n">
        <v>26.909909</v>
      </c>
      <c r="K125" s="946" t="n">
        <v>26.909909</v>
      </c>
      <c r="L125" s="946" t="n">
        <v>26.909909</v>
      </c>
      <c r="M125" s="1110" t="n">
        <v>30.051278</v>
      </c>
      <c r="N125" s="946" t="n">
        <v>26.711259</v>
      </c>
      <c r="O125" s="946" t="n">
        <v>26.711259</v>
      </c>
      <c r="P125" s="946" t="n">
        <v>26.711259</v>
      </c>
      <c r="Q125" s="1111" t="n">
        <v>26.711259</v>
      </c>
      <c r="R125" s="1114" t="n">
        <v>32.783498</v>
      </c>
      <c r="S125" s="946" t="n">
        <v>43.295319</v>
      </c>
      <c r="T125" s="946" t="n">
        <v>43.295319</v>
      </c>
      <c r="U125" s="946" t="n">
        <v>43.295319</v>
      </c>
      <c r="V125" s="946" t="n">
        <v>43.295319</v>
      </c>
      <c r="W125" s="946" t="n">
        <v>43.295319</v>
      </c>
      <c r="X125" s="1110" t="n">
        <v>67.47280000000001</v>
      </c>
      <c r="Y125" s="946" t="n">
        <v>67.47280000000001</v>
      </c>
      <c r="Z125" s="946" t="n">
        <v>67.47280000000001</v>
      </c>
      <c r="AA125" s="946" t="n">
        <v>67.47280000000001</v>
      </c>
      <c r="AB125" s="946" t="n">
        <v>67.47280000000001</v>
      </c>
      <c r="AC125" s="1111" t="n">
        <v>67.47280000000001</v>
      </c>
      <c r="AD125" s="1113" t="n"/>
      <c r="AE125" s="946" t="n"/>
      <c r="AF125" s="946" t="n"/>
      <c r="AG125" s="946" t="n"/>
      <c r="AH125" s="946" t="n"/>
      <c r="AI125" s="946" t="n"/>
      <c r="AJ125" s="1111" t="n"/>
      <c r="AK125" s="1114" t="n"/>
      <c r="AL125" s="946" t="n"/>
      <c r="AM125" s="946" t="n"/>
      <c r="AN125" s="946" t="n"/>
      <c r="AO125" s="946" t="n"/>
      <c r="AP125" s="946" t="n"/>
      <c r="AQ125" s="1115" t="n"/>
      <c r="AR125" s="1116" t="n"/>
      <c r="AS125" s="946" t="n"/>
      <c r="AT125" s="946" t="n"/>
      <c r="AU125" s="946" t="n"/>
      <c r="AV125" s="946" t="n"/>
      <c r="AW125" s="1117" t="n"/>
      <c r="AX125" s="946" t="n"/>
      <c r="AY125" s="946" t="n"/>
      <c r="AZ125" s="946" t="n"/>
      <c r="BA125" s="946" t="n"/>
      <c r="BB125" s="946" t="n"/>
      <c r="BC125" s="1111" t="n"/>
      <c r="BD125" s="1117" t="n"/>
      <c r="BE125" s="946" t="n"/>
      <c r="BF125" s="946" t="n"/>
      <c r="BG125" s="946" t="n"/>
      <c r="BH125" s="946" t="n"/>
      <c r="BI125" s="1111" t="n"/>
      <c r="BJ125" s="1117" t="n"/>
      <c r="BK125" s="946" t="n"/>
      <c r="BL125" s="946" t="n"/>
      <c r="BM125" s="946" t="n"/>
      <c r="BN125" s="946" t="n"/>
      <c r="BO125" s="1111" t="n"/>
      <c r="BP125" s="1117" t="n"/>
      <c r="BQ125" s="946" t="n"/>
      <c r="BR125" s="946" t="n"/>
      <c r="BS125" s="946" t="n"/>
      <c r="BT125" s="1111" t="n"/>
      <c r="BU125" s="1117" t="n"/>
      <c r="BV125" s="946" t="n"/>
      <c r="BW125" s="946" t="n"/>
      <c r="BX125" s="946" t="n"/>
      <c r="BY125" s="946" t="n"/>
      <c r="BZ125" s="1118" t="n"/>
    </row>
    <row r="126" ht="16.5" customHeight="1" s="838">
      <c r="B126" s="756" t="n"/>
      <c r="C126" s="738" t="n"/>
      <c r="D126" s="738" t="n"/>
      <c r="E126" s="739" t="n"/>
      <c r="F126" s="368" t="inlineStr">
        <is>
          <t>`26 실적</t>
        </is>
      </c>
      <c r="G126" s="1119" t="n">
        <v>56.435746</v>
      </c>
      <c r="H126" s="945" t="n">
        <v>28.640276</v>
      </c>
      <c r="I126" s="945" t="n">
        <v>43.431834</v>
      </c>
      <c r="J126" s="945" t="n">
        <v>43.431834</v>
      </c>
      <c r="K126" s="945" t="n">
        <v>43.431834</v>
      </c>
      <c r="L126" s="945" t="n">
        <v>43.431834</v>
      </c>
      <c r="M126" s="1119" t="n">
        <v>22.341135</v>
      </c>
      <c r="N126" s="945" t="n">
        <v>10.915495</v>
      </c>
      <c r="O126" s="945" t="n">
        <v>10.915495</v>
      </c>
      <c r="P126" s="945" t="n">
        <v>10.915495</v>
      </c>
      <c r="Q126" s="947" t="n">
        <v>19.697193</v>
      </c>
      <c r="R126" s="944" t="n">
        <v>21.306761</v>
      </c>
      <c r="S126" s="945" t="n">
        <v>53.613326</v>
      </c>
      <c r="T126" s="945" t="n">
        <v>53.613326</v>
      </c>
      <c r="U126" s="945" t="n">
        <v>29.979821</v>
      </c>
      <c r="V126" s="945" t="n">
        <v>29.979821</v>
      </c>
      <c r="W126" s="945" t="n">
        <v>53.613326</v>
      </c>
      <c r="X126" s="1119" t="n">
        <v>35.687933</v>
      </c>
      <c r="Y126" s="945" t="n">
        <v>40.508874</v>
      </c>
      <c r="Z126" s="945" t="n">
        <v>40.508874</v>
      </c>
      <c r="AA126" s="945" t="n">
        <v>39.958826</v>
      </c>
      <c r="AB126" s="945" t="n">
        <v>40.508874</v>
      </c>
      <c r="AC126" s="947" t="n">
        <v>39.958826</v>
      </c>
      <c r="AD126" s="1121" t="n"/>
      <c r="AE126" s="945" t="n"/>
      <c r="AF126" s="945" t="n"/>
      <c r="AG126" s="945" t="n"/>
      <c r="AH126" s="945" t="n"/>
      <c r="AI126" s="945" t="n"/>
      <c r="AJ126" s="947" t="n"/>
      <c r="AK126" s="944" t="n"/>
      <c r="AL126" s="945" t="n"/>
      <c r="AM126" s="945" t="n"/>
      <c r="AN126" s="945" t="n"/>
      <c r="AO126" s="945" t="n"/>
      <c r="AP126" s="945" t="n"/>
      <c r="AQ126" s="1122" t="n"/>
      <c r="AR126" s="1123" t="n"/>
      <c r="AS126" s="945" t="n"/>
      <c r="AT126" s="945" t="n"/>
      <c r="AU126" s="945" t="n"/>
      <c r="AV126" s="945" t="n"/>
      <c r="AW126" s="1124" t="n"/>
      <c r="AX126" s="945" t="n"/>
      <c r="AY126" s="945" t="n"/>
      <c r="AZ126" s="945" t="n"/>
      <c r="BA126" s="945" t="n"/>
      <c r="BB126" s="945" t="n"/>
      <c r="BC126" s="947" t="n"/>
      <c r="BD126" s="1124" t="n"/>
      <c r="BE126" s="945" t="n"/>
      <c r="BF126" s="945" t="n"/>
      <c r="BG126" s="945" t="n"/>
      <c r="BH126" s="945" t="n"/>
      <c r="BI126" s="947" t="n"/>
      <c r="BJ126" s="1124" t="n"/>
      <c r="BK126" s="945" t="n"/>
      <c r="BL126" s="945" t="n"/>
      <c r="BM126" s="945" t="n"/>
      <c r="BN126" s="945" t="n"/>
      <c r="BO126" s="947" t="n"/>
      <c r="BP126" s="1124" t="n"/>
      <c r="BQ126" s="945" t="n"/>
      <c r="BR126" s="945" t="n"/>
      <c r="BS126" s="945" t="n"/>
      <c r="BT126" s="947" t="n"/>
      <c r="BU126" s="1124" t="n"/>
      <c r="BV126" s="945" t="n"/>
      <c r="BW126" s="945" t="n"/>
      <c r="BX126" s="945" t="n"/>
      <c r="BY126" s="945" t="n"/>
      <c r="BZ126" s="948" t="n"/>
    </row>
    <row r="127" ht="16.5" customHeight="1" s="838">
      <c r="B127" s="756" t="n"/>
      <c r="C127" s="738" t="n"/>
      <c r="D127" s="738" t="n"/>
      <c r="E127" s="778" t="inlineStr">
        <is>
          <t>가공비</t>
        </is>
      </c>
      <c r="F127" s="220" t="inlineStr">
        <is>
          <t>`25 실적</t>
        </is>
      </c>
      <c r="G127" s="1104" t="n">
        <v>2.40413837</v>
      </c>
      <c r="H127" s="941" t="n">
        <v>2.40413837</v>
      </c>
      <c r="I127" s="941" t="n">
        <v>2.40413837</v>
      </c>
      <c r="J127" s="941" t="n">
        <v>2.40413837</v>
      </c>
      <c r="K127" s="941" t="n">
        <v>2.40413837</v>
      </c>
      <c r="L127" s="941" t="n">
        <v>2.40413837</v>
      </c>
      <c r="M127" s="1104" t="n">
        <v>1.97030188</v>
      </c>
      <c r="N127" s="941" t="n">
        <v>1.97030188</v>
      </c>
      <c r="O127" s="941" t="n">
        <v>1.97030188</v>
      </c>
      <c r="P127" s="941" t="n">
        <v>1.97030188</v>
      </c>
      <c r="Q127" s="942" t="n">
        <v>1.97030188</v>
      </c>
      <c r="R127" s="1105" t="n">
        <v>4.07690453</v>
      </c>
      <c r="S127" s="941" t="n">
        <v>4.07690453</v>
      </c>
      <c r="T127" s="941" t="n">
        <v>4.07690453</v>
      </c>
      <c r="U127" s="941" t="n">
        <v>4.07690453</v>
      </c>
      <c r="V127" s="941" t="n">
        <v>4.07690453</v>
      </c>
      <c r="W127" s="941" t="n">
        <v>4.07690453</v>
      </c>
      <c r="X127" s="1104" t="n">
        <v>1.72320552</v>
      </c>
      <c r="Y127" s="941" t="n">
        <v>1.72320552</v>
      </c>
      <c r="Z127" s="941" t="n">
        <v>1.72320552</v>
      </c>
      <c r="AA127" s="941" t="n">
        <v>1.72320552</v>
      </c>
      <c r="AB127" s="941" t="n">
        <v>1.72320552</v>
      </c>
      <c r="AC127" s="942" t="n">
        <v>1.72320552</v>
      </c>
      <c r="AD127" s="1106" t="n"/>
      <c r="AE127" s="941" t="n"/>
      <c r="AF127" s="941" t="n"/>
      <c r="AG127" s="941" t="n"/>
      <c r="AH127" s="941" t="n"/>
      <c r="AI127" s="941" t="n"/>
      <c r="AJ127" s="942" t="n"/>
      <c r="AK127" s="940" t="n"/>
      <c r="AL127" s="941" t="n"/>
      <c r="AM127" s="941" t="n"/>
      <c r="AN127" s="941" t="n"/>
      <c r="AO127" s="941" t="n"/>
      <c r="AP127" s="941" t="n"/>
      <c r="AQ127" s="1107" t="n"/>
      <c r="AR127" s="1108" t="n"/>
      <c r="AS127" s="941" t="n"/>
      <c r="AT127" s="941" t="n"/>
      <c r="AU127" s="941" t="n"/>
      <c r="AV127" s="941" t="n"/>
      <c r="AW127" s="1109" t="n"/>
      <c r="AX127" s="941" t="n"/>
      <c r="AY127" s="941" t="n"/>
      <c r="AZ127" s="941" t="n"/>
      <c r="BA127" s="941" t="n"/>
      <c r="BB127" s="941" t="n"/>
      <c r="BC127" s="942" t="n"/>
      <c r="BD127" s="1109" t="n"/>
      <c r="BE127" s="941" t="n"/>
      <c r="BF127" s="941" t="n"/>
      <c r="BG127" s="941" t="n"/>
      <c r="BH127" s="941" t="n"/>
      <c r="BI127" s="942" t="n"/>
      <c r="BJ127" s="1109" t="n"/>
      <c r="BK127" s="941" t="n"/>
      <c r="BL127" s="941" t="n"/>
      <c r="BM127" s="941" t="n"/>
      <c r="BN127" s="941" t="n"/>
      <c r="BO127" s="942" t="n"/>
      <c r="BP127" s="1109" t="n"/>
      <c r="BQ127" s="941" t="n"/>
      <c r="BR127" s="941" t="n"/>
      <c r="BS127" s="941" t="n"/>
      <c r="BT127" s="942" t="n"/>
      <c r="BU127" s="1109" t="n"/>
      <c r="BV127" s="941" t="n"/>
      <c r="BW127" s="941" t="n"/>
      <c r="BX127" s="941" t="n"/>
      <c r="BY127" s="941" t="n"/>
      <c r="BZ127" s="943" t="n"/>
    </row>
    <row r="128" ht="16.5" customHeight="1" s="838">
      <c r="B128" s="756" t="n"/>
      <c r="C128" s="738" t="n"/>
      <c r="D128" s="738" t="n"/>
      <c r="E128" s="738" t="n"/>
      <c r="F128" s="151" t="inlineStr">
        <is>
          <t>`26 목표</t>
        </is>
      </c>
      <c r="G128" s="1110" t="n">
        <v>1.15377785</v>
      </c>
      <c r="H128" s="946" t="n">
        <v>2.28778716</v>
      </c>
      <c r="I128" s="946" t="n">
        <v>2.28778716</v>
      </c>
      <c r="J128" s="946" t="n">
        <v>2.28778716</v>
      </c>
      <c r="K128" s="946" t="n">
        <v>2.28778716</v>
      </c>
      <c r="L128" s="946" t="n">
        <v>2.28778716</v>
      </c>
      <c r="M128" s="1110" t="n">
        <v>2.1286979</v>
      </c>
      <c r="N128" s="946" t="n">
        <v>2.31004356</v>
      </c>
      <c r="O128" s="946" t="n">
        <v>2.31004356</v>
      </c>
      <c r="P128" s="946" t="n">
        <v>2.31004356</v>
      </c>
      <c r="Q128" s="1111" t="n">
        <v>2.31004356</v>
      </c>
      <c r="R128" s="1112" t="n">
        <v>3.30093658</v>
      </c>
      <c r="S128" s="946" t="n">
        <v>1.83716893</v>
      </c>
      <c r="T128" s="946" t="n">
        <v>1.83716893</v>
      </c>
      <c r="U128" s="946" t="n">
        <v>1.83716893</v>
      </c>
      <c r="V128" s="946" t="n">
        <v>1.83716893</v>
      </c>
      <c r="W128" s="946" t="n">
        <v>1.83716893</v>
      </c>
      <c r="X128" s="1110" t="n">
        <v>2.94118735</v>
      </c>
      <c r="Y128" s="946" t="n">
        <v>2.94118735</v>
      </c>
      <c r="Z128" s="946" t="n">
        <v>2.94118735</v>
      </c>
      <c r="AA128" s="946" t="n">
        <v>2.94118735</v>
      </c>
      <c r="AB128" s="946" t="n">
        <v>2.94118735</v>
      </c>
      <c r="AC128" s="1111" t="n">
        <v>2.94118735</v>
      </c>
      <c r="AD128" s="1113" t="n"/>
      <c r="AE128" s="946" t="n"/>
      <c r="AF128" s="946" t="n"/>
      <c r="AG128" s="946" t="n"/>
      <c r="AH128" s="946" t="n"/>
      <c r="AI128" s="946" t="n"/>
      <c r="AJ128" s="1111" t="n"/>
      <c r="AK128" s="1114" t="n"/>
      <c r="AL128" s="946" t="n"/>
      <c r="AM128" s="946" t="n"/>
      <c r="AN128" s="946" t="n"/>
      <c r="AO128" s="946" t="n"/>
      <c r="AP128" s="946" t="n"/>
      <c r="AQ128" s="1115" t="n"/>
      <c r="AR128" s="1116" t="n"/>
      <c r="AS128" s="946" t="n"/>
      <c r="AT128" s="946" t="n"/>
      <c r="AU128" s="946" t="n"/>
      <c r="AV128" s="946" t="n"/>
      <c r="AW128" s="1117" t="n"/>
      <c r="AX128" s="946" t="n"/>
      <c r="AY128" s="946" t="n"/>
      <c r="AZ128" s="946" t="n"/>
      <c r="BA128" s="946" t="n"/>
      <c r="BB128" s="946" t="n"/>
      <c r="BC128" s="1111" t="n"/>
      <c r="BD128" s="1117" t="n"/>
      <c r="BE128" s="946" t="n"/>
      <c r="BF128" s="946" t="n"/>
      <c r="BG128" s="946" t="n"/>
      <c r="BH128" s="946" t="n"/>
      <c r="BI128" s="1111" t="n"/>
      <c r="BJ128" s="1117" t="n"/>
      <c r="BK128" s="946" t="n"/>
      <c r="BL128" s="946" t="n"/>
      <c r="BM128" s="946" t="n"/>
      <c r="BN128" s="946" t="n"/>
      <c r="BO128" s="1111" t="n"/>
      <c r="BP128" s="1117" t="n"/>
      <c r="BQ128" s="946" t="n"/>
      <c r="BR128" s="946" t="n"/>
      <c r="BS128" s="946" t="n"/>
      <c r="BT128" s="1111" t="n"/>
      <c r="BU128" s="1117" t="n"/>
      <c r="BV128" s="946" t="n"/>
      <c r="BW128" s="946" t="n"/>
      <c r="BX128" s="946" t="n"/>
      <c r="BY128" s="946" t="n"/>
      <c r="BZ128" s="1118" t="n"/>
    </row>
    <row r="129" ht="16.5" customHeight="1" s="838">
      <c r="B129" s="756" t="n"/>
      <c r="C129" s="738" t="n"/>
      <c r="D129" s="739" t="n"/>
      <c r="E129" s="739" t="n"/>
      <c r="F129" s="134" t="inlineStr">
        <is>
          <t>`26 실적</t>
        </is>
      </c>
      <c r="G129" s="1119" t="n">
        <v>1.30448241</v>
      </c>
      <c r="H129" s="945" t="n">
        <v>2.72417375</v>
      </c>
      <c r="I129" s="945" t="n">
        <v>2.38969401</v>
      </c>
      <c r="J129" s="945" t="n">
        <v>2.38969401</v>
      </c>
      <c r="K129" s="945" t="n">
        <v>2.38969401</v>
      </c>
      <c r="L129" s="945" t="n">
        <v>2.38969401</v>
      </c>
      <c r="M129" s="1119" t="n">
        <v>3.05134468</v>
      </c>
      <c r="N129" s="945" t="n">
        <v>1.49634588</v>
      </c>
      <c r="O129" s="945" t="n">
        <v>1.49634588</v>
      </c>
      <c r="P129" s="945" t="n">
        <v>1.49634588</v>
      </c>
      <c r="Q129" s="947" t="n">
        <v>0.96060433</v>
      </c>
      <c r="R129" s="1120" t="n">
        <v>2.0866085</v>
      </c>
      <c r="S129" s="945" t="n">
        <v>1.51322528</v>
      </c>
      <c r="T129" s="945" t="n">
        <v>1.51322528</v>
      </c>
      <c r="U129" s="945" t="n">
        <v>2.67368203</v>
      </c>
      <c r="V129" s="945" t="n">
        <v>2.67368203</v>
      </c>
      <c r="W129" s="945" t="n">
        <v>1.51322528</v>
      </c>
      <c r="X129" s="1119" t="n">
        <v>1.84738241</v>
      </c>
      <c r="Y129" s="945" t="n">
        <v>1.93999344</v>
      </c>
      <c r="Z129" s="945" t="n">
        <v>1.93999344</v>
      </c>
      <c r="AA129" s="945" t="n">
        <v>1.94043622</v>
      </c>
      <c r="AB129" s="945" t="n">
        <v>1.93999344</v>
      </c>
      <c r="AC129" s="947" t="n">
        <v>1.94043622</v>
      </c>
      <c r="AD129" s="1121" t="n"/>
      <c r="AE129" s="945" t="n"/>
      <c r="AF129" s="945" t="n"/>
      <c r="AG129" s="945" t="n"/>
      <c r="AH129" s="945" t="n"/>
      <c r="AI129" s="945" t="n"/>
      <c r="AJ129" s="947" t="n"/>
      <c r="AK129" s="944" t="n"/>
      <c r="AL129" s="945" t="n"/>
      <c r="AM129" s="945" t="n"/>
      <c r="AN129" s="945" t="n"/>
      <c r="AO129" s="945" t="n"/>
      <c r="AP129" s="945" t="n"/>
      <c r="AQ129" s="1122" t="n"/>
      <c r="AR129" s="1123" t="n"/>
      <c r="AS129" s="945" t="n"/>
      <c r="AT129" s="945" t="n"/>
      <c r="AU129" s="945" t="n"/>
      <c r="AV129" s="945" t="n"/>
      <c r="AW129" s="1124" t="n"/>
      <c r="AX129" s="945" t="n"/>
      <c r="AY129" s="945" t="n"/>
      <c r="AZ129" s="945" t="n"/>
      <c r="BA129" s="945" t="n"/>
      <c r="BB129" s="945" t="n"/>
      <c r="BC129" s="947" t="n"/>
      <c r="BD129" s="1124" t="n"/>
      <c r="BE129" s="945" t="n"/>
      <c r="BF129" s="945" t="n"/>
      <c r="BG129" s="945" t="n"/>
      <c r="BH129" s="945" t="n"/>
      <c r="BI129" s="947" t="n"/>
      <c r="BJ129" s="1124" t="n"/>
      <c r="BK129" s="945" t="n"/>
      <c r="BL129" s="945" t="n"/>
      <c r="BM129" s="945" t="n"/>
      <c r="BN129" s="945" t="n"/>
      <c r="BO129" s="947" t="n"/>
      <c r="BP129" s="1124" t="n"/>
      <c r="BQ129" s="945" t="n"/>
      <c r="BR129" s="945" t="n"/>
      <c r="BS129" s="945" t="n"/>
      <c r="BT129" s="947" t="n"/>
      <c r="BU129" s="1124" t="n"/>
      <c r="BV129" s="945" t="n"/>
      <c r="BW129" s="945" t="n"/>
      <c r="BX129" s="945" t="n"/>
      <c r="BY129" s="945" t="n"/>
      <c r="BZ129" s="948" t="n"/>
    </row>
    <row r="130" ht="16.5" customHeight="1" s="838">
      <c r="B130" s="756" t="n"/>
      <c r="C130" s="738" t="n"/>
      <c r="D130" s="737" t="inlineStr">
        <is>
          <t>지역7</t>
        </is>
      </c>
      <c r="E130" s="737" t="inlineStr">
        <is>
          <t>가공비율</t>
        </is>
      </c>
      <c r="F130" s="220" t="inlineStr">
        <is>
          <t>`25 실적</t>
        </is>
      </c>
      <c r="G130" s="1069">
        <f>G136/G133</f>
        <v/>
      </c>
      <c r="H130" s="930">
        <f>H136/H133</f>
        <v/>
      </c>
      <c r="I130" s="930">
        <f>I136/I133</f>
        <v/>
      </c>
      <c r="J130" s="930">
        <f>J136/J133</f>
        <v/>
      </c>
      <c r="K130" s="930">
        <f>K136/K133</f>
        <v/>
      </c>
      <c r="L130" s="930">
        <f>L136/L133</f>
        <v/>
      </c>
      <c r="M130" s="1069">
        <f>M136/M133</f>
        <v/>
      </c>
      <c r="N130" s="930">
        <f>N136/N133</f>
        <v/>
      </c>
      <c r="O130" s="930">
        <f>O136/O133</f>
        <v/>
      </c>
      <c r="P130" s="930">
        <f>P136/P133</f>
        <v/>
      </c>
      <c r="Q130" s="933">
        <f>Q136/Q133</f>
        <v/>
      </c>
      <c r="R130" s="1070">
        <f>R136/R133</f>
        <v/>
      </c>
      <c r="S130" s="930">
        <f>S136/S133</f>
        <v/>
      </c>
      <c r="T130" s="930">
        <f>T136/T133</f>
        <v/>
      </c>
      <c r="U130" s="930">
        <f>U136/U133</f>
        <v/>
      </c>
      <c r="V130" s="930">
        <f>V136/V133</f>
        <v/>
      </c>
      <c r="W130" s="930">
        <f>W136/W133</f>
        <v/>
      </c>
      <c r="X130" s="1069">
        <f>X136/X133</f>
        <v/>
      </c>
      <c r="Y130" s="930">
        <f>Y136/Y133</f>
        <v/>
      </c>
      <c r="Z130" s="930">
        <f>Z136/Z133</f>
        <v/>
      </c>
      <c r="AA130" s="930">
        <f>AA136/AA133</f>
        <v/>
      </c>
      <c r="AB130" s="930">
        <f>AB136/AB133</f>
        <v/>
      </c>
      <c r="AC130" s="933">
        <f>AC136/AC133</f>
        <v/>
      </c>
      <c r="AD130" s="1071" t="n"/>
      <c r="AE130" s="930" t="n"/>
      <c r="AF130" s="930" t="n"/>
      <c r="AG130" s="930" t="n"/>
      <c r="AH130" s="930" t="n"/>
      <c r="AI130" s="930" t="n"/>
      <c r="AJ130" s="933" t="n"/>
      <c r="AK130" s="932" t="n"/>
      <c r="AL130" s="930" t="n"/>
      <c r="AM130" s="930" t="n"/>
      <c r="AN130" s="930" t="n"/>
      <c r="AO130" s="930" t="n"/>
      <c r="AP130" s="930" t="n"/>
      <c r="AQ130" s="1072" t="n"/>
      <c r="AR130" s="1073" t="n"/>
      <c r="AS130" s="930" t="n"/>
      <c r="AT130" s="930" t="n"/>
      <c r="AU130" s="930" t="n"/>
      <c r="AV130" s="930" t="n"/>
      <c r="AW130" s="1074" t="n"/>
      <c r="AX130" s="930" t="n"/>
      <c r="AY130" s="930" t="n"/>
      <c r="AZ130" s="930" t="n"/>
      <c r="BA130" s="930" t="n"/>
      <c r="BB130" s="930" t="n"/>
      <c r="BC130" s="933" t="n"/>
      <c r="BD130" s="1074" t="n"/>
      <c r="BE130" s="930" t="n"/>
      <c r="BF130" s="930" t="n"/>
      <c r="BG130" s="930" t="n"/>
      <c r="BH130" s="930" t="n"/>
      <c r="BI130" s="933" t="n"/>
      <c r="BJ130" s="1074" t="n"/>
      <c r="BK130" s="930" t="n"/>
      <c r="BL130" s="930" t="n"/>
      <c r="BM130" s="930" t="n"/>
      <c r="BN130" s="930" t="n"/>
      <c r="BO130" s="933" t="n"/>
      <c r="BP130" s="1074" t="n"/>
      <c r="BQ130" s="930" t="n"/>
      <c r="BR130" s="930" t="n"/>
      <c r="BS130" s="930" t="n"/>
      <c r="BT130" s="933" t="n"/>
      <c r="BU130" s="1074" t="n"/>
      <c r="BV130" s="930" t="n"/>
      <c r="BW130" s="930" t="n"/>
      <c r="BX130" s="930" t="n"/>
      <c r="BY130" s="930" t="n"/>
      <c r="BZ130" s="934" t="n"/>
    </row>
    <row r="131" ht="16.5" customHeight="1" s="838">
      <c r="B131" s="756" t="n"/>
      <c r="C131" s="738" t="n"/>
      <c r="D131" s="738" t="n"/>
      <c r="E131" s="738" t="n"/>
      <c r="F131" s="151" t="inlineStr">
        <is>
          <t>`26 목표</t>
        </is>
      </c>
      <c r="G131" s="1036">
        <f>G137/G134</f>
        <v/>
      </c>
      <c r="H131" s="931">
        <f>H137/H134</f>
        <v/>
      </c>
      <c r="I131" s="931">
        <f>I137/I134</f>
        <v/>
      </c>
      <c r="J131" s="931">
        <f>J137/J134</f>
        <v/>
      </c>
      <c r="K131" s="931">
        <f>K137/K134</f>
        <v/>
      </c>
      <c r="L131" s="931">
        <f>L137/L134</f>
        <v/>
      </c>
      <c r="M131" s="1036">
        <f>M137/M134</f>
        <v/>
      </c>
      <c r="N131" s="931">
        <f>N137/N134</f>
        <v/>
      </c>
      <c r="O131" s="931">
        <f>O137/O134</f>
        <v/>
      </c>
      <c r="P131" s="931">
        <f>P137/P134</f>
        <v/>
      </c>
      <c r="Q131" s="938">
        <f>Q137/Q134</f>
        <v/>
      </c>
      <c r="R131" s="1037">
        <f>R137/R134</f>
        <v/>
      </c>
      <c r="S131" s="931">
        <f>S137/S134</f>
        <v/>
      </c>
      <c r="T131" s="931">
        <f>T137/T134</f>
        <v/>
      </c>
      <c r="U131" s="931">
        <f>U137/U134</f>
        <v/>
      </c>
      <c r="V131" s="931">
        <f>V137/V134</f>
        <v/>
      </c>
      <c r="W131" s="931">
        <f>W137/W134</f>
        <v/>
      </c>
      <c r="X131" s="1036">
        <f>X137/X134</f>
        <v/>
      </c>
      <c r="Y131" s="931">
        <f>Y137/Y134</f>
        <v/>
      </c>
      <c r="Z131" s="931">
        <f>Z137/Z134</f>
        <v/>
      </c>
      <c r="AA131" s="931">
        <f>AA137/AA134</f>
        <v/>
      </c>
      <c r="AB131" s="931">
        <f>AB137/AB134</f>
        <v/>
      </c>
      <c r="AC131" s="938">
        <f>AC137/AC134</f>
        <v/>
      </c>
      <c r="AD131" s="1038" t="n"/>
      <c r="AE131" s="931" t="n"/>
      <c r="AF131" s="931" t="n"/>
      <c r="AG131" s="931" t="n"/>
      <c r="AH131" s="931" t="n"/>
      <c r="AI131" s="931" t="n"/>
      <c r="AJ131" s="938" t="n"/>
      <c r="AK131" s="929" t="n"/>
      <c r="AL131" s="931" t="n"/>
      <c r="AM131" s="931" t="n"/>
      <c r="AN131" s="931" t="n"/>
      <c r="AO131" s="931" t="n"/>
      <c r="AP131" s="931" t="n"/>
      <c r="AQ131" s="1039" t="n"/>
      <c r="AR131" s="1040" t="n"/>
      <c r="AS131" s="931" t="n"/>
      <c r="AT131" s="931" t="n"/>
      <c r="AU131" s="931" t="n"/>
      <c r="AV131" s="931" t="n"/>
      <c r="AW131" s="1041" t="n"/>
      <c r="AX131" s="931" t="n"/>
      <c r="AY131" s="931" t="n"/>
      <c r="AZ131" s="931" t="n"/>
      <c r="BA131" s="931" t="n"/>
      <c r="BB131" s="931" t="n"/>
      <c r="BC131" s="938" t="n"/>
      <c r="BD131" s="1041" t="n"/>
      <c r="BE131" s="931" t="n"/>
      <c r="BF131" s="931" t="n"/>
      <c r="BG131" s="931" t="n"/>
      <c r="BH131" s="931" t="n"/>
      <c r="BI131" s="938" t="n"/>
      <c r="BJ131" s="1041" t="n"/>
      <c r="BK131" s="931" t="n"/>
      <c r="BL131" s="931" t="n"/>
      <c r="BM131" s="931" t="n"/>
      <c r="BN131" s="931" t="n"/>
      <c r="BO131" s="938" t="n"/>
      <c r="BP131" s="1041" t="n"/>
      <c r="BQ131" s="931" t="n"/>
      <c r="BR131" s="931" t="n"/>
      <c r="BS131" s="931" t="n"/>
      <c r="BT131" s="938" t="n"/>
      <c r="BU131" s="1041" t="n"/>
      <c r="BV131" s="931" t="n"/>
      <c r="BW131" s="931" t="n"/>
      <c r="BX131" s="931" t="n"/>
      <c r="BY131" s="931" t="n"/>
      <c r="BZ131" s="939" t="n"/>
    </row>
    <row r="132" ht="16.5" customHeight="1" s="838">
      <c r="B132" s="756" t="n"/>
      <c r="C132" s="738" t="n"/>
      <c r="D132" s="738" t="n"/>
      <c r="E132" s="739" t="n"/>
      <c r="F132" s="134" t="inlineStr">
        <is>
          <t>`26 실적</t>
        </is>
      </c>
      <c r="G132" s="1075">
        <f>G138/G135</f>
        <v/>
      </c>
      <c r="H132" s="922">
        <f>H138/H135</f>
        <v/>
      </c>
      <c r="I132" s="922">
        <f>I138/I135</f>
        <v/>
      </c>
      <c r="J132" s="922">
        <f>J138/J135</f>
        <v/>
      </c>
      <c r="K132" s="922">
        <f>K138/K135</f>
        <v/>
      </c>
      <c r="L132" s="922">
        <f>L138/L135</f>
        <v/>
      </c>
      <c r="M132" s="1075">
        <f>M138/M135</f>
        <v/>
      </c>
      <c r="N132" s="922">
        <f>N138/N135</f>
        <v/>
      </c>
      <c r="O132" s="922">
        <f>O138/O135</f>
        <v/>
      </c>
      <c r="P132" s="922">
        <f>P138/P135</f>
        <v/>
      </c>
      <c r="Q132" s="923">
        <f>Q138/Q135</f>
        <v/>
      </c>
      <c r="R132" s="1076">
        <f>R138/R135</f>
        <v/>
      </c>
      <c r="S132" s="922">
        <f>S138/S135</f>
        <v/>
      </c>
      <c r="T132" s="922">
        <f>T138/T135</f>
        <v/>
      </c>
      <c r="U132" s="922">
        <f>U138/U135</f>
        <v/>
      </c>
      <c r="V132" s="922">
        <f>V138/V135</f>
        <v/>
      </c>
      <c r="W132" s="922">
        <f>W138/W135</f>
        <v/>
      </c>
      <c r="X132" s="1075">
        <f>X138/X135</f>
        <v/>
      </c>
      <c r="Y132" s="922">
        <f>Y138/Y135</f>
        <v/>
      </c>
      <c r="Z132" s="922">
        <f>Z138/Z135</f>
        <v/>
      </c>
      <c r="AA132" s="922">
        <f>AA138/AA135</f>
        <v/>
      </c>
      <c r="AB132" s="922">
        <f>AB138/AB135</f>
        <v/>
      </c>
      <c r="AC132" s="923">
        <f>AC138/AC135</f>
        <v/>
      </c>
      <c r="AD132" s="1077" t="n"/>
      <c r="AE132" s="922" t="n"/>
      <c r="AF132" s="922" t="n"/>
      <c r="AG132" s="922" t="n"/>
      <c r="AH132" s="922" t="n"/>
      <c r="AI132" s="922" t="n"/>
      <c r="AJ132" s="923" t="n"/>
      <c r="AK132" s="921" t="n"/>
      <c r="AL132" s="922" t="n"/>
      <c r="AM132" s="922" t="n"/>
      <c r="AN132" s="922" t="n"/>
      <c r="AO132" s="922" t="n"/>
      <c r="AP132" s="922" t="n"/>
      <c r="AQ132" s="1078" t="n"/>
      <c r="AR132" s="1079" t="n"/>
      <c r="AS132" s="922" t="n"/>
      <c r="AT132" s="922" t="n"/>
      <c r="AU132" s="922" t="n"/>
      <c r="AV132" s="922" t="n"/>
      <c r="AW132" s="320" t="n"/>
      <c r="AX132" s="133" t="n"/>
      <c r="AY132" s="133" t="n"/>
      <c r="AZ132" s="133" t="n"/>
      <c r="BA132" s="133" t="n"/>
      <c r="BB132" s="133" t="n"/>
      <c r="BC132" s="134" t="n"/>
      <c r="BD132" s="320" t="n"/>
      <c r="BE132" s="133" t="n"/>
      <c r="BF132" s="133" t="n"/>
      <c r="BG132" s="133" t="n"/>
      <c r="BH132" s="133" t="n"/>
      <c r="BI132" s="134" t="n"/>
      <c r="BJ132" s="320" t="n"/>
      <c r="BK132" s="133" t="n"/>
      <c r="BL132" s="133" t="n"/>
      <c r="BM132" s="133" t="n"/>
      <c r="BN132" s="133" t="n"/>
      <c r="BO132" s="134" t="n"/>
      <c r="BP132" s="320" t="n"/>
      <c r="BQ132" s="133" t="n"/>
      <c r="BR132" s="133" t="n"/>
      <c r="BS132" s="133" t="n"/>
      <c r="BT132" s="134" t="n"/>
      <c r="BU132" s="320" t="n"/>
      <c r="BV132" s="133" t="n"/>
      <c r="BW132" s="133" t="n"/>
      <c r="BX132" s="133" t="n"/>
      <c r="BY132" s="133" t="n"/>
      <c r="BZ132" s="135" t="n"/>
    </row>
    <row r="133" ht="16.5" customHeight="1" s="838">
      <c r="B133" s="756" t="n"/>
      <c r="C133" s="738" t="n"/>
      <c r="D133" s="738" t="n"/>
      <c r="E133" s="778" t="inlineStr">
        <is>
          <t>생산액</t>
        </is>
      </c>
      <c r="F133" s="220" t="inlineStr">
        <is>
          <t>`25 실적</t>
        </is>
      </c>
      <c r="G133" s="1104" t="n">
        <v>2.312</v>
      </c>
      <c r="H133" s="941" t="n">
        <v>2.312</v>
      </c>
      <c r="I133" s="941" t="n">
        <v>2.312</v>
      </c>
      <c r="J133" s="941" t="n">
        <v>2.312</v>
      </c>
      <c r="K133" s="941" t="n">
        <v>2.312</v>
      </c>
      <c r="L133" s="941" t="n">
        <v>2.312</v>
      </c>
      <c r="M133" s="1104" t="n">
        <v>2.4302642</v>
      </c>
      <c r="N133" s="941" t="n">
        <v>2.4302642</v>
      </c>
      <c r="O133" s="941" t="n">
        <v>2.4302642</v>
      </c>
      <c r="P133" s="941" t="n">
        <v>2.4302642</v>
      </c>
      <c r="Q133" s="942" t="n">
        <v>2.4302642</v>
      </c>
      <c r="R133" s="1105" t="n">
        <v>3.2781743</v>
      </c>
      <c r="S133" s="941" t="n">
        <v>3.2781743</v>
      </c>
      <c r="T133" s="941" t="n">
        <v>3.2781743</v>
      </c>
      <c r="U133" s="941" t="n">
        <v>3.2781743</v>
      </c>
      <c r="V133" s="941" t="n">
        <v>3.2781743</v>
      </c>
      <c r="W133" s="941" t="n">
        <v>3.2781743</v>
      </c>
      <c r="X133" s="1104" t="n">
        <v>4.75136411</v>
      </c>
      <c r="Y133" s="941" t="n">
        <v>4.75136411</v>
      </c>
      <c r="Z133" s="941" t="n">
        <v>4.75136411</v>
      </c>
      <c r="AA133" s="941" t="n">
        <v>4.75136411</v>
      </c>
      <c r="AB133" s="941" t="n">
        <v>4.75136411</v>
      </c>
      <c r="AC133" s="942" t="n">
        <v>4.75136411</v>
      </c>
      <c r="AD133" s="1106" t="n"/>
      <c r="AE133" s="941" t="n"/>
      <c r="AF133" s="941" t="n"/>
      <c r="AG133" s="941" t="n"/>
      <c r="AH133" s="941" t="n"/>
      <c r="AI133" s="941" t="n"/>
      <c r="AJ133" s="942" t="n"/>
      <c r="AK133" s="940" t="n"/>
      <c r="AL133" s="941" t="n"/>
      <c r="AM133" s="941" t="n"/>
      <c r="AN133" s="941" t="n"/>
      <c r="AO133" s="941" t="n"/>
      <c r="AP133" s="941" t="n"/>
      <c r="AQ133" s="1107" t="n"/>
      <c r="AR133" s="1108" t="n"/>
      <c r="AS133" s="941" t="n"/>
      <c r="AT133" s="941" t="n"/>
      <c r="AU133" s="941" t="n"/>
      <c r="AV133" s="941" t="n"/>
      <c r="AW133" s="1109" t="n"/>
      <c r="AX133" s="941" t="n"/>
      <c r="AY133" s="941" t="n"/>
      <c r="AZ133" s="941" t="n"/>
      <c r="BA133" s="941" t="n"/>
      <c r="BB133" s="941" t="n"/>
      <c r="BC133" s="942" t="n"/>
      <c r="BD133" s="1109" t="n"/>
      <c r="BE133" s="941" t="n"/>
      <c r="BF133" s="941" t="n"/>
      <c r="BG133" s="941" t="n"/>
      <c r="BH133" s="941" t="n"/>
      <c r="BI133" s="942" t="n"/>
      <c r="BJ133" s="1109" t="n"/>
      <c r="BK133" s="941" t="n"/>
      <c r="BL133" s="941" t="n"/>
      <c r="BM133" s="941" t="n"/>
      <c r="BN133" s="941" t="n"/>
      <c r="BO133" s="942" t="n"/>
      <c r="BP133" s="1109" t="n"/>
      <c r="BQ133" s="941" t="n"/>
      <c r="BR133" s="941" t="n"/>
      <c r="BS133" s="941" t="n"/>
      <c r="BT133" s="942" t="n"/>
      <c r="BU133" s="1109" t="n"/>
      <c r="BV133" s="941" t="n"/>
      <c r="BW133" s="941" t="n"/>
      <c r="BX133" s="941" t="n"/>
      <c r="BY133" s="941" t="n"/>
      <c r="BZ133" s="943" t="n"/>
    </row>
    <row r="134" ht="16.5" customHeight="1" s="838">
      <c r="B134" s="756" t="n"/>
      <c r="C134" s="738" t="n"/>
      <c r="D134" s="738" t="n"/>
      <c r="E134" s="738" t="n"/>
      <c r="F134" s="151" t="inlineStr">
        <is>
          <t>`26 목표</t>
        </is>
      </c>
      <c r="G134" s="1110" t="n">
        <v>5.95466577</v>
      </c>
      <c r="H134" s="946" t="n">
        <v>4.20998797</v>
      </c>
      <c r="I134" s="946" t="n">
        <v>4.20998797</v>
      </c>
      <c r="J134" s="946" t="n">
        <v>4.20998797</v>
      </c>
      <c r="K134" s="946" t="n">
        <v>4.20998797</v>
      </c>
      <c r="L134" s="946" t="n">
        <v>4.20998797</v>
      </c>
      <c r="M134" s="1110" t="n">
        <v>6.57590526</v>
      </c>
      <c r="N134" s="946" t="n">
        <v>3.94898381</v>
      </c>
      <c r="O134" s="946" t="n">
        <v>3.94898381</v>
      </c>
      <c r="P134" s="946" t="n">
        <v>3.94898381</v>
      </c>
      <c r="Q134" s="1111" t="n">
        <v>3.94898381</v>
      </c>
      <c r="R134" s="1112" t="n">
        <v>6.62506333</v>
      </c>
      <c r="S134" s="946" t="n">
        <v>2.17026355</v>
      </c>
      <c r="T134" s="946" t="n">
        <v>2.17026355</v>
      </c>
      <c r="U134" s="946" t="n">
        <v>2.17026355</v>
      </c>
      <c r="V134" s="946" t="n">
        <v>2.17026355</v>
      </c>
      <c r="W134" s="946" t="n">
        <v>2.17026355</v>
      </c>
      <c r="X134" s="1110" t="n">
        <v>6.62506333</v>
      </c>
      <c r="Y134" s="946" t="n">
        <v>6.62506333</v>
      </c>
      <c r="Z134" s="946" t="n">
        <v>6.62506333</v>
      </c>
      <c r="AA134" s="946" t="n">
        <v>6.62506333</v>
      </c>
      <c r="AB134" s="946" t="n">
        <v>6.62506333</v>
      </c>
      <c r="AC134" s="1111" t="n">
        <v>6.62506333</v>
      </c>
      <c r="AD134" s="1113" t="n"/>
      <c r="AE134" s="946" t="n"/>
      <c r="AF134" s="946" t="n"/>
      <c r="AG134" s="946" t="n"/>
      <c r="AH134" s="946" t="n"/>
      <c r="AI134" s="946" t="n"/>
      <c r="AJ134" s="1111" t="n"/>
      <c r="AK134" s="1114" t="n"/>
      <c r="AL134" s="946" t="n"/>
      <c r="AM134" s="946" t="n"/>
      <c r="AN134" s="946" t="n"/>
      <c r="AO134" s="946" t="n"/>
      <c r="AP134" s="946" t="n"/>
      <c r="AQ134" s="1115" t="n"/>
      <c r="AR134" s="1116" t="n"/>
      <c r="AS134" s="946" t="n"/>
      <c r="AT134" s="946" t="n"/>
      <c r="AU134" s="946" t="n"/>
      <c r="AV134" s="946" t="n"/>
      <c r="AW134" s="1117" t="n"/>
      <c r="AX134" s="946" t="n"/>
      <c r="AY134" s="946" t="n"/>
      <c r="AZ134" s="946" t="n"/>
      <c r="BA134" s="946" t="n"/>
      <c r="BB134" s="946" t="n"/>
      <c r="BC134" s="1111" t="n"/>
      <c r="BD134" s="1117" t="n"/>
      <c r="BE134" s="946" t="n"/>
      <c r="BF134" s="946" t="n"/>
      <c r="BG134" s="946" t="n"/>
      <c r="BH134" s="946" t="n"/>
      <c r="BI134" s="1111" t="n"/>
      <c r="BJ134" s="1117" t="n"/>
      <c r="BK134" s="946" t="n"/>
      <c r="BL134" s="946" t="n"/>
      <c r="BM134" s="946" t="n"/>
      <c r="BN134" s="946" t="n"/>
      <c r="BO134" s="1111" t="n"/>
      <c r="BP134" s="1117" t="n"/>
      <c r="BQ134" s="946" t="n"/>
      <c r="BR134" s="946" t="n"/>
      <c r="BS134" s="946" t="n"/>
      <c r="BT134" s="1111" t="n"/>
      <c r="BU134" s="1117" t="n"/>
      <c r="BV134" s="946" t="n"/>
      <c r="BW134" s="946" t="n"/>
      <c r="BX134" s="946" t="n"/>
      <c r="BY134" s="946" t="n"/>
      <c r="BZ134" s="1118" t="n"/>
    </row>
    <row r="135" ht="16.5" customHeight="1" s="838">
      <c r="B135" s="756" t="n"/>
      <c r="C135" s="738" t="n"/>
      <c r="D135" s="738" t="n"/>
      <c r="E135" s="739" t="n"/>
      <c r="F135" s="134" t="inlineStr">
        <is>
          <t>`26 실적</t>
        </is>
      </c>
      <c r="G135" s="1119" t="n">
        <v>4.97847682</v>
      </c>
      <c r="H135" s="945" t="n">
        <v>4.58291571</v>
      </c>
      <c r="I135" s="945" t="n">
        <v>4.15638723</v>
      </c>
      <c r="J135" s="945" t="n">
        <v>4.15638723</v>
      </c>
      <c r="K135" s="945" t="n">
        <v>4.15638723</v>
      </c>
      <c r="L135" s="945" t="n">
        <v>4.15638723</v>
      </c>
      <c r="M135" s="1119" t="n">
        <v>9.6006202</v>
      </c>
      <c r="N135" s="945" t="n">
        <v>4.34280537</v>
      </c>
      <c r="O135" s="945" t="n">
        <v>4.34280537</v>
      </c>
      <c r="P135" s="945" t="n">
        <v>4.34280537</v>
      </c>
      <c r="Q135" s="947" t="n">
        <v>7.09625237</v>
      </c>
      <c r="R135" s="1120" t="n">
        <v>7.05401135</v>
      </c>
      <c r="S135" s="945" t="n">
        <v>8.265760999999999</v>
      </c>
      <c r="T135" s="945" t="n">
        <v>8.265760999999999</v>
      </c>
      <c r="U135" s="945" t="n">
        <v>7.814027</v>
      </c>
      <c r="V135" s="945" t="n">
        <v>7.814027</v>
      </c>
      <c r="W135" s="945" t="n">
        <v>8.265760999999999</v>
      </c>
      <c r="X135" s="1119" t="n">
        <v>10.319676</v>
      </c>
      <c r="Y135" s="945" t="n">
        <v>8.630043000000001</v>
      </c>
      <c r="Z135" s="945" t="n">
        <v>8.630043000000001</v>
      </c>
      <c r="AA135" s="945" t="n">
        <v>4.86998941</v>
      </c>
      <c r="AB135" s="945" t="n">
        <v>8.630043000000001</v>
      </c>
      <c r="AC135" s="947" t="n">
        <v>4.86998941</v>
      </c>
      <c r="AD135" s="1121" t="n"/>
      <c r="AE135" s="945" t="n"/>
      <c r="AF135" s="945" t="n"/>
      <c r="AG135" s="945" t="n"/>
      <c r="AH135" s="945" t="n"/>
      <c r="AI135" s="945" t="n"/>
      <c r="AJ135" s="947" t="n"/>
      <c r="AK135" s="944" t="n"/>
      <c r="AL135" s="945" t="n"/>
      <c r="AM135" s="945" t="n"/>
      <c r="AN135" s="945" t="n"/>
      <c r="AO135" s="945" t="n"/>
      <c r="AP135" s="945" t="n"/>
      <c r="AQ135" s="1122" t="n"/>
      <c r="AR135" s="1123" t="n"/>
      <c r="AS135" s="945" t="n"/>
      <c r="AT135" s="945" t="n"/>
      <c r="AU135" s="945" t="n"/>
      <c r="AV135" s="945" t="n"/>
      <c r="AW135" s="1124" t="n"/>
      <c r="AX135" s="945" t="n"/>
      <c r="AY135" s="945" t="n"/>
      <c r="AZ135" s="945" t="n"/>
      <c r="BA135" s="945" t="n"/>
      <c r="BB135" s="945" t="n"/>
      <c r="BC135" s="947" t="n"/>
      <c r="BD135" s="1124" t="n"/>
      <c r="BE135" s="945" t="n"/>
      <c r="BF135" s="945" t="n"/>
      <c r="BG135" s="945" t="n"/>
      <c r="BH135" s="945" t="n"/>
      <c r="BI135" s="947" t="n"/>
      <c r="BJ135" s="1124" t="n"/>
      <c r="BK135" s="945" t="n"/>
      <c r="BL135" s="945" t="n"/>
      <c r="BM135" s="945" t="n"/>
      <c r="BN135" s="945" t="n"/>
      <c r="BO135" s="947" t="n"/>
      <c r="BP135" s="1124" t="n"/>
      <c r="BQ135" s="945" t="n"/>
      <c r="BR135" s="945" t="n"/>
      <c r="BS135" s="945" t="n"/>
      <c r="BT135" s="947" t="n"/>
      <c r="BU135" s="1124" t="n"/>
      <c r="BV135" s="945" t="n"/>
      <c r="BW135" s="945" t="n"/>
      <c r="BX135" s="945" t="n"/>
      <c r="BY135" s="945" t="n"/>
      <c r="BZ135" s="948" t="n"/>
    </row>
    <row r="136" ht="16.5" customHeight="1" s="838">
      <c r="B136" s="756" t="n"/>
      <c r="C136" s="738" t="n"/>
      <c r="D136" s="738" t="n"/>
      <c r="E136" s="778" t="inlineStr">
        <is>
          <t>가공비</t>
        </is>
      </c>
      <c r="F136" s="220" t="inlineStr">
        <is>
          <t>`25 실적</t>
        </is>
      </c>
      <c r="G136" s="1104" t="n">
        <v>0.51877736</v>
      </c>
      <c r="H136" s="941" t="n">
        <v>0.51877736</v>
      </c>
      <c r="I136" s="941" t="n">
        <v>0.51877736</v>
      </c>
      <c r="J136" s="941" t="n">
        <v>0.51877736</v>
      </c>
      <c r="K136" s="941" t="n">
        <v>0.51877736</v>
      </c>
      <c r="L136" s="941" t="n">
        <v>0.51877736</v>
      </c>
      <c r="M136" s="1104" t="n">
        <v>0.48489894</v>
      </c>
      <c r="N136" s="941" t="n">
        <v>0.48489894</v>
      </c>
      <c r="O136" s="941" t="n">
        <v>0.48489894</v>
      </c>
      <c r="P136" s="941" t="n">
        <v>0.48489894</v>
      </c>
      <c r="Q136" s="942" t="n">
        <v>0.48489894</v>
      </c>
      <c r="R136" s="1105" t="n">
        <v>0.86628064</v>
      </c>
      <c r="S136" s="941" t="n">
        <v>0.86628064</v>
      </c>
      <c r="T136" s="941" t="n">
        <v>0.86628064</v>
      </c>
      <c r="U136" s="941" t="n">
        <v>0.86628064</v>
      </c>
      <c r="V136" s="941" t="n">
        <v>0.86628064</v>
      </c>
      <c r="W136" s="941" t="n">
        <v>0.86628064</v>
      </c>
      <c r="X136" s="1104" t="n">
        <v>0.95</v>
      </c>
      <c r="Y136" s="941" t="n">
        <v>0.95</v>
      </c>
      <c r="Z136" s="941" t="n">
        <v>0.95</v>
      </c>
      <c r="AA136" s="941" t="n">
        <v>0.95</v>
      </c>
      <c r="AB136" s="941" t="n">
        <v>0.95</v>
      </c>
      <c r="AC136" s="942" t="n">
        <v>0.95</v>
      </c>
      <c r="AD136" s="1106" t="n"/>
      <c r="AE136" s="941" t="n"/>
      <c r="AF136" s="941" t="n"/>
      <c r="AG136" s="941" t="n"/>
      <c r="AH136" s="941" t="n"/>
      <c r="AI136" s="941" t="n"/>
      <c r="AJ136" s="942" t="n"/>
      <c r="AK136" s="940" t="n"/>
      <c r="AL136" s="941" t="n"/>
      <c r="AM136" s="941" t="n"/>
      <c r="AN136" s="941" t="n"/>
      <c r="AO136" s="941" t="n"/>
      <c r="AP136" s="941" t="n"/>
      <c r="AQ136" s="1107" t="n"/>
      <c r="AR136" s="1108" t="n"/>
      <c r="AS136" s="941" t="n"/>
      <c r="AT136" s="941" t="n"/>
      <c r="AU136" s="941" t="n"/>
      <c r="AV136" s="941" t="n"/>
      <c r="AW136" s="1109" t="n"/>
      <c r="AX136" s="941" t="n"/>
      <c r="AY136" s="941" t="n"/>
      <c r="AZ136" s="941" t="n"/>
      <c r="BA136" s="941" t="n"/>
      <c r="BB136" s="941" t="n"/>
      <c r="BC136" s="942" t="n"/>
      <c r="BD136" s="1109" t="n"/>
      <c r="BE136" s="941" t="n"/>
      <c r="BF136" s="941" t="n"/>
      <c r="BG136" s="941" t="n"/>
      <c r="BH136" s="941" t="n"/>
      <c r="BI136" s="942" t="n"/>
      <c r="BJ136" s="1109" t="n"/>
      <c r="BK136" s="941" t="n"/>
      <c r="BL136" s="941" t="n"/>
      <c r="BM136" s="941" t="n"/>
      <c r="BN136" s="941" t="n"/>
      <c r="BO136" s="942" t="n"/>
      <c r="BP136" s="1109" t="n"/>
      <c r="BQ136" s="941" t="n"/>
      <c r="BR136" s="941" t="n"/>
      <c r="BS136" s="941" t="n"/>
      <c r="BT136" s="942" t="n"/>
      <c r="BU136" s="1109" t="n"/>
      <c r="BV136" s="941" t="n"/>
      <c r="BW136" s="941" t="n"/>
      <c r="BX136" s="941" t="n"/>
      <c r="BY136" s="941" t="n"/>
      <c r="BZ136" s="943" t="n"/>
    </row>
    <row r="137" ht="16.5" customHeight="1" s="838">
      <c r="B137" s="756" t="n"/>
      <c r="C137" s="738" t="n"/>
      <c r="D137" s="738" t="n"/>
      <c r="E137" s="738" t="n"/>
      <c r="F137" s="151" t="inlineStr">
        <is>
          <t>`26 목표</t>
        </is>
      </c>
      <c r="G137" s="1110" t="n">
        <v>0.95</v>
      </c>
      <c r="H137" s="946" t="n">
        <v>0.55599473</v>
      </c>
      <c r="I137" s="946" t="n">
        <v>0.55599473</v>
      </c>
      <c r="J137" s="946" t="n">
        <v>0.55599473</v>
      </c>
      <c r="K137" s="946" t="n">
        <v>0.55599473</v>
      </c>
      <c r="L137" s="946" t="n">
        <v>0.55599473</v>
      </c>
      <c r="M137" s="1110" t="n">
        <v>0.62668558</v>
      </c>
      <c r="N137" s="946" t="n">
        <v>0.67944464</v>
      </c>
      <c r="O137" s="946" t="n">
        <v>0.67944464</v>
      </c>
      <c r="P137" s="946" t="n">
        <v>0.67944464</v>
      </c>
      <c r="Q137" s="1111" t="n">
        <v>0.67944464</v>
      </c>
      <c r="R137" s="1112" t="n">
        <v>0.66708871</v>
      </c>
      <c r="S137" s="946" t="n">
        <v>0.56619984</v>
      </c>
      <c r="T137" s="946" t="n">
        <v>0.56619984</v>
      </c>
      <c r="U137" s="946" t="n">
        <v>0.56619984</v>
      </c>
      <c r="V137" s="946" t="n">
        <v>0.56619984</v>
      </c>
      <c r="W137" s="946" t="n">
        <v>0.56619984</v>
      </c>
      <c r="X137" s="1110" t="n">
        <v>0.58289611</v>
      </c>
      <c r="Y137" s="946" t="n">
        <v>0.58289611</v>
      </c>
      <c r="Z137" s="946" t="n">
        <v>0.58289611</v>
      </c>
      <c r="AA137" s="946" t="n">
        <v>0.58289611</v>
      </c>
      <c r="AB137" s="946" t="n">
        <v>0.58289611</v>
      </c>
      <c r="AC137" s="1111" t="n">
        <v>0.58289611</v>
      </c>
      <c r="AD137" s="1113" t="n"/>
      <c r="AE137" s="946" t="n"/>
      <c r="AF137" s="946" t="n"/>
      <c r="AG137" s="946" t="n"/>
      <c r="AH137" s="946" t="n"/>
      <c r="AI137" s="946" t="n"/>
      <c r="AJ137" s="1111" t="n"/>
      <c r="AK137" s="1114" t="n"/>
      <c r="AL137" s="946" t="n"/>
      <c r="AM137" s="946" t="n"/>
      <c r="AN137" s="946" t="n"/>
      <c r="AO137" s="946" t="n"/>
      <c r="AP137" s="946" t="n"/>
      <c r="AQ137" s="1115" t="n"/>
      <c r="AR137" s="1116" t="n"/>
      <c r="AS137" s="946" t="n"/>
      <c r="AT137" s="946" t="n"/>
      <c r="AU137" s="946" t="n"/>
      <c r="AV137" s="946" t="n"/>
      <c r="AW137" s="1117" t="n"/>
      <c r="AX137" s="946" t="n"/>
      <c r="AY137" s="946" t="n"/>
      <c r="AZ137" s="946" t="n"/>
      <c r="BA137" s="946" t="n"/>
      <c r="BB137" s="946" t="n"/>
      <c r="BC137" s="1111" t="n"/>
      <c r="BD137" s="1117" t="n"/>
      <c r="BE137" s="946" t="n"/>
      <c r="BF137" s="946" t="n"/>
      <c r="BG137" s="946" t="n"/>
      <c r="BH137" s="946" t="n"/>
      <c r="BI137" s="1111" t="n"/>
      <c r="BJ137" s="1117" t="n"/>
      <c r="BK137" s="946" t="n"/>
      <c r="BL137" s="946" t="n"/>
      <c r="BM137" s="946" t="n"/>
      <c r="BN137" s="946" t="n"/>
      <c r="BO137" s="1111" t="n"/>
      <c r="BP137" s="1117" t="n"/>
      <c r="BQ137" s="946" t="n"/>
      <c r="BR137" s="946" t="n"/>
      <c r="BS137" s="946" t="n"/>
      <c r="BT137" s="1111" t="n"/>
      <c r="BU137" s="1117" t="n"/>
      <c r="BV137" s="946" t="n"/>
      <c r="BW137" s="946" t="n"/>
      <c r="BX137" s="946" t="n"/>
      <c r="BY137" s="946" t="n"/>
      <c r="BZ137" s="1118" t="n"/>
    </row>
    <row r="138" ht="16.5" customHeight="1" s="838">
      <c r="B138" s="756" t="n"/>
      <c r="C138" s="738" t="n"/>
      <c r="D138" s="739" t="n"/>
      <c r="E138" s="739" t="n"/>
      <c r="F138" s="134" t="inlineStr">
        <is>
          <t>`26 실적</t>
        </is>
      </c>
      <c r="G138" s="1119" t="n">
        <v>0.6273921099999999</v>
      </c>
      <c r="H138" s="945" t="n">
        <v>0.95</v>
      </c>
      <c r="I138" s="945" t="n">
        <v>0.79392884</v>
      </c>
      <c r="J138" s="945" t="n">
        <v>0.79392884</v>
      </c>
      <c r="K138" s="945" t="n">
        <v>0.79392884</v>
      </c>
      <c r="L138" s="945" t="n">
        <v>0.79392884</v>
      </c>
      <c r="M138" s="1119" t="n">
        <v>0.86255313</v>
      </c>
      <c r="N138" s="945" t="n">
        <v>0.61060614</v>
      </c>
      <c r="O138" s="945" t="n">
        <v>0.61060614</v>
      </c>
      <c r="P138" s="945" t="n">
        <v>0.61060614</v>
      </c>
      <c r="Q138" s="947" t="n">
        <v>1.27892422</v>
      </c>
      <c r="R138" s="1120" t="n">
        <v>1.08423351</v>
      </c>
      <c r="S138" s="945" t="n">
        <v>0.68277676</v>
      </c>
      <c r="T138" s="945" t="n">
        <v>0.68277676</v>
      </c>
      <c r="U138" s="945" t="n">
        <v>0.95</v>
      </c>
      <c r="V138" s="945" t="n">
        <v>0.95</v>
      </c>
      <c r="W138" s="945" t="n">
        <v>0.68277676</v>
      </c>
      <c r="X138" s="1119" t="n">
        <v>1.02881248</v>
      </c>
      <c r="Y138" s="945" t="n">
        <v>1.22759251</v>
      </c>
      <c r="Z138" s="945" t="n">
        <v>1.22759251</v>
      </c>
      <c r="AA138" s="945" t="n">
        <v>0.875617</v>
      </c>
      <c r="AB138" s="945" t="n">
        <v>1.22759251</v>
      </c>
      <c r="AC138" s="947" t="n">
        <v>0.875617</v>
      </c>
      <c r="AD138" s="1121" t="n"/>
      <c r="AE138" s="945" t="n"/>
      <c r="AF138" s="945" t="n"/>
      <c r="AG138" s="945" t="n"/>
      <c r="AH138" s="945" t="n"/>
      <c r="AI138" s="945" t="n"/>
      <c r="AJ138" s="947" t="n"/>
      <c r="AK138" s="944" t="n"/>
      <c r="AL138" s="945" t="n"/>
      <c r="AM138" s="945" t="n"/>
      <c r="AN138" s="945" t="n"/>
      <c r="AO138" s="945" t="n"/>
      <c r="AP138" s="945" t="n"/>
      <c r="AQ138" s="1122" t="n"/>
      <c r="AR138" s="1123" t="n"/>
      <c r="AS138" s="945" t="n"/>
      <c r="AT138" s="945" t="n"/>
      <c r="AU138" s="945" t="n"/>
      <c r="AV138" s="945" t="n"/>
      <c r="AW138" s="1124" t="n"/>
      <c r="AX138" s="945" t="n"/>
      <c r="AY138" s="945" t="n"/>
      <c r="AZ138" s="945" t="n"/>
      <c r="BA138" s="945" t="n"/>
      <c r="BB138" s="945" t="n"/>
      <c r="BC138" s="947" t="n"/>
      <c r="BD138" s="1124" t="n"/>
      <c r="BE138" s="945" t="n"/>
      <c r="BF138" s="945" t="n"/>
      <c r="BG138" s="945" t="n"/>
      <c r="BH138" s="945" t="n"/>
      <c r="BI138" s="947" t="n"/>
      <c r="BJ138" s="1124" t="n"/>
      <c r="BK138" s="945" t="n"/>
      <c r="BL138" s="945" t="n"/>
      <c r="BM138" s="945" t="n"/>
      <c r="BN138" s="945" t="n"/>
      <c r="BO138" s="947" t="n"/>
      <c r="BP138" s="1124" t="n"/>
      <c r="BQ138" s="945" t="n"/>
      <c r="BR138" s="945" t="n"/>
      <c r="BS138" s="945" t="n"/>
      <c r="BT138" s="947" t="n"/>
      <c r="BU138" s="1124" t="n"/>
      <c r="BV138" s="945" t="n"/>
      <c r="BW138" s="945" t="n"/>
      <c r="BX138" s="945" t="n"/>
      <c r="BY138" s="945" t="n"/>
      <c r="BZ138" s="948" t="n"/>
    </row>
    <row r="139" ht="16.5" customHeight="1" s="838">
      <c r="B139" s="756" t="n"/>
      <c r="C139" s="738" t="n"/>
      <c r="D139" s="737" t="inlineStr">
        <is>
          <t>지역8</t>
        </is>
      </c>
      <c r="E139" s="737" t="inlineStr">
        <is>
          <t>가공비율</t>
        </is>
      </c>
      <c r="F139" s="220" t="inlineStr">
        <is>
          <t>`25 실적</t>
        </is>
      </c>
      <c r="G139" s="1069">
        <f>G145/G142</f>
        <v/>
      </c>
      <c r="H139" s="930">
        <f>H145/H142</f>
        <v/>
      </c>
      <c r="I139" s="930">
        <f>I145/I142</f>
        <v/>
      </c>
      <c r="J139" s="930">
        <f>J145/J142</f>
        <v/>
      </c>
      <c r="K139" s="930">
        <f>K145/K142</f>
        <v/>
      </c>
      <c r="L139" s="930">
        <f>L145/L142</f>
        <v/>
      </c>
      <c r="M139" s="1069">
        <f>M145/M142</f>
        <v/>
      </c>
      <c r="N139" s="930">
        <f>N145/N142</f>
        <v/>
      </c>
      <c r="O139" s="930">
        <f>O145/O142</f>
        <v/>
      </c>
      <c r="P139" s="930">
        <f>P145/P142</f>
        <v/>
      </c>
      <c r="Q139" s="933">
        <f>Q145/Q142</f>
        <v/>
      </c>
      <c r="R139" s="1070">
        <f>R145/R142</f>
        <v/>
      </c>
      <c r="S139" s="930">
        <f>S145/S142</f>
        <v/>
      </c>
      <c r="T139" s="930">
        <f>T145/T142</f>
        <v/>
      </c>
      <c r="U139" s="930">
        <f>U145/U142</f>
        <v/>
      </c>
      <c r="V139" s="930">
        <f>V145/V142</f>
        <v/>
      </c>
      <c r="W139" s="930">
        <f>W145/W142</f>
        <v/>
      </c>
      <c r="X139" s="1069">
        <f>X145/X142</f>
        <v/>
      </c>
      <c r="Y139" s="930">
        <f>Y145/Y142</f>
        <v/>
      </c>
      <c r="Z139" s="930">
        <f>Z145/Z142</f>
        <v/>
      </c>
      <c r="AA139" s="930">
        <f>AA145/AA142</f>
        <v/>
      </c>
      <c r="AB139" s="930">
        <f>AB145/AB142</f>
        <v/>
      </c>
      <c r="AC139" s="933">
        <f>AC145/AC142</f>
        <v/>
      </c>
      <c r="AD139" s="1071" t="n"/>
      <c r="AE139" s="930" t="n"/>
      <c r="AF139" s="930" t="n"/>
      <c r="AG139" s="930" t="n"/>
      <c r="AH139" s="930" t="n"/>
      <c r="AI139" s="930" t="n"/>
      <c r="AJ139" s="933" t="n"/>
      <c r="AK139" s="932" t="n"/>
      <c r="AL139" s="930" t="n"/>
      <c r="AM139" s="930" t="n"/>
      <c r="AN139" s="930" t="n"/>
      <c r="AO139" s="930" t="n"/>
      <c r="AP139" s="930" t="n"/>
      <c r="AQ139" s="1072" t="n"/>
      <c r="AR139" s="1073" t="n"/>
      <c r="AS139" s="930" t="n"/>
      <c r="AT139" s="930" t="n"/>
      <c r="AU139" s="930" t="n"/>
      <c r="AV139" s="930" t="n"/>
      <c r="AW139" s="1074" t="n"/>
      <c r="AX139" s="930" t="n"/>
      <c r="AY139" s="930" t="n"/>
      <c r="AZ139" s="930" t="n"/>
      <c r="BA139" s="930" t="n"/>
      <c r="BB139" s="930" t="n"/>
      <c r="BC139" s="933" t="n"/>
      <c r="BD139" s="1074" t="n"/>
      <c r="BE139" s="930" t="n"/>
      <c r="BF139" s="930" t="n"/>
      <c r="BG139" s="930" t="n"/>
      <c r="BH139" s="930" t="n"/>
      <c r="BI139" s="933" t="n"/>
      <c r="BJ139" s="1074" t="n"/>
      <c r="BK139" s="930" t="n"/>
      <c r="BL139" s="930" t="n"/>
      <c r="BM139" s="930" t="n"/>
      <c r="BN139" s="930" t="n"/>
      <c r="BO139" s="933" t="n"/>
      <c r="BP139" s="1074" t="n"/>
      <c r="BQ139" s="930" t="n"/>
      <c r="BR139" s="930" t="n"/>
      <c r="BS139" s="930" t="n"/>
      <c r="BT139" s="933" t="n"/>
      <c r="BU139" s="1074" t="n"/>
      <c r="BV139" s="930" t="n"/>
      <c r="BW139" s="930" t="n"/>
      <c r="BX139" s="930" t="n"/>
      <c r="BY139" s="930" t="n"/>
      <c r="BZ139" s="934" t="n"/>
    </row>
    <row r="140" ht="16.5" customHeight="1" s="838">
      <c r="B140" s="756" t="n"/>
      <c r="C140" s="738" t="n"/>
      <c r="D140" s="738" t="n"/>
      <c r="E140" s="738" t="n"/>
      <c r="F140" s="151" t="inlineStr">
        <is>
          <t>`26 목표</t>
        </is>
      </c>
      <c r="G140" s="1036">
        <f>G146/G143</f>
        <v/>
      </c>
      <c r="H140" s="931">
        <f>H146/H143</f>
        <v/>
      </c>
      <c r="I140" s="931">
        <f>I146/I143</f>
        <v/>
      </c>
      <c r="J140" s="931">
        <f>J146/J143</f>
        <v/>
      </c>
      <c r="K140" s="931">
        <f>K146/K143</f>
        <v/>
      </c>
      <c r="L140" s="931">
        <f>L146/L143</f>
        <v/>
      </c>
      <c r="M140" s="1036">
        <f>M146/M143</f>
        <v/>
      </c>
      <c r="N140" s="931">
        <f>N146/N143</f>
        <v/>
      </c>
      <c r="O140" s="931">
        <f>O146/O143</f>
        <v/>
      </c>
      <c r="P140" s="931">
        <f>P146/P143</f>
        <v/>
      </c>
      <c r="Q140" s="938">
        <f>Q146/Q143</f>
        <v/>
      </c>
      <c r="R140" s="1037">
        <f>R146/R143</f>
        <v/>
      </c>
      <c r="S140" s="931">
        <f>S146/S143</f>
        <v/>
      </c>
      <c r="T140" s="931">
        <f>T146/T143</f>
        <v/>
      </c>
      <c r="U140" s="931">
        <f>U146/U143</f>
        <v/>
      </c>
      <c r="V140" s="931">
        <f>V146/V143</f>
        <v/>
      </c>
      <c r="W140" s="931">
        <f>W146/W143</f>
        <v/>
      </c>
      <c r="X140" s="1036">
        <f>X146/X143</f>
        <v/>
      </c>
      <c r="Y140" s="931">
        <f>Y146/Y143</f>
        <v/>
      </c>
      <c r="Z140" s="931">
        <f>Z146/Z143</f>
        <v/>
      </c>
      <c r="AA140" s="931">
        <f>AA146/AA143</f>
        <v/>
      </c>
      <c r="AB140" s="931">
        <f>AB146/AB143</f>
        <v/>
      </c>
      <c r="AC140" s="938">
        <f>AC146/AC143</f>
        <v/>
      </c>
      <c r="AD140" s="1038" t="n"/>
      <c r="AE140" s="931" t="n"/>
      <c r="AF140" s="931" t="n"/>
      <c r="AG140" s="931" t="n"/>
      <c r="AH140" s="931" t="n"/>
      <c r="AI140" s="931" t="n"/>
      <c r="AJ140" s="938" t="n"/>
      <c r="AK140" s="929" t="n"/>
      <c r="AL140" s="931" t="n"/>
      <c r="AM140" s="931" t="n"/>
      <c r="AN140" s="931" t="n"/>
      <c r="AO140" s="931" t="n"/>
      <c r="AP140" s="931" t="n"/>
      <c r="AQ140" s="1039" t="n"/>
      <c r="AR140" s="1040" t="n"/>
      <c r="AS140" s="931" t="n"/>
      <c r="AT140" s="931" t="n"/>
      <c r="AU140" s="931" t="n"/>
      <c r="AV140" s="931" t="n"/>
      <c r="AW140" s="1041" t="n"/>
      <c r="AX140" s="931" t="n"/>
      <c r="AY140" s="931" t="n"/>
      <c r="AZ140" s="931" t="n"/>
      <c r="BA140" s="931" t="n"/>
      <c r="BB140" s="931" t="n"/>
      <c r="BC140" s="938" t="n"/>
      <c r="BD140" s="1041" t="n"/>
      <c r="BE140" s="931" t="n"/>
      <c r="BF140" s="931" t="n"/>
      <c r="BG140" s="931" t="n"/>
      <c r="BH140" s="931" t="n"/>
      <c r="BI140" s="938" t="n"/>
      <c r="BJ140" s="1041" t="n"/>
      <c r="BK140" s="931" t="n"/>
      <c r="BL140" s="931" t="n"/>
      <c r="BM140" s="931" t="n"/>
      <c r="BN140" s="931" t="n"/>
      <c r="BO140" s="938" t="n"/>
      <c r="BP140" s="1041" t="n"/>
      <c r="BQ140" s="931" t="n"/>
      <c r="BR140" s="931" t="n"/>
      <c r="BS140" s="931" t="n"/>
      <c r="BT140" s="938" t="n"/>
      <c r="BU140" s="1041" t="n"/>
      <c r="BV140" s="931" t="n"/>
      <c r="BW140" s="931" t="n"/>
      <c r="BX140" s="931" t="n"/>
      <c r="BY140" s="931" t="n"/>
      <c r="BZ140" s="939" t="n"/>
    </row>
    <row r="141" ht="16.5" customHeight="1" s="838">
      <c r="B141" s="756" t="n"/>
      <c r="C141" s="738" t="n"/>
      <c r="D141" s="738" t="n"/>
      <c r="E141" s="739" t="n"/>
      <c r="F141" s="134" t="inlineStr">
        <is>
          <t>`26 실적</t>
        </is>
      </c>
      <c r="G141" s="1075">
        <f>G147/G144</f>
        <v/>
      </c>
      <c r="H141" s="922">
        <f>H147/H144</f>
        <v/>
      </c>
      <c r="I141" s="922">
        <f>I147/I144</f>
        <v/>
      </c>
      <c r="J141" s="922">
        <f>J147/J144</f>
        <v/>
      </c>
      <c r="K141" s="922">
        <f>K147/K144</f>
        <v/>
      </c>
      <c r="L141" s="922">
        <f>L147/L144</f>
        <v/>
      </c>
      <c r="M141" s="1075">
        <f>M147/M144</f>
        <v/>
      </c>
      <c r="N141" s="922">
        <f>N147/N144</f>
        <v/>
      </c>
      <c r="O141" s="922">
        <f>O147/O144</f>
        <v/>
      </c>
      <c r="P141" s="922">
        <f>P147/P144</f>
        <v/>
      </c>
      <c r="Q141" s="923">
        <f>Q147/Q144</f>
        <v/>
      </c>
      <c r="R141" s="1076">
        <f>R147/R144</f>
        <v/>
      </c>
      <c r="S141" s="922">
        <f>S147/S144</f>
        <v/>
      </c>
      <c r="T141" s="922">
        <f>T147/T144</f>
        <v/>
      </c>
      <c r="U141" s="922">
        <f>U147/U144</f>
        <v/>
      </c>
      <c r="V141" s="922">
        <f>V147/V144</f>
        <v/>
      </c>
      <c r="W141" s="922">
        <f>W147/W144</f>
        <v/>
      </c>
      <c r="X141" s="1075">
        <f>X147/X144</f>
        <v/>
      </c>
      <c r="Y141" s="922">
        <f>Y147/Y144</f>
        <v/>
      </c>
      <c r="Z141" s="922">
        <f>Z147/Z144</f>
        <v/>
      </c>
      <c r="AA141" s="922">
        <f>AA147/AA144</f>
        <v/>
      </c>
      <c r="AB141" s="922">
        <f>AB147/AB144</f>
        <v/>
      </c>
      <c r="AC141" s="923">
        <f>AC147/AC144</f>
        <v/>
      </c>
      <c r="AD141" s="1077" t="n"/>
      <c r="AE141" s="922" t="n"/>
      <c r="AF141" s="922" t="n"/>
      <c r="AG141" s="922" t="n"/>
      <c r="AH141" s="922" t="n"/>
      <c r="AI141" s="922" t="n"/>
      <c r="AJ141" s="923" t="n"/>
      <c r="AK141" s="921" t="n"/>
      <c r="AL141" s="922" t="n"/>
      <c r="AM141" s="922" t="n"/>
      <c r="AN141" s="922" t="n"/>
      <c r="AO141" s="922" t="n"/>
      <c r="AP141" s="922" t="n"/>
      <c r="AQ141" s="1078" t="n"/>
      <c r="AR141" s="1079" t="n"/>
      <c r="AS141" s="922" t="n"/>
      <c r="AT141" s="922" t="n"/>
      <c r="AU141" s="922" t="n"/>
      <c r="AV141" s="922" t="n"/>
      <c r="AW141" s="320" t="n"/>
      <c r="AX141" s="133" t="n"/>
      <c r="AY141" s="133" t="n"/>
      <c r="AZ141" s="133" t="n"/>
      <c r="BA141" s="133" t="n"/>
      <c r="BB141" s="133" t="n"/>
      <c r="BC141" s="134" t="n"/>
      <c r="BD141" s="320" t="n"/>
      <c r="BE141" s="133" t="n"/>
      <c r="BF141" s="133" t="n"/>
      <c r="BG141" s="133" t="n"/>
      <c r="BH141" s="133" t="n"/>
      <c r="BI141" s="134" t="n"/>
      <c r="BJ141" s="320" t="n"/>
      <c r="BK141" s="133" t="n"/>
      <c r="BL141" s="133" t="n"/>
      <c r="BM141" s="133" t="n"/>
      <c r="BN141" s="133" t="n"/>
      <c r="BO141" s="134" t="n"/>
      <c r="BP141" s="320" t="n"/>
      <c r="BQ141" s="133" t="n"/>
      <c r="BR141" s="133" t="n"/>
      <c r="BS141" s="133" t="n"/>
      <c r="BT141" s="134" t="n"/>
      <c r="BU141" s="320" t="n"/>
      <c r="BV141" s="133" t="n"/>
      <c r="BW141" s="133" t="n"/>
      <c r="BX141" s="133" t="n"/>
      <c r="BY141" s="133" t="n"/>
      <c r="BZ141" s="135" t="n"/>
    </row>
    <row r="142" ht="16.5" customHeight="1" s="838">
      <c r="B142" s="756" t="n"/>
      <c r="C142" s="738" t="n"/>
      <c r="D142" s="738" t="n"/>
      <c r="E142" s="778" t="inlineStr">
        <is>
          <t>생산액</t>
        </is>
      </c>
      <c r="F142" s="220" t="inlineStr">
        <is>
          <t>`25 실적</t>
        </is>
      </c>
      <c r="G142" s="1104" t="n">
        <v>88.203755</v>
      </c>
      <c r="H142" s="941" t="n">
        <v>88.203755</v>
      </c>
      <c r="I142" s="941" t="n">
        <v>88.203755</v>
      </c>
      <c r="J142" s="941" t="n">
        <v>88.203755</v>
      </c>
      <c r="K142" s="941" t="n">
        <v>88.203755</v>
      </c>
      <c r="L142" s="941" t="n">
        <v>88.203755</v>
      </c>
      <c r="M142" s="1104" t="n">
        <v>63.904657</v>
      </c>
      <c r="N142" s="941" t="n">
        <v>63.904657</v>
      </c>
      <c r="O142" s="941" t="n">
        <v>63.904657</v>
      </c>
      <c r="P142" s="941" t="n">
        <v>63.904657</v>
      </c>
      <c r="Q142" s="942" t="n">
        <v>63.904657</v>
      </c>
      <c r="R142" s="1105" t="n">
        <v>47.160677</v>
      </c>
      <c r="S142" s="941" t="n">
        <v>47.160677</v>
      </c>
      <c r="T142" s="941" t="n">
        <v>47.160677</v>
      </c>
      <c r="U142" s="941" t="n">
        <v>47.160677</v>
      </c>
      <c r="V142" s="941" t="n">
        <v>47.160677</v>
      </c>
      <c r="W142" s="941" t="n">
        <v>47.160677</v>
      </c>
      <c r="X142" s="1104" t="n">
        <v>71.892239</v>
      </c>
      <c r="Y142" s="941" t="n">
        <v>71.892239</v>
      </c>
      <c r="Z142" s="941" t="n">
        <v>71.892239</v>
      </c>
      <c r="AA142" s="941" t="n">
        <v>71.892239</v>
      </c>
      <c r="AB142" s="941" t="n">
        <v>71.892239</v>
      </c>
      <c r="AC142" s="942" t="n">
        <v>71.892239</v>
      </c>
      <c r="AD142" s="1106" t="n"/>
      <c r="AE142" s="941" t="n"/>
      <c r="AF142" s="941" t="n"/>
      <c r="AG142" s="941" t="n"/>
      <c r="AH142" s="941" t="n"/>
      <c r="AI142" s="941" t="n"/>
      <c r="AJ142" s="942" t="n"/>
      <c r="AK142" s="940" t="n"/>
      <c r="AL142" s="941" t="n"/>
      <c r="AM142" s="941" t="n"/>
      <c r="AN142" s="941" t="n"/>
      <c r="AO142" s="941" t="n"/>
      <c r="AP142" s="941" t="n"/>
      <c r="AQ142" s="1107" t="n"/>
      <c r="AR142" s="1108" t="n"/>
      <c r="AS142" s="941" t="n"/>
      <c r="AT142" s="941" t="n"/>
      <c r="AU142" s="941" t="n"/>
      <c r="AV142" s="941" t="n"/>
      <c r="AW142" s="1109" t="n"/>
      <c r="AX142" s="941" t="n"/>
      <c r="AY142" s="941" t="n"/>
      <c r="AZ142" s="941" t="n"/>
      <c r="BA142" s="941" t="n"/>
      <c r="BB142" s="941" t="n"/>
      <c r="BC142" s="942" t="n"/>
      <c r="BD142" s="1109" t="n"/>
      <c r="BE142" s="941" t="n"/>
      <c r="BF142" s="941" t="n"/>
      <c r="BG142" s="941" t="n"/>
      <c r="BH142" s="941" t="n"/>
      <c r="BI142" s="942" t="n"/>
      <c r="BJ142" s="1109" t="n"/>
      <c r="BK142" s="941" t="n"/>
      <c r="BL142" s="941" t="n"/>
      <c r="BM142" s="941" t="n"/>
      <c r="BN142" s="941" t="n"/>
      <c r="BO142" s="942" t="n"/>
      <c r="BP142" s="1109" t="n"/>
      <c r="BQ142" s="941" t="n"/>
      <c r="BR142" s="941" t="n"/>
      <c r="BS142" s="941" t="n"/>
      <c r="BT142" s="942" t="n"/>
      <c r="BU142" s="1109" t="n"/>
      <c r="BV142" s="941" t="n"/>
      <c r="BW142" s="941" t="n"/>
      <c r="BX142" s="941" t="n"/>
      <c r="BY142" s="941" t="n"/>
      <c r="BZ142" s="943" t="n"/>
    </row>
    <row r="143" ht="16.5" customHeight="1" s="838">
      <c r="B143" s="756" t="n"/>
      <c r="C143" s="738" t="n"/>
      <c r="D143" s="738" t="n"/>
      <c r="E143" s="738" t="n"/>
      <c r="F143" s="151" t="inlineStr">
        <is>
          <t>`26 목표</t>
        </is>
      </c>
      <c r="G143" s="1110" t="n">
        <v>77.12287000000001</v>
      </c>
      <c r="H143" s="946" t="n">
        <v>37.801491</v>
      </c>
      <c r="I143" s="946" t="n">
        <v>37.801491</v>
      </c>
      <c r="J143" s="946" t="n">
        <v>37.801491</v>
      </c>
      <c r="K143" s="946" t="n">
        <v>37.801491</v>
      </c>
      <c r="L143" s="946" t="n">
        <v>37.801491</v>
      </c>
      <c r="M143" s="1110" t="n">
        <v>33.160371</v>
      </c>
      <c r="N143" s="946" t="n">
        <v>54.013131</v>
      </c>
      <c r="O143" s="946" t="n">
        <v>54.013131</v>
      </c>
      <c r="P143" s="946" t="n">
        <v>54.013131</v>
      </c>
      <c r="Q143" s="1111" t="n">
        <v>54.013131</v>
      </c>
      <c r="R143" s="1112" t="n">
        <v>70.57555600000001</v>
      </c>
      <c r="S143" s="946" t="n">
        <v>85.147673</v>
      </c>
      <c r="T143" s="946" t="n">
        <v>85.147673</v>
      </c>
      <c r="U143" s="946" t="n">
        <v>85.147673</v>
      </c>
      <c r="V143" s="946" t="n">
        <v>85.147673</v>
      </c>
      <c r="W143" s="946" t="n">
        <v>85.147673</v>
      </c>
      <c r="X143" s="1110" t="n">
        <v>37.788357</v>
      </c>
      <c r="Y143" s="946" t="n">
        <v>37.788357</v>
      </c>
      <c r="Z143" s="946" t="n">
        <v>37.788357</v>
      </c>
      <c r="AA143" s="946" t="n">
        <v>37.788357</v>
      </c>
      <c r="AB143" s="946" t="n">
        <v>37.788357</v>
      </c>
      <c r="AC143" s="1111" t="n">
        <v>37.788357</v>
      </c>
      <c r="AD143" s="1113" t="n"/>
      <c r="AE143" s="946" t="n"/>
      <c r="AF143" s="946" t="n"/>
      <c r="AG143" s="946" t="n"/>
      <c r="AH143" s="946" t="n"/>
      <c r="AI143" s="946" t="n"/>
      <c r="AJ143" s="1111" t="n"/>
      <c r="AK143" s="1114" t="n"/>
      <c r="AL143" s="946" t="n"/>
      <c r="AM143" s="946" t="n"/>
      <c r="AN143" s="946" t="n"/>
      <c r="AO143" s="946" t="n"/>
      <c r="AP143" s="946" t="n"/>
      <c r="AQ143" s="1115" t="n"/>
      <c r="AR143" s="1116" t="n"/>
      <c r="AS143" s="946" t="n"/>
      <c r="AT143" s="946" t="n"/>
      <c r="AU143" s="946" t="n"/>
      <c r="AV143" s="946" t="n"/>
      <c r="AW143" s="1117" t="n"/>
      <c r="AX143" s="946" t="n"/>
      <c r="AY143" s="946" t="n"/>
      <c r="AZ143" s="946" t="n"/>
      <c r="BA143" s="946" t="n"/>
      <c r="BB143" s="946" t="n"/>
      <c r="BC143" s="1111" t="n"/>
      <c r="BD143" s="1117" t="n"/>
      <c r="BE143" s="946" t="n"/>
      <c r="BF143" s="946" t="n"/>
      <c r="BG143" s="946" t="n"/>
      <c r="BH143" s="946" t="n"/>
      <c r="BI143" s="1111" t="n"/>
      <c r="BJ143" s="1117" t="n"/>
      <c r="BK143" s="946" t="n"/>
      <c r="BL143" s="946" t="n"/>
      <c r="BM143" s="946" t="n"/>
      <c r="BN143" s="946" t="n"/>
      <c r="BO143" s="1111" t="n"/>
      <c r="BP143" s="1117" t="n"/>
      <c r="BQ143" s="946" t="n"/>
      <c r="BR143" s="946" t="n"/>
      <c r="BS143" s="946" t="n"/>
      <c r="BT143" s="1111" t="n"/>
      <c r="BU143" s="1117" t="n"/>
      <c r="BV143" s="946" t="n"/>
      <c r="BW143" s="946" t="n"/>
      <c r="BX143" s="946" t="n"/>
      <c r="BY143" s="946" t="n"/>
      <c r="BZ143" s="1118" t="n"/>
    </row>
    <row r="144" ht="16.5" customHeight="1" s="838">
      <c r="B144" s="756" t="n"/>
      <c r="C144" s="738" t="n"/>
      <c r="D144" s="738" t="n"/>
      <c r="E144" s="739" t="n"/>
      <c r="F144" s="134" t="inlineStr">
        <is>
          <t>`26 실적</t>
        </is>
      </c>
      <c r="G144" s="1119" t="n">
        <v>62.898812</v>
      </c>
      <c r="H144" s="945" t="n">
        <v>91.633962</v>
      </c>
      <c r="I144" s="945" t="n">
        <v>67.730724</v>
      </c>
      <c r="J144" s="945" t="n">
        <v>67.730724</v>
      </c>
      <c r="K144" s="945" t="n">
        <v>67.730724</v>
      </c>
      <c r="L144" s="945" t="n">
        <v>67.730724</v>
      </c>
      <c r="M144" s="1119" t="n">
        <v>67.204239</v>
      </c>
      <c r="N144" s="945" t="n">
        <v>33.354567</v>
      </c>
      <c r="O144" s="945" t="n">
        <v>33.354567</v>
      </c>
      <c r="P144" s="945" t="n">
        <v>57.821402</v>
      </c>
      <c r="Q144" s="947" t="n">
        <v>23.258463</v>
      </c>
      <c r="R144" s="1120" t="n">
        <v>51.756589</v>
      </c>
      <c r="S144" s="945" t="n">
        <v>27.789399</v>
      </c>
      <c r="T144" s="945" t="n">
        <v>27.789399</v>
      </c>
      <c r="U144" s="945" t="n">
        <v>61.232843</v>
      </c>
      <c r="V144" s="945" t="n">
        <v>61.232843</v>
      </c>
      <c r="W144" s="945" t="n">
        <v>27.789399</v>
      </c>
      <c r="X144" s="1119" t="n">
        <v>34.047331</v>
      </c>
      <c r="Y144" s="945" t="n">
        <v>87.248884</v>
      </c>
      <c r="Z144" s="945" t="n">
        <v>47.754423</v>
      </c>
      <c r="AA144" s="945" t="n">
        <v>39.157733</v>
      </c>
      <c r="AB144" s="945" t="n">
        <v>47.754423</v>
      </c>
      <c r="AC144" s="947" t="n">
        <v>39.157733</v>
      </c>
      <c r="AD144" s="1121" t="n"/>
      <c r="AE144" s="945" t="n"/>
      <c r="AF144" s="945" t="n"/>
      <c r="AG144" s="945" t="n"/>
      <c r="AH144" s="945" t="n"/>
      <c r="AI144" s="945" t="n"/>
      <c r="AJ144" s="947" t="n"/>
      <c r="AK144" s="944" t="n"/>
      <c r="AL144" s="945" t="n"/>
      <c r="AM144" s="945" t="n"/>
      <c r="AN144" s="945" t="n"/>
      <c r="AO144" s="945" t="n"/>
      <c r="AP144" s="945" t="n"/>
      <c r="AQ144" s="1122" t="n"/>
      <c r="AR144" s="1123" t="n"/>
      <c r="AS144" s="945" t="n"/>
      <c r="AT144" s="945" t="n"/>
      <c r="AU144" s="945" t="n"/>
      <c r="AV144" s="945" t="n"/>
      <c r="AW144" s="1124" t="n"/>
      <c r="AX144" s="945" t="n"/>
      <c r="AY144" s="945" t="n"/>
      <c r="AZ144" s="945" t="n"/>
      <c r="BA144" s="945" t="n"/>
      <c r="BB144" s="945" t="n"/>
      <c r="BC144" s="947" t="n"/>
      <c r="BD144" s="1124" t="n"/>
      <c r="BE144" s="945" t="n"/>
      <c r="BF144" s="945" t="n"/>
      <c r="BG144" s="945" t="n"/>
      <c r="BH144" s="945" t="n"/>
      <c r="BI144" s="947" t="n"/>
      <c r="BJ144" s="1124" t="n"/>
      <c r="BK144" s="945" t="n"/>
      <c r="BL144" s="945" t="n"/>
      <c r="BM144" s="945" t="n"/>
      <c r="BN144" s="945" t="n"/>
      <c r="BO144" s="947" t="n"/>
      <c r="BP144" s="1124" t="n"/>
      <c r="BQ144" s="945" t="n"/>
      <c r="BR144" s="945" t="n"/>
      <c r="BS144" s="945" t="n"/>
      <c r="BT144" s="947" t="n"/>
      <c r="BU144" s="1124" t="n"/>
      <c r="BV144" s="945" t="n"/>
      <c r="BW144" s="945" t="n"/>
      <c r="BX144" s="945" t="n"/>
      <c r="BY144" s="945" t="n"/>
      <c r="BZ144" s="948" t="n"/>
    </row>
    <row r="145" ht="16.5" customHeight="1" s="838">
      <c r="B145" s="756" t="n"/>
      <c r="C145" s="738" t="n"/>
      <c r="D145" s="738" t="n"/>
      <c r="E145" s="778" t="inlineStr">
        <is>
          <t>가공비</t>
        </is>
      </c>
      <c r="F145" s="220" t="inlineStr">
        <is>
          <t>`25 실적</t>
        </is>
      </c>
      <c r="G145" s="1104" t="n">
        <v>2.64818524</v>
      </c>
      <c r="H145" s="941" t="n">
        <v>2.64818524</v>
      </c>
      <c r="I145" s="941" t="n">
        <v>2.64818524</v>
      </c>
      <c r="J145" s="941" t="n">
        <v>2.64818524</v>
      </c>
      <c r="K145" s="941" t="n">
        <v>2.64818524</v>
      </c>
      <c r="L145" s="941" t="n">
        <v>2.64818524</v>
      </c>
      <c r="M145" s="1104" t="n">
        <v>2.85581054</v>
      </c>
      <c r="N145" s="941" t="n">
        <v>2.85581054</v>
      </c>
      <c r="O145" s="941" t="n">
        <v>2.85581054</v>
      </c>
      <c r="P145" s="941" t="n">
        <v>2.85581054</v>
      </c>
      <c r="Q145" s="942" t="n">
        <v>2.85581054</v>
      </c>
      <c r="R145" s="1105" t="n">
        <v>8.231657050000001</v>
      </c>
      <c r="S145" s="941" t="n">
        <v>8.231657050000001</v>
      </c>
      <c r="T145" s="941" t="n">
        <v>8.231657050000001</v>
      </c>
      <c r="U145" s="941" t="n">
        <v>8.231657050000001</v>
      </c>
      <c r="V145" s="941" t="n">
        <v>8.231657050000001</v>
      </c>
      <c r="W145" s="941" t="n">
        <v>8.231657050000001</v>
      </c>
      <c r="X145" s="1104" t="n">
        <v>6.2339876</v>
      </c>
      <c r="Y145" s="941" t="n">
        <v>6.2339876</v>
      </c>
      <c r="Z145" s="941" t="n">
        <v>6.2339876</v>
      </c>
      <c r="AA145" s="941" t="n">
        <v>6.2339876</v>
      </c>
      <c r="AB145" s="941" t="n">
        <v>6.2339876</v>
      </c>
      <c r="AC145" s="942" t="n">
        <v>6.2339876</v>
      </c>
      <c r="AD145" s="1106" t="n"/>
      <c r="AE145" s="941" t="n"/>
      <c r="AF145" s="941" t="n"/>
      <c r="AG145" s="941" t="n"/>
      <c r="AH145" s="941" t="n"/>
      <c r="AI145" s="941" t="n"/>
      <c r="AJ145" s="942" t="n"/>
      <c r="AK145" s="940" t="n"/>
      <c r="AL145" s="941" t="n"/>
      <c r="AM145" s="941" t="n"/>
      <c r="AN145" s="941" t="n"/>
      <c r="AO145" s="941" t="n"/>
      <c r="AP145" s="941" t="n"/>
      <c r="AQ145" s="1107" t="n"/>
      <c r="AR145" s="1108" t="n"/>
      <c r="AS145" s="941" t="n"/>
      <c r="AT145" s="941" t="n"/>
      <c r="AU145" s="941" t="n"/>
      <c r="AV145" s="941" t="n"/>
      <c r="AW145" s="1109" t="n"/>
      <c r="AX145" s="941" t="n"/>
      <c r="AY145" s="941" t="n"/>
      <c r="AZ145" s="941" t="n"/>
      <c r="BA145" s="941" t="n"/>
      <c r="BB145" s="941" t="n"/>
      <c r="BC145" s="942" t="n"/>
      <c r="BD145" s="1109" t="n"/>
      <c r="BE145" s="941" t="n"/>
      <c r="BF145" s="941" t="n"/>
      <c r="BG145" s="941" t="n"/>
      <c r="BH145" s="941" t="n"/>
      <c r="BI145" s="942" t="n"/>
      <c r="BJ145" s="1109" t="n"/>
      <c r="BK145" s="941" t="n"/>
      <c r="BL145" s="941" t="n"/>
      <c r="BM145" s="941" t="n"/>
      <c r="BN145" s="941" t="n"/>
      <c r="BO145" s="942" t="n"/>
      <c r="BP145" s="1109" t="n"/>
      <c r="BQ145" s="941" t="n"/>
      <c r="BR145" s="941" t="n"/>
      <c r="BS145" s="941" t="n"/>
      <c r="BT145" s="942" t="n"/>
      <c r="BU145" s="1109" t="n"/>
      <c r="BV145" s="941" t="n"/>
      <c r="BW145" s="941" t="n"/>
      <c r="BX145" s="941" t="n"/>
      <c r="BY145" s="941" t="n"/>
      <c r="BZ145" s="943" t="n"/>
    </row>
    <row r="146" ht="16.5" customHeight="1" s="838">
      <c r="B146" s="756" t="n"/>
      <c r="C146" s="738" t="n"/>
      <c r="D146" s="738" t="n"/>
      <c r="E146" s="738" t="n"/>
      <c r="F146" s="151" t="inlineStr">
        <is>
          <t>`26 목표</t>
        </is>
      </c>
      <c r="G146" s="1110" t="n">
        <v>4.32660067</v>
      </c>
      <c r="H146" s="946" t="n">
        <v>4.4772543</v>
      </c>
      <c r="I146" s="946" t="n">
        <v>4.4772543</v>
      </c>
      <c r="J146" s="946" t="n">
        <v>4.4772543</v>
      </c>
      <c r="K146" s="946" t="n">
        <v>4.4772543</v>
      </c>
      <c r="L146" s="946" t="n">
        <v>4.4772543</v>
      </c>
      <c r="M146" s="1110" t="n">
        <v>6.73632542</v>
      </c>
      <c r="N146" s="946" t="n">
        <v>5.85876676</v>
      </c>
      <c r="O146" s="946" t="n">
        <v>5.85876676</v>
      </c>
      <c r="P146" s="946" t="n">
        <v>5.85876676</v>
      </c>
      <c r="Q146" s="1111" t="n">
        <v>5.85876676</v>
      </c>
      <c r="R146" s="1112" t="n">
        <v>6.16662287</v>
      </c>
      <c r="S146" s="946" t="n">
        <v>8.987734290000001</v>
      </c>
      <c r="T146" s="946" t="n">
        <v>8.987734290000001</v>
      </c>
      <c r="U146" s="946" t="n">
        <v>8.987734290000001</v>
      </c>
      <c r="V146" s="946" t="n">
        <v>8.987734290000001</v>
      </c>
      <c r="W146" s="946" t="n">
        <v>8.987734290000001</v>
      </c>
      <c r="X146" s="1110" t="n">
        <v>7.85413729</v>
      </c>
      <c r="Y146" s="946" t="n">
        <v>7.85413729</v>
      </c>
      <c r="Z146" s="946" t="n">
        <v>7.85413729</v>
      </c>
      <c r="AA146" s="946" t="n">
        <v>7.85413729</v>
      </c>
      <c r="AB146" s="946" t="n">
        <v>7.85413729</v>
      </c>
      <c r="AC146" s="1111" t="n">
        <v>7.85413729</v>
      </c>
      <c r="AD146" s="1113" t="n"/>
      <c r="AE146" s="946" t="n"/>
      <c r="AF146" s="946" t="n"/>
      <c r="AG146" s="946" t="n"/>
      <c r="AH146" s="946" t="n"/>
      <c r="AI146" s="946" t="n"/>
      <c r="AJ146" s="1111" t="n"/>
      <c r="AK146" s="1114" t="n"/>
      <c r="AL146" s="946" t="n"/>
      <c r="AM146" s="946" t="n"/>
      <c r="AN146" s="946" t="n"/>
      <c r="AO146" s="946" t="n"/>
      <c r="AP146" s="946" t="n"/>
      <c r="AQ146" s="1115" t="n"/>
      <c r="AR146" s="1116" t="n"/>
      <c r="AS146" s="946" t="n"/>
      <c r="AT146" s="946" t="n"/>
      <c r="AU146" s="946" t="n"/>
      <c r="AV146" s="946" t="n"/>
      <c r="AW146" s="1117" t="n"/>
      <c r="AX146" s="946" t="n"/>
      <c r="AY146" s="946" t="n"/>
      <c r="AZ146" s="946" t="n"/>
      <c r="BA146" s="946" t="n"/>
      <c r="BB146" s="946" t="n"/>
      <c r="BC146" s="1111" t="n"/>
      <c r="BD146" s="1117" t="n"/>
      <c r="BE146" s="946" t="n"/>
      <c r="BF146" s="946" t="n"/>
      <c r="BG146" s="946" t="n"/>
      <c r="BH146" s="946" t="n"/>
      <c r="BI146" s="1111" t="n"/>
      <c r="BJ146" s="1117" t="n"/>
      <c r="BK146" s="946" t="n"/>
      <c r="BL146" s="946" t="n"/>
      <c r="BM146" s="946" t="n"/>
      <c r="BN146" s="946" t="n"/>
      <c r="BO146" s="1111" t="n"/>
      <c r="BP146" s="1117" t="n"/>
      <c r="BQ146" s="946" t="n"/>
      <c r="BR146" s="946" t="n"/>
      <c r="BS146" s="946" t="n"/>
      <c r="BT146" s="1111" t="n"/>
      <c r="BU146" s="1117" t="n"/>
      <c r="BV146" s="946" t="n"/>
      <c r="BW146" s="946" t="n"/>
      <c r="BX146" s="946" t="n"/>
      <c r="BY146" s="946" t="n"/>
      <c r="BZ146" s="1118" t="n"/>
    </row>
    <row r="147" ht="16.5" customHeight="1" s="838">
      <c r="B147" s="756" t="n"/>
      <c r="C147" s="738" t="n"/>
      <c r="D147" s="739" t="n"/>
      <c r="E147" s="739" t="n"/>
      <c r="F147" s="134" t="inlineStr">
        <is>
          <t>`26 실적</t>
        </is>
      </c>
      <c r="G147" s="1119" t="n">
        <v>8.112047260000001</v>
      </c>
      <c r="H147" s="945" t="n">
        <v>3.03750307</v>
      </c>
      <c r="I147" s="945" t="n">
        <v>7.08572551</v>
      </c>
      <c r="J147" s="945" t="n">
        <v>7.08572551</v>
      </c>
      <c r="K147" s="945" t="n">
        <v>7.08572551</v>
      </c>
      <c r="L147" s="945" t="n">
        <v>7.08572551</v>
      </c>
      <c r="M147" s="1119" t="n">
        <v>6.12847024</v>
      </c>
      <c r="N147" s="945" t="n">
        <v>3.79706462</v>
      </c>
      <c r="O147" s="945" t="n">
        <v>3.79706462</v>
      </c>
      <c r="P147" s="945" t="n">
        <v>4.28698515</v>
      </c>
      <c r="Q147" s="947" t="n">
        <v>4.5401864</v>
      </c>
      <c r="R147" s="1120" t="n">
        <v>4.52178781</v>
      </c>
      <c r="S147" s="945" t="n">
        <v>2.95246537</v>
      </c>
      <c r="T147" s="945" t="n">
        <v>2.95246537</v>
      </c>
      <c r="U147" s="945" t="n">
        <v>6.00770534</v>
      </c>
      <c r="V147" s="945" t="n">
        <v>6.00770534</v>
      </c>
      <c r="W147" s="945" t="n">
        <v>2.95246537</v>
      </c>
      <c r="X147" s="1119" t="n">
        <v>6.54506712</v>
      </c>
      <c r="Y147" s="945" t="n">
        <v>4.43057161</v>
      </c>
      <c r="Z147" s="945" t="n">
        <v>4.43057161</v>
      </c>
      <c r="AA147" s="945" t="n">
        <v>7.39537923</v>
      </c>
      <c r="AB147" s="945" t="n">
        <v>4.43057161</v>
      </c>
      <c r="AC147" s="947" t="n">
        <v>7.39537923</v>
      </c>
      <c r="AD147" s="1121" t="n"/>
      <c r="AE147" s="945" t="n"/>
      <c r="AF147" s="945" t="n"/>
      <c r="AG147" s="945" t="n"/>
      <c r="AH147" s="945" t="n"/>
      <c r="AI147" s="945" t="n"/>
      <c r="AJ147" s="947" t="n"/>
      <c r="AK147" s="944" t="n"/>
      <c r="AL147" s="945" t="n"/>
      <c r="AM147" s="945" t="n"/>
      <c r="AN147" s="945" t="n"/>
      <c r="AO147" s="945" t="n"/>
      <c r="AP147" s="945" t="n"/>
      <c r="AQ147" s="1122" t="n"/>
      <c r="AR147" s="1123" t="n"/>
      <c r="AS147" s="945" t="n"/>
      <c r="AT147" s="945" t="n"/>
      <c r="AU147" s="945" t="n"/>
      <c r="AV147" s="945" t="n"/>
      <c r="AW147" s="1124" t="n"/>
      <c r="AX147" s="945" t="n"/>
      <c r="AY147" s="945" t="n"/>
      <c r="AZ147" s="945" t="n"/>
      <c r="BA147" s="945" t="n"/>
      <c r="BB147" s="945" t="n"/>
      <c r="BC147" s="947" t="n"/>
      <c r="BD147" s="1124" t="n"/>
      <c r="BE147" s="945" t="n"/>
      <c r="BF147" s="945" t="n"/>
      <c r="BG147" s="945" t="n"/>
      <c r="BH147" s="945" t="n"/>
      <c r="BI147" s="947" t="n"/>
      <c r="BJ147" s="1124" t="n"/>
      <c r="BK147" s="945" t="n"/>
      <c r="BL147" s="945" t="n"/>
      <c r="BM147" s="945" t="n"/>
      <c r="BN147" s="945" t="n"/>
      <c r="BO147" s="947" t="n"/>
      <c r="BP147" s="1124" t="n"/>
      <c r="BQ147" s="945" t="n"/>
      <c r="BR147" s="945" t="n"/>
      <c r="BS147" s="945" t="n"/>
      <c r="BT147" s="947" t="n"/>
      <c r="BU147" s="1124" t="n"/>
      <c r="BV147" s="945" t="n"/>
      <c r="BW147" s="945" t="n"/>
      <c r="BX147" s="945" t="n"/>
      <c r="BY147" s="945" t="n"/>
      <c r="BZ147" s="948" t="n"/>
    </row>
    <row r="148" ht="16.5" customHeight="1" s="838">
      <c r="B148" s="756" t="n"/>
      <c r="C148" s="738" t="n"/>
      <c r="D148" s="737" t="inlineStr">
        <is>
          <t>지역9</t>
        </is>
      </c>
      <c r="E148" s="737" t="inlineStr">
        <is>
          <t>가공비율</t>
        </is>
      </c>
      <c r="F148" s="220" t="inlineStr">
        <is>
          <t>`25 실적</t>
        </is>
      </c>
      <c r="G148" s="1069">
        <f>G154/G151</f>
        <v/>
      </c>
      <c r="H148" s="930">
        <f>H154/H151</f>
        <v/>
      </c>
      <c r="I148" s="930">
        <f>I154/I151</f>
        <v/>
      </c>
      <c r="J148" s="930">
        <f>J154/J151</f>
        <v/>
      </c>
      <c r="K148" s="930">
        <f>K154/K151</f>
        <v/>
      </c>
      <c r="L148" s="930">
        <f>L154/L151</f>
        <v/>
      </c>
      <c r="M148" s="1069">
        <f>M154/M151</f>
        <v/>
      </c>
      <c r="N148" s="930">
        <f>N154/N151</f>
        <v/>
      </c>
      <c r="O148" s="930">
        <f>O154/O151</f>
        <v/>
      </c>
      <c r="P148" s="930">
        <f>P154/P151</f>
        <v/>
      </c>
      <c r="Q148" s="933">
        <f>Q154/Q151</f>
        <v/>
      </c>
      <c r="R148" s="1070">
        <f>R154/R151</f>
        <v/>
      </c>
      <c r="S148" s="930">
        <f>S154/S151</f>
        <v/>
      </c>
      <c r="T148" s="930">
        <f>T154/T151</f>
        <v/>
      </c>
      <c r="U148" s="930">
        <f>U154/U151</f>
        <v/>
      </c>
      <c r="V148" s="930">
        <f>V154/V151</f>
        <v/>
      </c>
      <c r="W148" s="930">
        <f>W154/W151</f>
        <v/>
      </c>
      <c r="X148" s="1069">
        <f>X154/X151</f>
        <v/>
      </c>
      <c r="Y148" s="930">
        <f>Y154/Y151</f>
        <v/>
      </c>
      <c r="Z148" s="930">
        <f>Z154/Z151</f>
        <v/>
      </c>
      <c r="AA148" s="930">
        <f>AA154/AA151</f>
        <v/>
      </c>
      <c r="AB148" s="930">
        <f>AB154/AB151</f>
        <v/>
      </c>
      <c r="AC148" s="933">
        <f>AC154/AC151</f>
        <v/>
      </c>
      <c r="AD148" s="1071" t="n"/>
      <c r="AE148" s="930" t="n"/>
      <c r="AF148" s="930" t="n"/>
      <c r="AG148" s="930" t="n"/>
      <c r="AH148" s="930" t="n"/>
      <c r="AI148" s="930" t="n"/>
      <c r="AJ148" s="933" t="n"/>
      <c r="AK148" s="932" t="n"/>
      <c r="AL148" s="930" t="n"/>
      <c r="AM148" s="930" t="n"/>
      <c r="AN148" s="930" t="n"/>
      <c r="AO148" s="930" t="n"/>
      <c r="AP148" s="930" t="n"/>
      <c r="AQ148" s="1072" t="n"/>
      <c r="AR148" s="1073" t="n"/>
      <c r="AS148" s="930" t="n"/>
      <c r="AT148" s="930" t="n"/>
      <c r="AU148" s="930" t="n"/>
      <c r="AV148" s="930" t="n"/>
      <c r="AW148" s="1074" t="n"/>
      <c r="AX148" s="930" t="n"/>
      <c r="AY148" s="930" t="n"/>
      <c r="AZ148" s="930" t="n"/>
      <c r="BA148" s="930" t="n"/>
      <c r="BB148" s="930" t="n"/>
      <c r="BC148" s="933" t="n"/>
      <c r="BD148" s="1074" t="n"/>
      <c r="BE148" s="930" t="n"/>
      <c r="BF148" s="930" t="n"/>
      <c r="BG148" s="930" t="n"/>
      <c r="BH148" s="930" t="n"/>
      <c r="BI148" s="933" t="n"/>
      <c r="BJ148" s="1074" t="n"/>
      <c r="BK148" s="930" t="n"/>
      <c r="BL148" s="930" t="n"/>
      <c r="BM148" s="930" t="n"/>
      <c r="BN148" s="930" t="n"/>
      <c r="BO148" s="933" t="n"/>
      <c r="BP148" s="1074" t="n"/>
      <c r="BQ148" s="930" t="n"/>
      <c r="BR148" s="930" t="n"/>
      <c r="BS148" s="930" t="n"/>
      <c r="BT148" s="933" t="n"/>
      <c r="BU148" s="1074" t="n"/>
      <c r="BV148" s="930" t="n"/>
      <c r="BW148" s="930" t="n"/>
      <c r="BX148" s="930" t="n"/>
      <c r="BY148" s="930" t="n"/>
      <c r="BZ148" s="934" t="n"/>
    </row>
    <row r="149" ht="16.5" customHeight="1" s="838">
      <c r="B149" s="756" t="n"/>
      <c r="C149" s="738" t="n"/>
      <c r="D149" s="738" t="n"/>
      <c r="E149" s="738" t="n"/>
      <c r="F149" s="151" t="inlineStr">
        <is>
          <t>`26 목표</t>
        </is>
      </c>
      <c r="G149" s="1036">
        <f>G155/G152</f>
        <v/>
      </c>
      <c r="H149" s="931">
        <f>H155/H152</f>
        <v/>
      </c>
      <c r="I149" s="931">
        <f>I155/I152</f>
        <v/>
      </c>
      <c r="J149" s="931">
        <f>J155/J152</f>
        <v/>
      </c>
      <c r="K149" s="931">
        <f>K155/K152</f>
        <v/>
      </c>
      <c r="L149" s="931">
        <f>L155/L152</f>
        <v/>
      </c>
      <c r="M149" s="1036">
        <f>M155/M152</f>
        <v/>
      </c>
      <c r="N149" s="931">
        <f>N155/N152</f>
        <v/>
      </c>
      <c r="O149" s="931">
        <f>O155/O152</f>
        <v/>
      </c>
      <c r="P149" s="931">
        <f>P155/P152</f>
        <v/>
      </c>
      <c r="Q149" s="938">
        <f>Q155/Q152</f>
        <v/>
      </c>
      <c r="R149" s="1125">
        <f>R155/R152</f>
        <v/>
      </c>
      <c r="S149" s="1126">
        <f>S155/S152</f>
        <v/>
      </c>
      <c r="T149" s="1126">
        <f>T155/T152</f>
        <v/>
      </c>
      <c r="U149" s="1126">
        <f>U155/U152</f>
        <v/>
      </c>
      <c r="V149" s="1126">
        <f>V155/V152</f>
        <v/>
      </c>
      <c r="W149" s="1126">
        <f>W155/W152</f>
        <v/>
      </c>
      <c r="X149" s="1127">
        <f>X155/X152</f>
        <v/>
      </c>
      <c r="Y149" s="1126">
        <f>Y155/Y152</f>
        <v/>
      </c>
      <c r="Z149" s="1126">
        <f>Z155/Z152</f>
        <v/>
      </c>
      <c r="AA149" s="1126">
        <f>AA155/AA152</f>
        <v/>
      </c>
      <c r="AB149" s="1126">
        <f>AB155/AB152</f>
        <v/>
      </c>
      <c r="AC149" s="1128">
        <f>AC155/AC152</f>
        <v/>
      </c>
      <c r="AD149" s="1113" t="n"/>
      <c r="AE149" s="946" t="n"/>
      <c r="AF149" s="946" t="n"/>
      <c r="AG149" s="946" t="n"/>
      <c r="AH149" s="946" t="n"/>
      <c r="AI149" s="946" t="n"/>
      <c r="AJ149" s="1111" t="n"/>
      <c r="AK149" s="1114" t="n"/>
      <c r="AL149" s="946" t="n"/>
      <c r="AM149" s="946" t="n"/>
      <c r="AN149" s="946" t="n"/>
      <c r="AO149" s="946" t="n"/>
      <c r="AP149" s="946" t="n"/>
      <c r="AQ149" s="1115" t="n"/>
      <c r="AR149" s="1116" t="n"/>
      <c r="AS149" s="946" t="n"/>
      <c r="AT149" s="946" t="n"/>
      <c r="AU149" s="946" t="n"/>
      <c r="AV149" s="946" t="n"/>
      <c r="AW149" s="1117" t="n"/>
      <c r="AX149" s="946" t="n"/>
      <c r="AY149" s="946" t="n"/>
      <c r="AZ149" s="946" t="n"/>
      <c r="BA149" s="946" t="n"/>
      <c r="BB149" s="946" t="n"/>
      <c r="BC149" s="1111" t="n"/>
      <c r="BD149" s="1117" t="n"/>
      <c r="BE149" s="946" t="n"/>
      <c r="BF149" s="946" t="n"/>
      <c r="BG149" s="946" t="n"/>
      <c r="BH149" s="946" t="n"/>
      <c r="BI149" s="1111" t="n"/>
      <c r="BJ149" s="1117" t="n"/>
      <c r="BK149" s="946" t="n"/>
      <c r="BL149" s="946" t="n"/>
      <c r="BM149" s="946" t="n"/>
      <c r="BN149" s="946" t="n"/>
      <c r="BO149" s="1111" t="n"/>
      <c r="BP149" s="1117" t="n"/>
      <c r="BQ149" s="946" t="n"/>
      <c r="BR149" s="946" t="n"/>
      <c r="BS149" s="946" t="n"/>
      <c r="BT149" s="1111" t="n"/>
      <c r="BU149" s="1117" t="n"/>
      <c r="BV149" s="946" t="n"/>
      <c r="BW149" s="946" t="n"/>
      <c r="BX149" s="946" t="n"/>
      <c r="BY149" s="946" t="n"/>
      <c r="BZ149" s="1118" t="n"/>
    </row>
    <row r="150" ht="16.5" customHeight="1" s="838">
      <c r="B150" s="756" t="n"/>
      <c r="C150" s="738" t="n"/>
      <c r="D150" s="738" t="n"/>
      <c r="E150" s="739" t="n"/>
      <c r="F150" s="134" t="inlineStr">
        <is>
          <t>`26 실적</t>
        </is>
      </c>
      <c r="G150" s="1075">
        <f>G156/G153</f>
        <v/>
      </c>
      <c r="H150" s="922">
        <f>H156/H153</f>
        <v/>
      </c>
      <c r="I150" s="922">
        <f>I156/I153</f>
        <v/>
      </c>
      <c r="J150" s="922">
        <f>J156/J153</f>
        <v/>
      </c>
      <c r="K150" s="922">
        <f>K156/K153</f>
        <v/>
      </c>
      <c r="L150" s="922">
        <f>L156/L153</f>
        <v/>
      </c>
      <c r="M150" s="1075">
        <f>M156/M153</f>
        <v/>
      </c>
      <c r="N150" s="922">
        <f>N156/N153</f>
        <v/>
      </c>
      <c r="O150" s="922">
        <f>O156/O153</f>
        <v/>
      </c>
      <c r="P150" s="922">
        <f>P156/P153</f>
        <v/>
      </c>
      <c r="Q150" s="923">
        <f>Q156/Q153</f>
        <v/>
      </c>
      <c r="R150" s="1075">
        <f>R156/R153</f>
        <v/>
      </c>
      <c r="S150" s="922">
        <f>S156/S153</f>
        <v/>
      </c>
      <c r="T150" s="922">
        <f>T156/T153</f>
        <v/>
      </c>
      <c r="U150" s="922">
        <f>U156/U153</f>
        <v/>
      </c>
      <c r="V150" s="922">
        <f>V156/V153</f>
        <v/>
      </c>
      <c r="W150" s="922">
        <f>W156/W153</f>
        <v/>
      </c>
      <c r="X150" s="1075">
        <f>X156/X153</f>
        <v/>
      </c>
      <c r="Y150" s="922">
        <f>Y156/Y153</f>
        <v/>
      </c>
      <c r="Z150" s="922">
        <f>Z156/Z153</f>
        <v/>
      </c>
      <c r="AA150" s="922">
        <f>AA156/AA153</f>
        <v/>
      </c>
      <c r="AB150" s="922">
        <f>AB156/AB153</f>
        <v/>
      </c>
      <c r="AC150" s="923">
        <f>AC156/AC153</f>
        <v/>
      </c>
      <c r="AD150" s="1121" t="n"/>
      <c r="AE150" s="945" t="n"/>
      <c r="AF150" s="945" t="n"/>
      <c r="AG150" s="945" t="n"/>
      <c r="AH150" s="945" t="n"/>
      <c r="AI150" s="945" t="n"/>
      <c r="AJ150" s="947" t="n"/>
      <c r="AK150" s="944" t="n"/>
      <c r="AL150" s="945" t="n"/>
      <c r="AM150" s="945" t="n"/>
      <c r="AN150" s="945" t="n"/>
      <c r="AO150" s="945" t="n"/>
      <c r="AP150" s="945" t="n"/>
      <c r="AQ150" s="1122" t="n"/>
      <c r="AR150" s="1123" t="n"/>
      <c r="AS150" s="945" t="n"/>
      <c r="AT150" s="945" t="n"/>
      <c r="AU150" s="945" t="n"/>
      <c r="AV150" s="945" t="n"/>
      <c r="AW150" s="1124" t="n"/>
      <c r="AX150" s="945" t="n"/>
      <c r="AY150" s="945" t="n"/>
      <c r="AZ150" s="945" t="n"/>
      <c r="BA150" s="945" t="n"/>
      <c r="BB150" s="945" t="n"/>
      <c r="BC150" s="947" t="n"/>
      <c r="BD150" s="1124" t="n"/>
      <c r="BE150" s="945" t="n"/>
      <c r="BF150" s="945" t="n"/>
      <c r="BG150" s="945" t="n"/>
      <c r="BH150" s="945" t="n"/>
      <c r="BI150" s="947" t="n"/>
      <c r="BJ150" s="1124" t="n"/>
      <c r="BK150" s="945" t="n"/>
      <c r="BL150" s="945" t="n"/>
      <c r="BM150" s="945" t="n"/>
      <c r="BN150" s="945" t="n"/>
      <c r="BO150" s="947" t="n"/>
      <c r="BP150" s="1124" t="n"/>
      <c r="BQ150" s="945" t="n"/>
      <c r="BR150" s="945" t="n"/>
      <c r="BS150" s="945" t="n"/>
      <c r="BT150" s="947" t="n"/>
      <c r="BU150" s="1124" t="n"/>
      <c r="BV150" s="945" t="n"/>
      <c r="BW150" s="945" t="n"/>
      <c r="BX150" s="945" t="n"/>
      <c r="BY150" s="945" t="n"/>
      <c r="BZ150" s="948" t="n"/>
    </row>
    <row r="151" ht="16.5" customHeight="1" s="838">
      <c r="B151" s="756" t="n"/>
      <c r="C151" s="738" t="n"/>
      <c r="D151" s="738" t="n"/>
      <c r="E151" s="778" t="inlineStr">
        <is>
          <t>생산액</t>
        </is>
      </c>
      <c r="F151" s="220" t="inlineStr">
        <is>
          <t>`25 실적</t>
        </is>
      </c>
      <c r="G151" s="1104" t="n">
        <v>20.206595</v>
      </c>
      <c r="H151" s="941" t="n">
        <v>20.206595</v>
      </c>
      <c r="I151" s="941" t="n">
        <v>20.206595</v>
      </c>
      <c r="J151" s="941" t="n">
        <v>20.206595</v>
      </c>
      <c r="K151" s="941" t="n">
        <v>20.206595</v>
      </c>
      <c r="L151" s="941" t="n">
        <v>20.206595</v>
      </c>
      <c r="M151" s="1104" t="n">
        <v>9.556483</v>
      </c>
      <c r="N151" s="941" t="n">
        <v>9.556483</v>
      </c>
      <c r="O151" s="941" t="n">
        <v>9.556483</v>
      </c>
      <c r="P151" s="941" t="n">
        <v>9.556483</v>
      </c>
      <c r="Q151" s="942" t="n">
        <v>9.556483</v>
      </c>
      <c r="R151" s="1105" t="n">
        <v>11.65884</v>
      </c>
      <c r="S151" s="941" t="n">
        <v>11.65884</v>
      </c>
      <c r="T151" s="941" t="n">
        <v>11.65884</v>
      </c>
      <c r="U151" s="941" t="n">
        <v>11.65884</v>
      </c>
      <c r="V151" s="941" t="n">
        <v>11.65884</v>
      </c>
      <c r="W151" s="941" t="n">
        <v>11.65884</v>
      </c>
      <c r="X151" s="1104" t="n">
        <v>6.649798</v>
      </c>
      <c r="Y151" s="941" t="n">
        <v>6.649798</v>
      </c>
      <c r="Z151" s="941" t="n">
        <v>6.649798</v>
      </c>
      <c r="AA151" s="941" t="n">
        <v>6.649798</v>
      </c>
      <c r="AB151" s="941" t="n">
        <v>6.649798</v>
      </c>
      <c r="AC151" s="942" t="n">
        <v>6.649798</v>
      </c>
      <c r="AD151" s="1106" t="n"/>
      <c r="AE151" s="941" t="n"/>
      <c r="AF151" s="941" t="n"/>
      <c r="AG151" s="941" t="n"/>
      <c r="AH151" s="941" t="n"/>
      <c r="AI151" s="941" t="n"/>
      <c r="AJ151" s="942" t="n"/>
      <c r="AK151" s="940" t="n"/>
      <c r="AL151" s="941" t="n"/>
      <c r="AM151" s="941" t="n"/>
      <c r="AN151" s="941" t="n"/>
      <c r="AO151" s="941" t="n"/>
      <c r="AP151" s="941" t="n"/>
      <c r="AQ151" s="1107" t="n"/>
      <c r="AR151" s="1108" t="n"/>
      <c r="AS151" s="941" t="n"/>
      <c r="AT151" s="941" t="n"/>
      <c r="AU151" s="941" t="n"/>
      <c r="AV151" s="941" t="n"/>
      <c r="AW151" s="1109" t="n"/>
      <c r="AX151" s="941" t="n"/>
      <c r="AY151" s="941" t="n"/>
      <c r="AZ151" s="941" t="n"/>
      <c r="BA151" s="941" t="n"/>
      <c r="BB151" s="941" t="n"/>
      <c r="BC151" s="942" t="n"/>
      <c r="BD151" s="1109" t="n"/>
      <c r="BE151" s="941" t="n"/>
      <c r="BF151" s="941" t="n"/>
      <c r="BG151" s="941" t="n"/>
      <c r="BH151" s="941" t="n"/>
      <c r="BI151" s="942" t="n"/>
      <c r="BJ151" s="1109" t="n"/>
      <c r="BK151" s="941" t="n"/>
      <c r="BL151" s="941" t="n"/>
      <c r="BM151" s="941" t="n"/>
      <c r="BN151" s="941" t="n"/>
      <c r="BO151" s="942" t="n"/>
      <c r="BP151" s="1109" t="n"/>
      <c r="BQ151" s="941" t="n"/>
      <c r="BR151" s="941" t="n"/>
      <c r="BS151" s="941" t="n"/>
      <c r="BT151" s="942" t="n"/>
      <c r="BU151" s="1109" t="n"/>
      <c r="BV151" s="941" t="n"/>
      <c r="BW151" s="941" t="n"/>
      <c r="BX151" s="941" t="n"/>
      <c r="BY151" s="941" t="n"/>
      <c r="BZ151" s="943" t="n"/>
    </row>
    <row r="152" ht="16.5" customHeight="1" s="838">
      <c r="B152" s="756" t="n"/>
      <c r="C152" s="738" t="n"/>
      <c r="D152" s="738" t="n"/>
      <c r="E152" s="738" t="n"/>
      <c r="F152" s="151" t="inlineStr">
        <is>
          <t>`26 목표</t>
        </is>
      </c>
      <c r="G152" s="1110" t="n">
        <v>13.896</v>
      </c>
      <c r="H152" s="946" t="n">
        <v>13.896</v>
      </c>
      <c r="I152" s="946" t="n">
        <v>13.896</v>
      </c>
      <c r="J152" s="946" t="n">
        <v>13.896</v>
      </c>
      <c r="K152" s="946" t="n">
        <v>13.896</v>
      </c>
      <c r="L152" s="946" t="n">
        <v>13.896</v>
      </c>
      <c r="M152" s="1110" t="n">
        <v>17.682</v>
      </c>
      <c r="N152" s="946" t="n">
        <v>17.682</v>
      </c>
      <c r="O152" s="946" t="n">
        <v>17.682</v>
      </c>
      <c r="P152" s="946" t="n">
        <v>17.682</v>
      </c>
      <c r="Q152" s="1111" t="n">
        <v>17.682</v>
      </c>
      <c r="R152" s="1112" t="n">
        <v>7.519</v>
      </c>
      <c r="S152" s="946" t="n">
        <v>7.519</v>
      </c>
      <c r="T152" s="946" t="n">
        <v>7.519</v>
      </c>
      <c r="U152" s="946" t="n">
        <v>7.519</v>
      </c>
      <c r="V152" s="946" t="n">
        <v>7.519</v>
      </c>
      <c r="W152" s="946" t="n">
        <v>7.519</v>
      </c>
      <c r="X152" s="1110" t="n">
        <v>7.519</v>
      </c>
      <c r="Y152" s="946" t="n">
        <v>7.519</v>
      </c>
      <c r="Z152" s="946" t="n">
        <v>7.519</v>
      </c>
      <c r="AA152" s="946" t="n">
        <v>7.519</v>
      </c>
      <c r="AB152" s="946" t="n">
        <v>7.519</v>
      </c>
      <c r="AC152" s="1111" t="n">
        <v>7.519</v>
      </c>
      <c r="AD152" s="1113" t="n"/>
      <c r="AE152" s="946" t="n"/>
      <c r="AF152" s="946" t="n"/>
      <c r="AG152" s="946" t="n"/>
      <c r="AH152" s="946" t="n"/>
      <c r="AI152" s="946" t="n"/>
      <c r="AJ152" s="1111" t="n"/>
      <c r="AK152" s="1114" t="n"/>
      <c r="AL152" s="946" t="n"/>
      <c r="AM152" s="946" t="n"/>
      <c r="AN152" s="946" t="n"/>
      <c r="AO152" s="946" t="n"/>
      <c r="AP152" s="946" t="n"/>
      <c r="AQ152" s="1115" t="n"/>
      <c r="AR152" s="1116" t="n"/>
      <c r="AS152" s="946" t="n"/>
      <c r="AT152" s="946" t="n"/>
      <c r="AU152" s="946" t="n"/>
      <c r="AV152" s="946" t="n"/>
      <c r="AW152" s="1117" t="n"/>
      <c r="AX152" s="946" t="n"/>
      <c r="AY152" s="946" t="n"/>
      <c r="AZ152" s="946" t="n"/>
      <c r="BA152" s="946" t="n"/>
      <c r="BB152" s="946" t="n"/>
      <c r="BC152" s="1111" t="n"/>
      <c r="BD152" s="1117" t="n"/>
      <c r="BE152" s="946" t="n"/>
      <c r="BF152" s="946" t="n"/>
      <c r="BG152" s="946" t="n"/>
      <c r="BH152" s="946" t="n"/>
      <c r="BI152" s="1111" t="n"/>
      <c r="BJ152" s="1117" t="n"/>
      <c r="BK152" s="946" t="n"/>
      <c r="BL152" s="946" t="n"/>
      <c r="BM152" s="946" t="n"/>
      <c r="BN152" s="946" t="n"/>
      <c r="BO152" s="1111" t="n"/>
      <c r="BP152" s="1117" t="n"/>
      <c r="BQ152" s="946" t="n"/>
      <c r="BR152" s="946" t="n"/>
      <c r="BS152" s="946" t="n"/>
      <c r="BT152" s="1111" t="n"/>
      <c r="BU152" s="1117" t="n"/>
      <c r="BV152" s="946" t="n"/>
      <c r="BW152" s="946" t="n"/>
      <c r="BX152" s="946" t="n"/>
      <c r="BY152" s="946" t="n"/>
      <c r="BZ152" s="1118" t="n"/>
    </row>
    <row r="153" ht="16.5" customHeight="1" s="838">
      <c r="B153" s="756" t="n"/>
      <c r="C153" s="738" t="n"/>
      <c r="D153" s="738" t="n"/>
      <c r="E153" s="739" t="n"/>
      <c r="F153" s="134" t="inlineStr">
        <is>
          <t>`26 실적</t>
        </is>
      </c>
      <c r="G153" s="1119" t="n">
        <v>7.169518</v>
      </c>
      <c r="H153" s="945" t="n">
        <v>17.682</v>
      </c>
      <c r="I153" s="945" t="n">
        <v>13.896</v>
      </c>
      <c r="J153" s="945" t="n">
        <v>11.256518</v>
      </c>
      <c r="K153" s="945" t="n">
        <v>12.668928</v>
      </c>
      <c r="L153" s="945" t="n">
        <v>7.169518</v>
      </c>
      <c r="M153" s="1119" t="n">
        <v>6.77291</v>
      </c>
      <c r="N153" s="945" t="n">
        <v>10.646121</v>
      </c>
      <c r="O153" s="945" t="n">
        <v>6.77291</v>
      </c>
      <c r="P153" s="945" t="n">
        <v>15.255707</v>
      </c>
      <c r="Q153" s="947" t="n">
        <v>15.606818</v>
      </c>
      <c r="R153" s="1120" t="n">
        <v>7.824962</v>
      </c>
      <c r="S153" s="945" t="n">
        <v>9.616</v>
      </c>
      <c r="T153" s="945" t="n">
        <v>13.471263</v>
      </c>
      <c r="U153" s="945" t="n">
        <v>15.420823</v>
      </c>
      <c r="V153" s="945" t="n">
        <v>6.252791</v>
      </c>
      <c r="W153" s="945" t="n">
        <v>8.133801999999999</v>
      </c>
      <c r="X153" s="1119" t="n">
        <v>9.616</v>
      </c>
      <c r="Y153" s="945" t="n">
        <v>9.616</v>
      </c>
      <c r="Z153" s="945" t="n">
        <v>7.519</v>
      </c>
      <c r="AA153" s="945" t="n">
        <v>7.824962</v>
      </c>
      <c r="AB153" s="945" t="n">
        <v>9.555999999999999</v>
      </c>
      <c r="AC153" s="947" t="n">
        <v>9.616</v>
      </c>
      <c r="AD153" s="1121" t="n"/>
      <c r="AE153" s="945" t="n"/>
      <c r="AF153" s="945" t="n"/>
      <c r="AG153" s="945" t="n"/>
      <c r="AH153" s="945" t="n"/>
      <c r="AI153" s="945" t="n"/>
      <c r="AJ153" s="947" t="n"/>
      <c r="AK153" s="944" t="n"/>
      <c r="AL153" s="945" t="n"/>
      <c r="AM153" s="945" t="n"/>
      <c r="AN153" s="945" t="n"/>
      <c r="AO153" s="945" t="n"/>
      <c r="AP153" s="945" t="n"/>
      <c r="AQ153" s="1122" t="n"/>
      <c r="AR153" s="1123" t="n"/>
      <c r="AS153" s="945" t="n"/>
      <c r="AT153" s="945" t="n"/>
      <c r="AU153" s="945" t="n"/>
      <c r="AV153" s="945" t="n"/>
      <c r="AW153" s="1124" t="n"/>
      <c r="AX153" s="945" t="n"/>
      <c r="AY153" s="945" t="n"/>
      <c r="AZ153" s="945" t="n"/>
      <c r="BA153" s="945" t="n"/>
      <c r="BB153" s="945" t="n"/>
      <c r="BC153" s="947" t="n"/>
      <c r="BD153" s="1124" t="n"/>
      <c r="BE153" s="945" t="n"/>
      <c r="BF153" s="945" t="n"/>
      <c r="BG153" s="945" t="n"/>
      <c r="BH153" s="945" t="n"/>
      <c r="BI153" s="947" t="n"/>
      <c r="BJ153" s="1124" t="n"/>
      <c r="BK153" s="945" t="n"/>
      <c r="BL153" s="945" t="n"/>
      <c r="BM153" s="945" t="n"/>
      <c r="BN153" s="945" t="n"/>
      <c r="BO153" s="947" t="n"/>
      <c r="BP153" s="1124" t="n"/>
      <c r="BQ153" s="945" t="n"/>
      <c r="BR153" s="945" t="n"/>
      <c r="BS153" s="945" t="n"/>
      <c r="BT153" s="947" t="n"/>
      <c r="BU153" s="1124" t="n"/>
      <c r="BV153" s="945" t="n"/>
      <c r="BW153" s="945" t="n"/>
      <c r="BX153" s="945" t="n"/>
      <c r="BY153" s="945" t="n"/>
      <c r="BZ153" s="948" t="n"/>
    </row>
    <row r="154" ht="16.5" customHeight="1" s="838">
      <c r="B154" s="756" t="n"/>
      <c r="C154" s="738" t="n"/>
      <c r="D154" s="738" t="n"/>
      <c r="E154" s="778" t="inlineStr">
        <is>
          <t>가공비</t>
        </is>
      </c>
      <c r="F154" s="220" t="inlineStr">
        <is>
          <t>`25 실적</t>
        </is>
      </c>
      <c r="G154" s="1104" t="n">
        <v>1.59923085</v>
      </c>
      <c r="H154" s="941" t="n">
        <v>1.59923085</v>
      </c>
      <c r="I154" s="941" t="n">
        <v>1.59923085</v>
      </c>
      <c r="J154" s="941" t="n">
        <v>1.59923085</v>
      </c>
      <c r="K154" s="941" t="n">
        <v>1.59923085</v>
      </c>
      <c r="L154" s="941" t="n">
        <v>1.59923085</v>
      </c>
      <c r="M154" s="1104" t="n">
        <v>1.21641898</v>
      </c>
      <c r="N154" s="941" t="n">
        <v>1.21641898</v>
      </c>
      <c r="O154" s="941" t="n">
        <v>1.21641898</v>
      </c>
      <c r="P154" s="941" t="n">
        <v>1.21641898</v>
      </c>
      <c r="Q154" s="942" t="n">
        <v>1.21641898</v>
      </c>
      <c r="R154" s="1105" t="n">
        <v>1.82084387</v>
      </c>
      <c r="S154" s="941" t="n">
        <v>1.82084387</v>
      </c>
      <c r="T154" s="941" t="n">
        <v>1.82084387</v>
      </c>
      <c r="U154" s="941" t="n">
        <v>1.82084387</v>
      </c>
      <c r="V154" s="941" t="n">
        <v>1.82084387</v>
      </c>
      <c r="W154" s="941" t="n">
        <v>1.82084387</v>
      </c>
      <c r="X154" s="1104" t="n">
        <v>0.9806823</v>
      </c>
      <c r="Y154" s="941" t="n">
        <v>0.9806823</v>
      </c>
      <c r="Z154" s="941" t="n">
        <v>0.9806823</v>
      </c>
      <c r="AA154" s="941" t="n">
        <v>0.9806823</v>
      </c>
      <c r="AB154" s="941" t="n">
        <v>0.9806823</v>
      </c>
      <c r="AC154" s="942" t="n">
        <v>0.9806823</v>
      </c>
      <c r="AD154" s="1106" t="n"/>
      <c r="AE154" s="941" t="n"/>
      <c r="AF154" s="941" t="n"/>
      <c r="AG154" s="941" t="n"/>
      <c r="AH154" s="941" t="n"/>
      <c r="AI154" s="941" t="n"/>
      <c r="AJ154" s="942" t="n"/>
      <c r="AK154" s="940" t="n"/>
      <c r="AL154" s="941" t="n"/>
      <c r="AM154" s="941" t="n"/>
      <c r="AN154" s="941" t="n"/>
      <c r="AO154" s="941" t="n"/>
      <c r="AP154" s="941" t="n"/>
      <c r="AQ154" s="1107" t="n"/>
      <c r="AR154" s="1108" t="n"/>
      <c r="AS154" s="941" t="n"/>
      <c r="AT154" s="941" t="n"/>
      <c r="AU154" s="941" t="n"/>
      <c r="AV154" s="941" t="n"/>
      <c r="AW154" s="1109" t="n"/>
      <c r="AX154" s="941" t="n"/>
      <c r="AY154" s="941" t="n"/>
      <c r="AZ154" s="941" t="n"/>
      <c r="BA154" s="941" t="n"/>
      <c r="BB154" s="941" t="n"/>
      <c r="BC154" s="942" t="n"/>
      <c r="BD154" s="1109" t="n"/>
      <c r="BE154" s="941" t="n"/>
      <c r="BF154" s="941" t="n"/>
      <c r="BG154" s="941" t="n"/>
      <c r="BH154" s="941" t="n"/>
      <c r="BI154" s="942" t="n"/>
      <c r="BJ154" s="1109" t="n"/>
      <c r="BK154" s="941" t="n"/>
      <c r="BL154" s="941" t="n"/>
      <c r="BM154" s="941" t="n"/>
      <c r="BN154" s="941" t="n"/>
      <c r="BO154" s="942" t="n"/>
      <c r="BP154" s="1109" t="n"/>
      <c r="BQ154" s="941" t="n"/>
      <c r="BR154" s="941" t="n"/>
      <c r="BS154" s="941" t="n"/>
      <c r="BT154" s="942" t="n"/>
      <c r="BU154" s="1109" t="n"/>
      <c r="BV154" s="941" t="n"/>
      <c r="BW154" s="941" t="n"/>
      <c r="BX154" s="941" t="n"/>
      <c r="BY154" s="941" t="n"/>
      <c r="BZ154" s="943" t="n"/>
    </row>
    <row r="155" ht="16.5" customHeight="1" s="838">
      <c r="B155" s="756" t="n"/>
      <c r="C155" s="738" t="n"/>
      <c r="D155" s="738" t="n"/>
      <c r="E155" s="738" t="n"/>
      <c r="F155" s="151" t="inlineStr">
        <is>
          <t>`26 목표</t>
        </is>
      </c>
      <c r="G155" s="1110" t="n">
        <v>1.478</v>
      </c>
      <c r="H155" s="946" t="n">
        <v>1.478</v>
      </c>
      <c r="I155" s="946" t="n">
        <v>1.478</v>
      </c>
      <c r="J155" s="946" t="n">
        <v>1.478</v>
      </c>
      <c r="K155" s="946" t="n">
        <v>1.478</v>
      </c>
      <c r="L155" s="946" t="n">
        <v>1.478</v>
      </c>
      <c r="M155" s="1110" t="n">
        <v>2.08459168</v>
      </c>
      <c r="N155" s="946" t="n">
        <v>2.08459168</v>
      </c>
      <c r="O155" s="946" t="n">
        <v>2.08459168</v>
      </c>
      <c r="P155" s="946" t="n">
        <v>2.08459168</v>
      </c>
      <c r="Q155" s="1111" t="n">
        <v>2.08459168</v>
      </c>
      <c r="R155" s="1112" t="n">
        <v>1.478</v>
      </c>
      <c r="S155" s="946" t="n">
        <v>1.478</v>
      </c>
      <c r="T155" s="946" t="n">
        <v>1.478</v>
      </c>
      <c r="U155" s="946" t="n">
        <v>1.478</v>
      </c>
      <c r="V155" s="946" t="n">
        <v>1.478</v>
      </c>
      <c r="W155" s="946" t="n">
        <v>1.478</v>
      </c>
      <c r="X155" s="1110" t="n">
        <v>1.478</v>
      </c>
      <c r="Y155" s="946" t="n">
        <v>1.478</v>
      </c>
      <c r="Z155" s="946" t="n">
        <v>1.478</v>
      </c>
      <c r="AA155" s="946" t="n">
        <v>1.478</v>
      </c>
      <c r="AB155" s="946" t="n">
        <v>1.478</v>
      </c>
      <c r="AC155" s="1111" t="n">
        <v>1.478</v>
      </c>
      <c r="AD155" s="1113" t="n"/>
      <c r="AE155" s="946" t="n"/>
      <c r="AF155" s="946" t="n"/>
      <c r="AG155" s="946" t="n"/>
      <c r="AH155" s="946" t="n"/>
      <c r="AI155" s="946" t="n"/>
      <c r="AJ155" s="1111" t="n"/>
      <c r="AK155" s="1114" t="n"/>
      <c r="AL155" s="946" t="n"/>
      <c r="AM155" s="946" t="n"/>
      <c r="AN155" s="946" t="n"/>
      <c r="AO155" s="946" t="n"/>
      <c r="AP155" s="946" t="n"/>
      <c r="AQ155" s="1115" t="n"/>
      <c r="AR155" s="1116" t="n"/>
      <c r="AS155" s="946" t="n"/>
      <c r="AT155" s="946" t="n"/>
      <c r="AU155" s="946" t="n"/>
      <c r="AV155" s="946" t="n"/>
      <c r="AW155" s="1117" t="n"/>
      <c r="AX155" s="946" t="n"/>
      <c r="AY155" s="946" t="n"/>
      <c r="AZ155" s="946" t="n"/>
      <c r="BA155" s="946" t="n"/>
      <c r="BB155" s="946" t="n"/>
      <c r="BC155" s="1111" t="n"/>
      <c r="BD155" s="1117" t="n"/>
      <c r="BE155" s="946" t="n"/>
      <c r="BF155" s="946" t="n"/>
      <c r="BG155" s="946" t="n"/>
      <c r="BH155" s="946" t="n"/>
      <c r="BI155" s="1111" t="n"/>
      <c r="BJ155" s="1117" t="n"/>
      <c r="BK155" s="946" t="n"/>
      <c r="BL155" s="946" t="n"/>
      <c r="BM155" s="946" t="n"/>
      <c r="BN155" s="946" t="n"/>
      <c r="BO155" s="1111" t="n"/>
      <c r="BP155" s="1117" t="n"/>
      <c r="BQ155" s="946" t="n"/>
      <c r="BR155" s="946" t="n"/>
      <c r="BS155" s="946" t="n"/>
      <c r="BT155" s="1111" t="n"/>
      <c r="BU155" s="1117" t="n"/>
      <c r="BV155" s="946" t="n"/>
      <c r="BW155" s="946" t="n"/>
      <c r="BX155" s="946" t="n"/>
      <c r="BY155" s="946" t="n"/>
      <c r="BZ155" s="1118" t="n"/>
    </row>
    <row r="156" ht="16.5" customHeight="1" s="838">
      <c r="B156" s="756" t="n"/>
      <c r="C156" s="739" t="n"/>
      <c r="D156" s="739" t="n"/>
      <c r="E156" s="739" t="n"/>
      <c r="F156" s="134" t="inlineStr">
        <is>
          <t>`26 실적</t>
        </is>
      </c>
      <c r="G156" s="1119" t="n">
        <v>2.08459168</v>
      </c>
      <c r="H156" s="945" t="n">
        <v>2.36914523</v>
      </c>
      <c r="I156" s="1129" t="n">
        <v>1.52086188</v>
      </c>
      <c r="J156" s="1129" t="n">
        <v>2.36914523</v>
      </c>
      <c r="K156" s="1129" t="n">
        <v>1.478</v>
      </c>
      <c r="L156" s="1129" t="n">
        <v>1.478</v>
      </c>
      <c r="M156" s="1119" t="n">
        <v>2.08459168</v>
      </c>
      <c r="N156" s="945" t="n">
        <v>1.52086188</v>
      </c>
      <c r="O156" s="945" t="n">
        <v>2.36914523</v>
      </c>
      <c r="P156" s="945" t="n">
        <v>2.36914523</v>
      </c>
      <c r="Q156" s="947" t="n">
        <v>1.478</v>
      </c>
      <c r="R156" s="1120" t="n">
        <v>2.08459168</v>
      </c>
      <c r="S156" s="945" t="n">
        <v>1.52086188</v>
      </c>
      <c r="T156" s="945" t="n">
        <v>2.36914523</v>
      </c>
      <c r="U156" s="945" t="n">
        <v>2.36914523</v>
      </c>
      <c r="V156" s="945" t="n">
        <v>2.36914523</v>
      </c>
      <c r="W156" s="945" t="n">
        <v>2.36914523</v>
      </c>
      <c r="X156" s="1119" t="n">
        <v>2.08459168</v>
      </c>
      <c r="Y156" s="945" t="n">
        <v>1.52086188</v>
      </c>
      <c r="Z156" s="945" t="n">
        <v>2.36914523</v>
      </c>
      <c r="AA156" s="945" t="n">
        <v>2.36914523</v>
      </c>
      <c r="AB156" s="945" t="n">
        <v>2.36914523</v>
      </c>
      <c r="AC156" s="947" t="n">
        <v>2.36914523</v>
      </c>
      <c r="AD156" s="1121" t="n"/>
      <c r="AE156" s="945" t="n"/>
      <c r="AF156" s="945" t="n"/>
      <c r="AG156" s="945" t="n"/>
      <c r="AH156" s="945" t="n"/>
      <c r="AI156" s="945" t="n"/>
      <c r="AJ156" s="947" t="n"/>
      <c r="AK156" s="944" t="n"/>
      <c r="AL156" s="945" t="n"/>
      <c r="AM156" s="945" t="n"/>
      <c r="AN156" s="945" t="n"/>
      <c r="AO156" s="945" t="n"/>
      <c r="AP156" s="945" t="n"/>
      <c r="AQ156" s="1122" t="n"/>
      <c r="AR156" s="1123" t="n"/>
      <c r="AS156" s="945" t="n"/>
      <c r="AT156" s="945" t="n"/>
      <c r="AU156" s="945" t="n"/>
      <c r="AV156" s="945" t="n"/>
      <c r="AW156" s="1124" t="n"/>
      <c r="AX156" s="945" t="n"/>
      <c r="AY156" s="945" t="n"/>
      <c r="AZ156" s="945" t="n"/>
      <c r="BA156" s="945" t="n"/>
      <c r="BB156" s="945" t="n"/>
      <c r="BC156" s="947" t="n"/>
      <c r="BD156" s="1124" t="n"/>
      <c r="BE156" s="945" t="n"/>
      <c r="BF156" s="945" t="n"/>
      <c r="BG156" s="945" t="n"/>
      <c r="BH156" s="945" t="n"/>
      <c r="BI156" s="947" t="n"/>
      <c r="BJ156" s="1124" t="n"/>
      <c r="BK156" s="945" t="n"/>
      <c r="BL156" s="945" t="n"/>
      <c r="BM156" s="945" t="n"/>
      <c r="BN156" s="945" t="n"/>
      <c r="BO156" s="947" t="n"/>
      <c r="BP156" s="1124" t="n"/>
      <c r="BQ156" s="945" t="n"/>
      <c r="BR156" s="945" t="n"/>
      <c r="BS156" s="945" t="n"/>
      <c r="BT156" s="947" t="n"/>
      <c r="BU156" s="1124" t="n"/>
      <c r="BV156" s="945" t="n"/>
      <c r="BW156" s="945" t="n"/>
      <c r="BX156" s="945" t="n"/>
      <c r="BY156" s="945" t="n"/>
      <c r="BZ156" s="948" t="n"/>
    </row>
    <row r="157" ht="16.5" customHeight="1" s="838">
      <c r="B157" s="756" t="n"/>
      <c r="C157" s="737" t="inlineStr">
        <is>
          <t>제품2</t>
        </is>
      </c>
      <c r="D157" s="775" t="inlineStr">
        <is>
          <t>지역 합계</t>
        </is>
      </c>
      <c r="E157" s="737" t="inlineStr">
        <is>
          <t>가공비율</t>
        </is>
      </c>
      <c r="F157" s="151" t="inlineStr">
        <is>
          <t>`25 실적</t>
        </is>
      </c>
      <c r="G157" s="1036">
        <f>G163/G160</f>
        <v/>
      </c>
      <c r="H157" s="931">
        <f>H163/H160</f>
        <v/>
      </c>
      <c r="I157" s="931">
        <f>I163/I160</f>
        <v/>
      </c>
      <c r="J157" s="931">
        <f>J163/J160</f>
        <v/>
      </c>
      <c r="K157" s="931">
        <f>K163/K160</f>
        <v/>
      </c>
      <c r="L157" s="931">
        <f>L163/L160</f>
        <v/>
      </c>
      <c r="M157" s="1036">
        <f>M163/M160</f>
        <v/>
      </c>
      <c r="N157" s="931">
        <f>N163/N160</f>
        <v/>
      </c>
      <c r="O157" s="931">
        <f>O163/O160</f>
        <v/>
      </c>
      <c r="P157" s="931">
        <f>P163/P160</f>
        <v/>
      </c>
      <c r="Q157" s="938">
        <f>Q163/Q160</f>
        <v/>
      </c>
      <c r="R157" s="1037">
        <f>R163/R160</f>
        <v/>
      </c>
      <c r="S157" s="931">
        <f>S163/S160</f>
        <v/>
      </c>
      <c r="T157" s="931">
        <f>T163/T160</f>
        <v/>
      </c>
      <c r="U157" s="931">
        <f>U163/U160</f>
        <v/>
      </c>
      <c r="V157" s="931">
        <f>V163/V160</f>
        <v/>
      </c>
      <c r="W157" s="931">
        <f>W163/W160</f>
        <v/>
      </c>
      <c r="X157" s="1036">
        <f>X163/X160</f>
        <v/>
      </c>
      <c r="Y157" s="931">
        <f>Y163/Y160</f>
        <v/>
      </c>
      <c r="Z157" s="931">
        <f>Z163/Z160</f>
        <v/>
      </c>
      <c r="AA157" s="931">
        <f>AA163/AA160</f>
        <v/>
      </c>
      <c r="AB157" s="931">
        <f>AB163/AB160</f>
        <v/>
      </c>
      <c r="AC157" s="938">
        <f>AC163/AC160</f>
        <v/>
      </c>
      <c r="AD157" s="1038" t="n"/>
      <c r="AE157" s="931" t="n"/>
      <c r="AF157" s="931" t="n"/>
      <c r="AG157" s="931" t="n"/>
      <c r="AH157" s="931" t="n"/>
      <c r="AI157" s="931" t="n"/>
      <c r="AJ157" s="938" t="n"/>
      <c r="AK157" s="929" t="n"/>
      <c r="AL157" s="931" t="n"/>
      <c r="AM157" s="931" t="n"/>
      <c r="AN157" s="931" t="n"/>
      <c r="AO157" s="931" t="n"/>
      <c r="AP157" s="931" t="n"/>
      <c r="AQ157" s="1039" t="n"/>
      <c r="AR157" s="1040" t="n"/>
      <c r="AS157" s="931" t="n"/>
      <c r="AT157" s="931" t="n"/>
      <c r="AU157" s="931" t="n"/>
      <c r="AV157" s="931" t="n"/>
      <c r="AW157" s="1041" t="n"/>
      <c r="AX157" s="931" t="n"/>
      <c r="AY157" s="931" t="n"/>
      <c r="AZ157" s="931" t="n"/>
      <c r="BA157" s="931" t="n"/>
      <c r="BB157" s="931" t="n"/>
      <c r="BC157" s="938" t="n"/>
      <c r="BD157" s="1041" t="n"/>
      <c r="BE157" s="931" t="n"/>
      <c r="BF157" s="931" t="n"/>
      <c r="BG157" s="931" t="n"/>
      <c r="BH157" s="931" t="n"/>
      <c r="BI157" s="938" t="n"/>
      <c r="BJ157" s="1041" t="n"/>
      <c r="BK157" s="931" t="n"/>
      <c r="BL157" s="931" t="n"/>
      <c r="BM157" s="931" t="n"/>
      <c r="BN157" s="931" t="n"/>
      <c r="BO157" s="938" t="n"/>
      <c r="BP157" s="1041" t="n"/>
      <c r="BQ157" s="931" t="n"/>
      <c r="BR157" s="931" t="n"/>
      <c r="BS157" s="931" t="n"/>
      <c r="BT157" s="938" t="n"/>
      <c r="BU157" s="1041" t="n"/>
      <c r="BV157" s="931" t="n"/>
      <c r="BW157" s="931" t="n"/>
      <c r="BX157" s="931" t="n"/>
      <c r="BY157" s="931" t="n"/>
      <c r="BZ157" s="939" t="n"/>
    </row>
    <row r="158" ht="16.5" customHeight="1" s="838">
      <c r="B158" s="756" t="n"/>
      <c r="C158" s="738" t="n"/>
      <c r="D158" s="738" t="n"/>
      <c r="E158" s="738" t="n"/>
      <c r="F158" s="151" t="inlineStr">
        <is>
          <t>`26 목표</t>
        </is>
      </c>
      <c r="G158" s="1036">
        <f>G164/G161</f>
        <v/>
      </c>
      <c r="H158" s="931">
        <f>H164/H161</f>
        <v/>
      </c>
      <c r="I158" s="931">
        <f>I164/I161</f>
        <v/>
      </c>
      <c r="J158" s="931">
        <f>J164/J161</f>
        <v/>
      </c>
      <c r="K158" s="931">
        <f>K164/K161</f>
        <v/>
      </c>
      <c r="L158" s="931">
        <f>L164/L161</f>
        <v/>
      </c>
      <c r="M158" s="1036">
        <f>M164/M161</f>
        <v/>
      </c>
      <c r="N158" s="931">
        <f>N164/N161</f>
        <v/>
      </c>
      <c r="O158" s="931">
        <f>O164/O161</f>
        <v/>
      </c>
      <c r="P158" s="931">
        <f>P164/P161</f>
        <v/>
      </c>
      <c r="Q158" s="938">
        <f>Q164/Q161</f>
        <v/>
      </c>
      <c r="R158" s="1037">
        <f>R164/R161</f>
        <v/>
      </c>
      <c r="S158" s="931">
        <f>S164/S161</f>
        <v/>
      </c>
      <c r="T158" s="931">
        <f>T164/T161</f>
        <v/>
      </c>
      <c r="U158" s="931">
        <f>U164/U161</f>
        <v/>
      </c>
      <c r="V158" s="931">
        <f>V164/V161</f>
        <v/>
      </c>
      <c r="W158" s="931">
        <f>W164/W161</f>
        <v/>
      </c>
      <c r="X158" s="1036">
        <f>X164/X161</f>
        <v/>
      </c>
      <c r="Y158" s="931">
        <f>Y164/Y161</f>
        <v/>
      </c>
      <c r="Z158" s="931">
        <f>Z164/Z161</f>
        <v/>
      </c>
      <c r="AA158" s="931">
        <f>AA164/AA161</f>
        <v/>
      </c>
      <c r="AB158" s="931">
        <f>AB164/AB161</f>
        <v/>
      </c>
      <c r="AC158" s="938">
        <f>AC164/AC161</f>
        <v/>
      </c>
      <c r="AD158" s="1038" t="n"/>
      <c r="AE158" s="931" t="n"/>
      <c r="AF158" s="931" t="n"/>
      <c r="AG158" s="931" t="n"/>
      <c r="AH158" s="931" t="n"/>
      <c r="AI158" s="931" t="n"/>
      <c r="AJ158" s="938" t="n"/>
      <c r="AK158" s="929" t="n"/>
      <c r="AL158" s="931" t="n"/>
      <c r="AM158" s="931" t="n"/>
      <c r="AN158" s="931" t="n"/>
      <c r="AO158" s="931" t="n"/>
      <c r="AP158" s="931" t="n"/>
      <c r="AQ158" s="1039" t="n"/>
      <c r="AR158" s="1040" t="n"/>
      <c r="AS158" s="931" t="n"/>
      <c r="AT158" s="931" t="n"/>
      <c r="AU158" s="931" t="n"/>
      <c r="AV158" s="931" t="n"/>
      <c r="AW158" s="1041" t="n"/>
      <c r="AX158" s="931" t="n"/>
      <c r="AY158" s="931" t="n"/>
      <c r="AZ158" s="931" t="n"/>
      <c r="BA158" s="931" t="n"/>
      <c r="BB158" s="931" t="n"/>
      <c r="BC158" s="938" t="n"/>
      <c r="BD158" s="1041" t="n"/>
      <c r="BE158" s="931" t="n"/>
      <c r="BF158" s="931" t="n"/>
      <c r="BG158" s="931" t="n"/>
      <c r="BH158" s="931" t="n"/>
      <c r="BI158" s="938" t="n"/>
      <c r="BJ158" s="1041" t="n"/>
      <c r="BK158" s="931" t="n"/>
      <c r="BL158" s="931" t="n"/>
      <c r="BM158" s="931" t="n"/>
      <c r="BN158" s="931" t="n"/>
      <c r="BO158" s="938" t="n"/>
      <c r="BP158" s="1041" t="n"/>
      <c r="BQ158" s="931" t="n"/>
      <c r="BR158" s="931" t="n"/>
      <c r="BS158" s="931" t="n"/>
      <c r="BT158" s="938" t="n"/>
      <c r="BU158" s="1041" t="n"/>
      <c r="BV158" s="931" t="n"/>
      <c r="BW158" s="931" t="n"/>
      <c r="BX158" s="931" t="n"/>
      <c r="BY158" s="931" t="n"/>
      <c r="BZ158" s="939" t="n"/>
    </row>
    <row r="159" ht="16.5" customHeight="1" s="838">
      <c r="B159" s="756" t="n"/>
      <c r="C159" s="738" t="n"/>
      <c r="D159" s="738" t="n"/>
      <c r="E159" s="739" t="n"/>
      <c r="F159" s="151" t="inlineStr">
        <is>
          <t>`26 실적</t>
        </is>
      </c>
      <c r="G159" s="1036">
        <f>G165/G162</f>
        <v/>
      </c>
      <c r="H159" s="931">
        <f>H165/H162</f>
        <v/>
      </c>
      <c r="I159" s="931">
        <f>I165/I162</f>
        <v/>
      </c>
      <c r="J159" s="931">
        <f>J165/J162</f>
        <v/>
      </c>
      <c r="K159" s="931">
        <f>K165/K162</f>
        <v/>
      </c>
      <c r="L159" s="931">
        <f>L165/L162</f>
        <v/>
      </c>
      <c r="M159" s="1036">
        <f>M165/M162</f>
        <v/>
      </c>
      <c r="N159" s="931">
        <f>N165/N162</f>
        <v/>
      </c>
      <c r="O159" s="931">
        <f>O165/O162</f>
        <v/>
      </c>
      <c r="P159" s="931">
        <f>P165/P162</f>
        <v/>
      </c>
      <c r="Q159" s="938">
        <f>Q165/Q162</f>
        <v/>
      </c>
      <c r="R159" s="1037">
        <f>R165/R162</f>
        <v/>
      </c>
      <c r="S159" s="931">
        <f>S165/S162</f>
        <v/>
      </c>
      <c r="T159" s="931">
        <f>T165/T162</f>
        <v/>
      </c>
      <c r="U159" s="931">
        <f>U165/U162</f>
        <v/>
      </c>
      <c r="V159" s="931">
        <f>V165/V162</f>
        <v/>
      </c>
      <c r="W159" s="931">
        <f>W165/W162</f>
        <v/>
      </c>
      <c r="X159" s="1036">
        <f>X165/X162</f>
        <v/>
      </c>
      <c r="Y159" s="931">
        <f>Y165/Y162</f>
        <v/>
      </c>
      <c r="Z159" s="931">
        <f>Z165/Z162</f>
        <v/>
      </c>
      <c r="AA159" s="931">
        <f>AA165/AA162</f>
        <v/>
      </c>
      <c r="AB159" s="931">
        <f>AB165/AB162</f>
        <v/>
      </c>
      <c r="AC159" s="938">
        <f>AC165/AC162</f>
        <v/>
      </c>
      <c r="AD159" s="1038" t="n"/>
      <c r="AE159" s="931" t="n"/>
      <c r="AF159" s="931" t="n"/>
      <c r="AG159" s="931" t="n"/>
      <c r="AH159" s="931" t="n"/>
      <c r="AI159" s="931" t="n"/>
      <c r="AJ159" s="938" t="n"/>
      <c r="AK159" s="929" t="n"/>
      <c r="AL159" s="931" t="n"/>
      <c r="AM159" s="931" t="n"/>
      <c r="AN159" s="931" t="n"/>
      <c r="AO159" s="931" t="n"/>
      <c r="AP159" s="931" t="n"/>
      <c r="AQ159" s="1039" t="n"/>
      <c r="AR159" s="1040" t="n"/>
      <c r="AS159" s="931" t="n"/>
      <c r="AT159" s="931" t="n"/>
      <c r="AU159" s="931" t="n"/>
      <c r="AV159" s="931" t="n"/>
      <c r="AW159" s="281" t="n"/>
      <c r="BC159" s="151" t="n"/>
      <c r="BD159" s="281" t="n"/>
      <c r="BI159" s="151" t="n"/>
      <c r="BJ159" s="281" t="n"/>
      <c r="BO159" s="151" t="n"/>
      <c r="BP159" s="281" t="n"/>
      <c r="BT159" s="151" t="n"/>
      <c r="BU159" s="281" t="n"/>
      <c r="BZ159" s="152" t="n"/>
    </row>
    <row r="160" ht="16.5" customHeight="1" s="838">
      <c r="B160" s="756" t="n"/>
      <c r="C160" s="738" t="n"/>
      <c r="D160" s="738" t="n"/>
      <c r="E160" s="778" t="inlineStr">
        <is>
          <t>생산액</t>
        </is>
      </c>
      <c r="F160" s="220" t="inlineStr">
        <is>
          <t>`25 실적</t>
        </is>
      </c>
      <c r="G160" s="1104">
        <f>SUM(G169,G178)</f>
        <v/>
      </c>
      <c r="H160" s="941" t="n">
        <v>28.26785</v>
      </c>
      <c r="I160" s="941" t="n">
        <v>28.26785</v>
      </c>
      <c r="J160" s="941" t="n">
        <v>28.26785</v>
      </c>
      <c r="K160" s="941" t="n">
        <v>28.26785</v>
      </c>
      <c r="L160" s="941" t="n">
        <v>28.26785</v>
      </c>
      <c r="M160" s="1104">
        <f>SUM(M169,M178)</f>
        <v/>
      </c>
      <c r="N160" s="941" t="n">
        <v>12.058012</v>
      </c>
      <c r="O160" s="941" t="n">
        <v>12.058012</v>
      </c>
      <c r="P160" s="941" t="n">
        <v>12.058012</v>
      </c>
      <c r="Q160" s="942" t="n">
        <v>12.058012</v>
      </c>
      <c r="R160" s="1105">
        <f>SUM(R169,R178)</f>
        <v/>
      </c>
      <c r="S160" s="941">
        <f>SUM(S169,S178)</f>
        <v/>
      </c>
      <c r="T160" s="941">
        <f>SUM(T169,T178)</f>
        <v/>
      </c>
      <c r="U160" s="941">
        <f>SUM(U169,U178)</f>
        <v/>
      </c>
      <c r="V160" s="941">
        <f>SUM(V169,V178)</f>
        <v/>
      </c>
      <c r="W160" s="941">
        <f>SUM(W169,W178)</f>
        <v/>
      </c>
      <c r="X160" s="1104">
        <f>SUM(X169,X178)</f>
        <v/>
      </c>
      <c r="Y160" s="941">
        <f>SUM(Y169,Y178)</f>
        <v/>
      </c>
      <c r="Z160" s="941">
        <f>SUM(Z169,Z178)</f>
        <v/>
      </c>
      <c r="AA160" s="941">
        <f>SUM(AA169,AA178)</f>
        <v/>
      </c>
      <c r="AB160" s="941">
        <f>SUM(AB169,AB178)</f>
        <v/>
      </c>
      <c r="AC160" s="942">
        <f>SUM(AC169,AC178)</f>
        <v/>
      </c>
      <c r="AD160" s="1106" t="n"/>
      <c r="AE160" s="941" t="n"/>
      <c r="AF160" s="941" t="n"/>
      <c r="AG160" s="941" t="n"/>
      <c r="AH160" s="941" t="n"/>
      <c r="AI160" s="941" t="n"/>
      <c r="AJ160" s="942" t="n"/>
      <c r="AK160" s="940" t="n"/>
      <c r="AL160" s="941" t="n"/>
      <c r="AM160" s="941" t="n"/>
      <c r="AN160" s="941" t="n"/>
      <c r="AO160" s="941" t="n"/>
      <c r="AP160" s="941" t="n"/>
      <c r="AQ160" s="1107" t="n"/>
      <c r="AR160" s="1108" t="n"/>
      <c r="AS160" s="941" t="n"/>
      <c r="AT160" s="941" t="n"/>
      <c r="AU160" s="941" t="n"/>
      <c r="AV160" s="941" t="n"/>
      <c r="AW160" s="1109" t="n"/>
      <c r="AX160" s="941" t="n"/>
      <c r="AY160" s="941" t="n"/>
      <c r="AZ160" s="941" t="n"/>
      <c r="BA160" s="941" t="n"/>
      <c r="BB160" s="941" t="n"/>
      <c r="BC160" s="942" t="n"/>
      <c r="BD160" s="1109" t="n"/>
      <c r="BE160" s="941" t="n"/>
      <c r="BF160" s="941" t="n"/>
      <c r="BG160" s="941" t="n"/>
      <c r="BH160" s="941" t="n"/>
      <c r="BI160" s="942" t="n"/>
      <c r="BJ160" s="1109" t="n"/>
      <c r="BK160" s="941" t="n"/>
      <c r="BL160" s="941" t="n"/>
      <c r="BM160" s="941" t="n"/>
      <c r="BN160" s="941" t="n"/>
      <c r="BO160" s="942" t="n"/>
      <c r="BP160" s="1109" t="n"/>
      <c r="BQ160" s="941" t="n"/>
      <c r="BR160" s="941" t="n"/>
      <c r="BS160" s="941" t="n"/>
      <c r="BT160" s="942" t="n"/>
      <c r="BU160" s="1109" t="n"/>
      <c r="BV160" s="941" t="n"/>
      <c r="BW160" s="941" t="n"/>
      <c r="BX160" s="941" t="n"/>
      <c r="BY160" s="941" t="n"/>
      <c r="BZ160" s="943" t="n"/>
    </row>
    <row r="161" ht="16.5" customHeight="1" s="838">
      <c r="B161" s="756" t="n"/>
      <c r="C161" s="738" t="n"/>
      <c r="D161" s="738" t="n"/>
      <c r="E161" s="738" t="n"/>
      <c r="F161" s="151" t="inlineStr">
        <is>
          <t>`26 목표</t>
        </is>
      </c>
      <c r="G161" s="1110">
        <f>SUM(G170,G179)</f>
        <v/>
      </c>
      <c r="H161" s="946" t="n">
        <v>36.829785</v>
      </c>
      <c r="I161" s="946" t="n">
        <v>36.829785</v>
      </c>
      <c r="J161" s="946" t="n">
        <v>36.829785</v>
      </c>
      <c r="K161" s="946" t="n">
        <v>36.829785</v>
      </c>
      <c r="L161" s="946" t="n">
        <v>36.829785</v>
      </c>
      <c r="M161" s="1110">
        <f>SUM(M170,M179)</f>
        <v/>
      </c>
      <c r="N161" s="946" t="n">
        <v>21.443908</v>
      </c>
      <c r="O161" s="946" t="n">
        <v>21.443908</v>
      </c>
      <c r="P161" s="946" t="n">
        <v>21.443908</v>
      </c>
      <c r="Q161" s="1111" t="n">
        <v>21.443908</v>
      </c>
      <c r="R161" s="1112">
        <f>SUM(R170,R179)</f>
        <v/>
      </c>
      <c r="S161" s="946">
        <f>SUM(S170,S179)</f>
        <v/>
      </c>
      <c r="T161" s="946">
        <f>SUM(T170,T179)</f>
        <v/>
      </c>
      <c r="U161" s="946">
        <f>SUM(U170,U179)</f>
        <v/>
      </c>
      <c r="V161" s="946">
        <f>SUM(V170,V179)</f>
        <v/>
      </c>
      <c r="W161" s="946">
        <f>SUM(W170,W179)</f>
        <v/>
      </c>
      <c r="X161" s="1110">
        <f>SUM(X170,X179)</f>
        <v/>
      </c>
      <c r="Y161" s="946">
        <f>SUM(Y170,Y179)</f>
        <v/>
      </c>
      <c r="Z161" s="946">
        <f>SUM(Z170,Z179)</f>
        <v/>
      </c>
      <c r="AA161" s="946">
        <f>SUM(AA170,AA179)</f>
        <v/>
      </c>
      <c r="AB161" s="946">
        <f>SUM(AB170,AB179)</f>
        <v/>
      </c>
      <c r="AC161" s="1111">
        <f>SUM(AC170,AC179)</f>
        <v/>
      </c>
      <c r="AD161" s="1113" t="n"/>
      <c r="AE161" s="946" t="n"/>
      <c r="AF161" s="946" t="n"/>
      <c r="AG161" s="946" t="n"/>
      <c r="AH161" s="946" t="n"/>
      <c r="AI161" s="946" t="n"/>
      <c r="AJ161" s="1111" t="n"/>
      <c r="AK161" s="1114" t="n"/>
      <c r="AL161" s="946" t="n"/>
      <c r="AM161" s="946" t="n"/>
      <c r="AN161" s="946" t="n"/>
      <c r="AO161" s="946" t="n"/>
      <c r="AP161" s="946" t="n"/>
      <c r="AQ161" s="1115" t="n"/>
      <c r="AR161" s="1116" t="n"/>
      <c r="AS161" s="946" t="n"/>
      <c r="AT161" s="946" t="n"/>
      <c r="AU161" s="946" t="n"/>
      <c r="AV161" s="946" t="n"/>
      <c r="AW161" s="1117" t="n"/>
      <c r="AX161" s="946" t="n"/>
      <c r="AY161" s="946" t="n"/>
      <c r="AZ161" s="946" t="n"/>
      <c r="BA161" s="946" t="n"/>
      <c r="BB161" s="946" t="n"/>
      <c r="BC161" s="1111" t="n"/>
      <c r="BD161" s="1117" t="n"/>
      <c r="BE161" s="946" t="n"/>
      <c r="BF161" s="946" t="n"/>
      <c r="BG161" s="946" t="n"/>
      <c r="BH161" s="946" t="n"/>
      <c r="BI161" s="1111" t="n"/>
      <c r="BJ161" s="1117" t="n"/>
      <c r="BK161" s="946" t="n"/>
      <c r="BL161" s="946" t="n"/>
      <c r="BM161" s="946" t="n"/>
      <c r="BN161" s="946" t="n"/>
      <c r="BO161" s="1111" t="n"/>
      <c r="BP161" s="1117" t="n"/>
      <c r="BQ161" s="946" t="n"/>
      <c r="BR161" s="946" t="n"/>
      <c r="BS161" s="946" t="n"/>
      <c r="BT161" s="1111" t="n"/>
      <c r="BU161" s="1117" t="n"/>
      <c r="BV161" s="946" t="n"/>
      <c r="BW161" s="946" t="n"/>
      <c r="BX161" s="946" t="n"/>
      <c r="BY161" s="946" t="n"/>
      <c r="BZ161" s="1118" t="n"/>
    </row>
    <row r="162" ht="16.5" customHeight="1" s="838">
      <c r="B162" s="756" t="n"/>
      <c r="C162" s="738" t="n"/>
      <c r="D162" s="738" t="n"/>
      <c r="E162" s="739" t="n"/>
      <c r="F162" s="134" t="inlineStr">
        <is>
          <t>`26 실적</t>
        </is>
      </c>
      <c r="G162" s="1119">
        <f>SUM(G171,G180)</f>
        <v/>
      </c>
      <c r="H162" s="945">
        <f>SUM(H171,H180)</f>
        <v/>
      </c>
      <c r="I162" s="945">
        <f>SUM(I171,I180)</f>
        <v/>
      </c>
      <c r="J162" s="945">
        <f>SUM(J171,J180)</f>
        <v/>
      </c>
      <c r="K162" s="945">
        <f>SUM(K171,K180)</f>
        <v/>
      </c>
      <c r="L162" s="945">
        <f>SUM(L171,L180)</f>
        <v/>
      </c>
      <c r="M162" s="1119">
        <f>SUM(M171,M180)</f>
        <v/>
      </c>
      <c r="N162" s="945">
        <f>SUM(N171,N180)</f>
        <v/>
      </c>
      <c r="O162" s="945">
        <f>SUM(O171,O180)</f>
        <v/>
      </c>
      <c r="P162" s="945">
        <f>SUM(P171,P180)</f>
        <v/>
      </c>
      <c r="Q162" s="947">
        <f>SUM(Q171,Q180)</f>
        <v/>
      </c>
      <c r="R162" s="1120">
        <f>SUM(R171,R180)</f>
        <v/>
      </c>
      <c r="S162" s="945">
        <f>SUM(S171,S180)</f>
        <v/>
      </c>
      <c r="T162" s="945">
        <f>SUM(T171,T180)</f>
        <v/>
      </c>
      <c r="U162" s="945">
        <f>SUM(U171,U180)</f>
        <v/>
      </c>
      <c r="V162" s="945">
        <f>SUM(V171,V180)</f>
        <v/>
      </c>
      <c r="W162" s="945">
        <f>SUM(W171,W180)</f>
        <v/>
      </c>
      <c r="X162" s="1119">
        <f>SUM(X171,X180)</f>
        <v/>
      </c>
      <c r="Y162" s="945">
        <f>SUM(Y171,Y180)</f>
        <v/>
      </c>
      <c r="Z162" s="945">
        <f>SUM(Z171,Z180)</f>
        <v/>
      </c>
      <c r="AA162" s="945">
        <f>SUM(AA171,AA180)</f>
        <v/>
      </c>
      <c r="AB162" s="945">
        <f>SUM(AB171,AB180)</f>
        <v/>
      </c>
      <c r="AC162" s="947">
        <f>SUM(AC171,AC180)</f>
        <v/>
      </c>
      <c r="AD162" s="1121" t="n"/>
      <c r="AE162" s="945" t="n"/>
      <c r="AF162" s="945" t="n"/>
      <c r="AG162" s="945" t="n"/>
      <c r="AH162" s="945" t="n"/>
      <c r="AI162" s="945" t="n"/>
      <c r="AJ162" s="947" t="n"/>
      <c r="AK162" s="944" t="n"/>
      <c r="AL162" s="945" t="n"/>
      <c r="AM162" s="945" t="n"/>
      <c r="AN162" s="945" t="n"/>
      <c r="AO162" s="945" t="n"/>
      <c r="AP162" s="945" t="n"/>
      <c r="AQ162" s="1122" t="n"/>
      <c r="AR162" s="1123" t="n"/>
      <c r="AS162" s="945" t="n"/>
      <c r="AT162" s="945" t="n"/>
      <c r="AU162" s="945" t="n"/>
      <c r="AV162" s="945" t="n"/>
      <c r="AW162" s="1124" t="n"/>
      <c r="AX162" s="945" t="n"/>
      <c r="AY162" s="945" t="n"/>
      <c r="AZ162" s="945" t="n"/>
      <c r="BA162" s="945" t="n"/>
      <c r="BB162" s="945" t="n"/>
      <c r="BC162" s="947" t="n"/>
      <c r="BD162" s="1124" t="n"/>
      <c r="BE162" s="945" t="n"/>
      <c r="BF162" s="945" t="n"/>
      <c r="BG162" s="945" t="n"/>
      <c r="BH162" s="945" t="n"/>
      <c r="BI162" s="947" t="n"/>
      <c r="BJ162" s="1124" t="n"/>
      <c r="BK162" s="945" t="n"/>
      <c r="BL162" s="945" t="n"/>
      <c r="BM162" s="945" t="n"/>
      <c r="BN162" s="945" t="n"/>
      <c r="BO162" s="947" t="n"/>
      <c r="BP162" s="1124" t="n"/>
      <c r="BQ162" s="945" t="n"/>
      <c r="BR162" s="945" t="n"/>
      <c r="BS162" s="945" t="n"/>
      <c r="BT162" s="947" t="n"/>
      <c r="BU162" s="1124" t="n"/>
      <c r="BV162" s="945" t="n"/>
      <c r="BW162" s="945" t="n"/>
      <c r="BX162" s="945" t="n"/>
      <c r="BY162" s="945" t="n"/>
      <c r="BZ162" s="948" t="n"/>
    </row>
    <row r="163" ht="16.5" customHeight="1" s="838">
      <c r="B163" s="756" t="n"/>
      <c r="C163" s="738" t="n"/>
      <c r="D163" s="738" t="n"/>
      <c r="E163" s="778" t="inlineStr">
        <is>
          <t>가공비</t>
        </is>
      </c>
      <c r="F163" s="220" t="inlineStr">
        <is>
          <t>`25 실적</t>
        </is>
      </c>
      <c r="G163" s="1104">
        <f>SUM(G172,G181)</f>
        <v/>
      </c>
      <c r="H163" s="941" t="n">
        <v>2.21271205</v>
      </c>
      <c r="I163" s="941" t="n">
        <v>2.21271205</v>
      </c>
      <c r="J163" s="941" t="n">
        <v>2.21271205</v>
      </c>
      <c r="K163" s="941" t="n">
        <v>2.21271205</v>
      </c>
      <c r="L163" s="941" t="n">
        <v>2.21271205</v>
      </c>
      <c r="M163" s="1104">
        <f>SUM(M172,M181)</f>
        <v/>
      </c>
      <c r="N163" s="941" t="n">
        <v>1.30950407</v>
      </c>
      <c r="O163" s="941" t="n">
        <v>1.30950407</v>
      </c>
      <c r="P163" s="941" t="n">
        <v>1.30950407</v>
      </c>
      <c r="Q163" s="942" t="n">
        <v>1.30950407</v>
      </c>
      <c r="R163" s="1105">
        <f>SUM(R172,R181)</f>
        <v/>
      </c>
      <c r="S163" s="941">
        <f>SUM(S172,S181)</f>
        <v/>
      </c>
      <c r="T163" s="941">
        <f>SUM(T172,T181)</f>
        <v/>
      </c>
      <c r="U163" s="941">
        <f>SUM(U172,U181)</f>
        <v/>
      </c>
      <c r="V163" s="941">
        <f>SUM(V172,V181)</f>
        <v/>
      </c>
      <c r="W163" s="941">
        <f>SUM(W172,W181)</f>
        <v/>
      </c>
      <c r="X163" s="1104">
        <f>SUM(X172,X181)</f>
        <v/>
      </c>
      <c r="Y163" s="941">
        <f>SUM(Y172,Y181)</f>
        <v/>
      </c>
      <c r="Z163" s="941">
        <f>SUM(Z172,Z181)</f>
        <v/>
      </c>
      <c r="AA163" s="941">
        <f>SUM(AA172,AA181)</f>
        <v/>
      </c>
      <c r="AB163" s="941">
        <f>SUM(AB172,AB181)</f>
        <v/>
      </c>
      <c r="AC163" s="942">
        <f>SUM(AC172,AC181)</f>
        <v/>
      </c>
      <c r="AD163" s="1106" t="n"/>
      <c r="AE163" s="941" t="n"/>
      <c r="AF163" s="941" t="n"/>
      <c r="AG163" s="941" t="n"/>
      <c r="AH163" s="941" t="n"/>
      <c r="AI163" s="941" t="n"/>
      <c r="AJ163" s="942" t="n"/>
      <c r="AK163" s="940" t="n"/>
      <c r="AL163" s="941" t="n"/>
      <c r="AM163" s="941" t="n"/>
      <c r="AN163" s="941" t="n"/>
      <c r="AO163" s="941" t="n"/>
      <c r="AP163" s="941" t="n"/>
      <c r="AQ163" s="1107" t="n"/>
      <c r="AR163" s="1108" t="n"/>
      <c r="AS163" s="941" t="n"/>
      <c r="AT163" s="941" t="n"/>
      <c r="AU163" s="941" t="n"/>
      <c r="AV163" s="941" t="n"/>
      <c r="AW163" s="1109" t="n"/>
      <c r="AX163" s="941" t="n"/>
      <c r="AY163" s="941" t="n"/>
      <c r="AZ163" s="941" t="n"/>
      <c r="BA163" s="941" t="n"/>
      <c r="BB163" s="941" t="n"/>
      <c r="BC163" s="942" t="n"/>
      <c r="BD163" s="1109" t="n"/>
      <c r="BE163" s="941" t="n"/>
      <c r="BF163" s="941" t="n"/>
      <c r="BG163" s="941" t="n"/>
      <c r="BH163" s="941" t="n"/>
      <c r="BI163" s="942" t="n"/>
      <c r="BJ163" s="1109" t="n"/>
      <c r="BK163" s="941" t="n"/>
      <c r="BL163" s="941" t="n"/>
      <c r="BM163" s="941" t="n"/>
      <c r="BN163" s="941" t="n"/>
      <c r="BO163" s="942" t="n"/>
      <c r="BP163" s="1109" t="n"/>
      <c r="BQ163" s="941" t="n"/>
      <c r="BR163" s="941" t="n"/>
      <c r="BS163" s="941" t="n"/>
      <c r="BT163" s="942" t="n"/>
      <c r="BU163" s="1109" t="n"/>
      <c r="BV163" s="941" t="n"/>
      <c r="BW163" s="941" t="n"/>
      <c r="BX163" s="941" t="n"/>
      <c r="BY163" s="941" t="n"/>
      <c r="BZ163" s="943" t="n"/>
    </row>
    <row r="164" ht="16.5" customHeight="1" s="838">
      <c r="B164" s="756" t="n"/>
      <c r="C164" s="738" t="n"/>
      <c r="D164" s="738" t="n"/>
      <c r="E164" s="738" t="n"/>
      <c r="F164" s="151" t="inlineStr">
        <is>
          <t>`26 목표</t>
        </is>
      </c>
      <c r="G164" s="1110">
        <f>SUM(G173,G182)</f>
        <v/>
      </c>
      <c r="H164" s="946" t="n">
        <v>1.43286307</v>
      </c>
      <c r="I164" s="946" t="n">
        <v>1.43286307</v>
      </c>
      <c r="J164" s="946" t="n">
        <v>1.43286307</v>
      </c>
      <c r="K164" s="946" t="n">
        <v>1.43286307</v>
      </c>
      <c r="L164" s="946" t="n">
        <v>1.43286307</v>
      </c>
      <c r="M164" s="1110">
        <f>SUM(M173,M182)</f>
        <v/>
      </c>
      <c r="N164" s="946" t="n">
        <v>3.13040704</v>
      </c>
      <c r="O164" s="946" t="n">
        <v>3.13040704</v>
      </c>
      <c r="P164" s="946" t="n">
        <v>3.13040704</v>
      </c>
      <c r="Q164" s="1111" t="n">
        <v>3.13040704</v>
      </c>
      <c r="R164" s="1112">
        <f>SUM(R173,R182)</f>
        <v/>
      </c>
      <c r="S164" s="946">
        <f>SUM(S173,S182)</f>
        <v/>
      </c>
      <c r="T164" s="946">
        <f>SUM(T173,T182)</f>
        <v/>
      </c>
      <c r="U164" s="946">
        <f>SUM(U173,U182)</f>
        <v/>
      </c>
      <c r="V164" s="946">
        <f>SUM(V173,V182)</f>
        <v/>
      </c>
      <c r="W164" s="946">
        <f>SUM(W173,W182)</f>
        <v/>
      </c>
      <c r="X164" s="1110">
        <f>SUM(X173,X182)</f>
        <v/>
      </c>
      <c r="Y164" s="946">
        <f>SUM(Y173,Y182)</f>
        <v/>
      </c>
      <c r="Z164" s="946">
        <f>SUM(Z173,Z182)</f>
        <v/>
      </c>
      <c r="AA164" s="946">
        <f>SUM(AA173,AA182)</f>
        <v/>
      </c>
      <c r="AB164" s="946">
        <f>SUM(AB173,AB182)</f>
        <v/>
      </c>
      <c r="AC164" s="1111">
        <f>SUM(AC173,AC182)</f>
        <v/>
      </c>
      <c r="AD164" s="1113" t="n"/>
      <c r="AE164" s="946" t="n"/>
      <c r="AF164" s="946" t="n"/>
      <c r="AG164" s="946" t="n"/>
      <c r="AH164" s="946" t="n"/>
      <c r="AI164" s="946" t="n"/>
      <c r="AJ164" s="1111" t="n"/>
      <c r="AK164" s="1114" t="n"/>
      <c r="AL164" s="946" t="n"/>
      <c r="AM164" s="946" t="n"/>
      <c r="AN164" s="946" t="n"/>
      <c r="AO164" s="946" t="n"/>
      <c r="AP164" s="946" t="n"/>
      <c r="AQ164" s="1115" t="n"/>
      <c r="AR164" s="1116" t="n"/>
      <c r="AS164" s="946" t="n"/>
      <c r="AT164" s="946" t="n"/>
      <c r="AU164" s="946" t="n"/>
      <c r="AV164" s="946" t="n"/>
      <c r="AW164" s="1117" t="n"/>
      <c r="AX164" s="946" t="n"/>
      <c r="AY164" s="946" t="n"/>
      <c r="AZ164" s="946" t="n"/>
      <c r="BA164" s="946" t="n"/>
      <c r="BB164" s="946" t="n"/>
      <c r="BC164" s="1111" t="n"/>
      <c r="BD164" s="1117" t="n"/>
      <c r="BE164" s="946" t="n"/>
      <c r="BF164" s="946" t="n"/>
      <c r="BG164" s="946" t="n"/>
      <c r="BH164" s="946" t="n"/>
      <c r="BI164" s="1111" t="n"/>
      <c r="BJ164" s="1117" t="n"/>
      <c r="BK164" s="946" t="n"/>
      <c r="BL164" s="946" t="n"/>
      <c r="BM164" s="946" t="n"/>
      <c r="BN164" s="946" t="n"/>
      <c r="BO164" s="1111" t="n"/>
      <c r="BP164" s="1117" t="n"/>
      <c r="BQ164" s="946" t="n"/>
      <c r="BR164" s="946" t="n"/>
      <c r="BS164" s="946" t="n"/>
      <c r="BT164" s="1111" t="n"/>
      <c r="BU164" s="1117" t="n"/>
      <c r="BV164" s="946" t="n"/>
      <c r="BW164" s="946" t="n"/>
      <c r="BX164" s="946" t="n"/>
      <c r="BY164" s="946" t="n"/>
      <c r="BZ164" s="1118" t="n"/>
    </row>
    <row r="165" ht="16.5" customHeight="1" s="838">
      <c r="B165" s="756" t="n"/>
      <c r="C165" s="738" t="n"/>
      <c r="D165" s="739" t="n"/>
      <c r="E165" s="739" t="n"/>
      <c r="F165" s="134" t="inlineStr">
        <is>
          <t>`26 실적</t>
        </is>
      </c>
      <c r="G165" s="1119">
        <f>SUM(G174,G183)</f>
        <v/>
      </c>
      <c r="H165" s="945">
        <f>SUM(H174,H183)</f>
        <v/>
      </c>
      <c r="I165" s="945">
        <f>SUM(I174,I183)</f>
        <v/>
      </c>
      <c r="J165" s="945">
        <f>SUM(J174,J183)</f>
        <v/>
      </c>
      <c r="K165" s="945">
        <f>SUM(K174,K183)</f>
        <v/>
      </c>
      <c r="L165" s="945">
        <f>SUM(L174,L183)</f>
        <v/>
      </c>
      <c r="M165" s="1119">
        <f>SUM(M174,M183)</f>
        <v/>
      </c>
      <c r="N165" s="945">
        <f>SUM(N174,N183)</f>
        <v/>
      </c>
      <c r="O165" s="945">
        <f>SUM(O174,O183)</f>
        <v/>
      </c>
      <c r="P165" s="945">
        <f>SUM(P174,P183)</f>
        <v/>
      </c>
      <c r="Q165" s="947">
        <f>SUM(Q174,Q183)</f>
        <v/>
      </c>
      <c r="R165" s="1120">
        <f>SUM(R174,R183)</f>
        <v/>
      </c>
      <c r="S165" s="945">
        <f>SUM(S174,S183)</f>
        <v/>
      </c>
      <c r="T165" s="945">
        <f>SUM(T174,T183)</f>
        <v/>
      </c>
      <c r="U165" s="945">
        <f>SUM(U174,U183)</f>
        <v/>
      </c>
      <c r="V165" s="945">
        <f>SUM(V174,V183)</f>
        <v/>
      </c>
      <c r="W165" s="945">
        <f>SUM(W174,W183)</f>
        <v/>
      </c>
      <c r="X165" s="1119">
        <f>SUM(X174,X183)</f>
        <v/>
      </c>
      <c r="Y165" s="945">
        <f>SUM(Y174,Y183)</f>
        <v/>
      </c>
      <c r="Z165" s="945">
        <f>SUM(Z174,Z183)</f>
        <v/>
      </c>
      <c r="AA165" s="945">
        <f>SUM(AA174,AA183)</f>
        <v/>
      </c>
      <c r="AB165" s="945">
        <f>SUM(AB174,AB183)</f>
        <v/>
      </c>
      <c r="AC165" s="947">
        <f>SUM(AC174,AC183)</f>
        <v/>
      </c>
      <c r="AD165" s="1121" t="n"/>
      <c r="AE165" s="945" t="n"/>
      <c r="AF165" s="945" t="n"/>
      <c r="AG165" s="945" t="n"/>
      <c r="AH165" s="945" t="n"/>
      <c r="AI165" s="945" t="n"/>
      <c r="AJ165" s="947" t="n"/>
      <c r="AK165" s="944" t="n"/>
      <c r="AL165" s="945" t="n"/>
      <c r="AM165" s="945" t="n"/>
      <c r="AN165" s="945" t="n"/>
      <c r="AO165" s="945" t="n"/>
      <c r="AP165" s="945" t="n"/>
      <c r="AQ165" s="1122" t="n"/>
      <c r="AR165" s="1123" t="n"/>
      <c r="AS165" s="945" t="n"/>
      <c r="AT165" s="945" t="n"/>
      <c r="AU165" s="945" t="n"/>
      <c r="AV165" s="945" t="n"/>
      <c r="AW165" s="1124" t="n"/>
      <c r="AX165" s="945" t="n"/>
      <c r="AY165" s="945" t="n"/>
      <c r="AZ165" s="945" t="n"/>
      <c r="BA165" s="945" t="n"/>
      <c r="BB165" s="945" t="n"/>
      <c r="BC165" s="947" t="n"/>
      <c r="BD165" s="1124" t="n"/>
      <c r="BE165" s="945" t="n"/>
      <c r="BF165" s="945" t="n"/>
      <c r="BG165" s="945" t="n"/>
      <c r="BH165" s="945" t="n"/>
      <c r="BI165" s="947" t="n"/>
      <c r="BJ165" s="1124" t="n"/>
      <c r="BK165" s="945" t="n"/>
      <c r="BL165" s="945" t="n"/>
      <c r="BM165" s="945" t="n"/>
      <c r="BN165" s="945" t="n"/>
      <c r="BO165" s="947" t="n"/>
      <c r="BP165" s="1124" t="n"/>
      <c r="BQ165" s="945" t="n"/>
      <c r="BR165" s="945" t="n"/>
      <c r="BS165" s="945" t="n"/>
      <c r="BT165" s="947" t="n"/>
      <c r="BU165" s="1124" t="n"/>
      <c r="BV165" s="945" t="n"/>
      <c r="BW165" s="945" t="n"/>
      <c r="BX165" s="945" t="n"/>
      <c r="BY165" s="945" t="n"/>
      <c r="BZ165" s="948" t="n"/>
    </row>
    <row r="166" ht="16.5" customHeight="1" s="838">
      <c r="B166" s="756" t="n"/>
      <c r="C166" s="738" t="n"/>
      <c r="D166" s="737" t="inlineStr">
        <is>
          <t>지역1</t>
        </is>
      </c>
      <c r="E166" s="737" t="inlineStr">
        <is>
          <t>가공비율</t>
        </is>
      </c>
      <c r="F166" s="220" t="inlineStr">
        <is>
          <t>`25 실적</t>
        </is>
      </c>
      <c r="G166" s="1069">
        <f>G172/G169</f>
        <v/>
      </c>
      <c r="H166" s="930">
        <f>H172/H169</f>
        <v/>
      </c>
      <c r="I166" s="930">
        <f>I172/I169</f>
        <v/>
      </c>
      <c r="J166" s="930">
        <f>J172/J169</f>
        <v/>
      </c>
      <c r="K166" s="930">
        <f>K172/K169</f>
        <v/>
      </c>
      <c r="L166" s="930">
        <f>L172/L169</f>
        <v/>
      </c>
      <c r="M166" s="1069">
        <f>M172/M169</f>
        <v/>
      </c>
      <c r="N166" s="930">
        <f>N172/N169</f>
        <v/>
      </c>
      <c r="O166" s="930">
        <f>O172/O169</f>
        <v/>
      </c>
      <c r="P166" s="930">
        <f>P172/P169</f>
        <v/>
      </c>
      <c r="Q166" s="933">
        <f>Q172/Q169</f>
        <v/>
      </c>
      <c r="R166" s="1070">
        <f>R172/R169</f>
        <v/>
      </c>
      <c r="S166" s="930">
        <f>S172/S169</f>
        <v/>
      </c>
      <c r="T166" s="930">
        <f>T172/T169</f>
        <v/>
      </c>
      <c r="U166" s="930">
        <f>U172/U169</f>
        <v/>
      </c>
      <c r="V166" s="930">
        <f>V172/V169</f>
        <v/>
      </c>
      <c r="W166" s="930">
        <f>W172/W169</f>
        <v/>
      </c>
      <c r="X166" s="1069">
        <f>X172/X169</f>
        <v/>
      </c>
      <c r="Y166" s="930">
        <f>Y172/Y169</f>
        <v/>
      </c>
      <c r="Z166" s="930">
        <f>Z172/Z169</f>
        <v/>
      </c>
      <c r="AA166" s="930">
        <f>AA172/AA169</f>
        <v/>
      </c>
      <c r="AB166" s="930">
        <f>AB172/AB169</f>
        <v/>
      </c>
      <c r="AC166" s="933">
        <f>AC172/AC169</f>
        <v/>
      </c>
      <c r="AD166" s="1071" t="n"/>
      <c r="AE166" s="930" t="n"/>
      <c r="AF166" s="930" t="n"/>
      <c r="AG166" s="930" t="n"/>
      <c r="AH166" s="930" t="n"/>
      <c r="AI166" s="930" t="n"/>
      <c r="AJ166" s="933" t="n"/>
      <c r="AK166" s="932" t="n"/>
      <c r="AL166" s="930" t="n"/>
      <c r="AM166" s="930" t="n"/>
      <c r="AN166" s="930" t="n"/>
      <c r="AO166" s="930" t="n"/>
      <c r="AP166" s="930" t="n"/>
      <c r="AQ166" s="1072" t="n"/>
      <c r="AR166" s="1073" t="n"/>
      <c r="AS166" s="930" t="n"/>
      <c r="AT166" s="930" t="n"/>
      <c r="AU166" s="930" t="n"/>
      <c r="AV166" s="930" t="n"/>
      <c r="AW166" s="1074" t="n"/>
      <c r="AX166" s="930" t="n"/>
      <c r="AY166" s="930" t="n"/>
      <c r="AZ166" s="930" t="n"/>
      <c r="BA166" s="930" t="n"/>
      <c r="BB166" s="930" t="n"/>
      <c r="BC166" s="933" t="n"/>
      <c r="BD166" s="1074" t="n"/>
      <c r="BE166" s="930" t="n"/>
      <c r="BF166" s="930" t="n"/>
      <c r="BG166" s="930" t="n"/>
      <c r="BH166" s="930" t="n"/>
      <c r="BI166" s="933" t="n"/>
      <c r="BJ166" s="1074" t="n"/>
      <c r="BK166" s="930" t="n"/>
      <c r="BL166" s="930" t="n"/>
      <c r="BM166" s="930" t="n"/>
      <c r="BN166" s="930" t="n"/>
      <c r="BO166" s="933" t="n"/>
      <c r="BP166" s="1074" t="n"/>
      <c r="BQ166" s="930" t="n"/>
      <c r="BR166" s="930" t="n"/>
      <c r="BS166" s="930" t="n"/>
      <c r="BT166" s="933" t="n"/>
      <c r="BU166" s="1074" t="n"/>
      <c r="BV166" s="930" t="n"/>
      <c r="BW166" s="930" t="n"/>
      <c r="BX166" s="930" t="n"/>
      <c r="BY166" s="930" t="n"/>
      <c r="BZ166" s="934" t="n"/>
    </row>
    <row r="167" ht="16.5" customHeight="1" s="838">
      <c r="B167" s="756" t="n"/>
      <c r="C167" s="738" t="n"/>
      <c r="D167" s="738" t="n"/>
      <c r="E167" s="738" t="n"/>
      <c r="F167" s="151" t="inlineStr">
        <is>
          <t>`26 목표</t>
        </is>
      </c>
      <c r="G167" s="1036">
        <f>G173/G170</f>
        <v/>
      </c>
      <c r="H167" s="931">
        <f>H173/H170</f>
        <v/>
      </c>
      <c r="I167" s="931">
        <f>I173/I170</f>
        <v/>
      </c>
      <c r="J167" s="931">
        <f>J173/J170</f>
        <v/>
      </c>
      <c r="K167" s="931">
        <f>K173/K170</f>
        <v/>
      </c>
      <c r="L167" s="931">
        <f>L173/L170</f>
        <v/>
      </c>
      <c r="M167" s="1036">
        <f>M173/M170</f>
        <v/>
      </c>
      <c r="N167" s="931">
        <f>N173/N170</f>
        <v/>
      </c>
      <c r="O167" s="931">
        <f>O173/O170</f>
        <v/>
      </c>
      <c r="P167" s="931">
        <f>P173/P170</f>
        <v/>
      </c>
      <c r="Q167" s="938">
        <f>Q173/Q170</f>
        <v/>
      </c>
      <c r="R167" s="1037">
        <f>R173/R170</f>
        <v/>
      </c>
      <c r="S167" s="931">
        <f>S173/S170</f>
        <v/>
      </c>
      <c r="T167" s="931">
        <f>T173/T170</f>
        <v/>
      </c>
      <c r="U167" s="931">
        <f>U173/U170</f>
        <v/>
      </c>
      <c r="V167" s="931">
        <f>V173/V170</f>
        <v/>
      </c>
      <c r="W167" s="931">
        <f>W173/W170</f>
        <v/>
      </c>
      <c r="X167" s="1036">
        <f>X173/X170</f>
        <v/>
      </c>
      <c r="Y167" s="931">
        <f>Y173/Y170</f>
        <v/>
      </c>
      <c r="Z167" s="931">
        <f>Z173/Z170</f>
        <v/>
      </c>
      <c r="AA167" s="931">
        <f>AA173/AA170</f>
        <v/>
      </c>
      <c r="AB167" s="931">
        <f>AB173/AB170</f>
        <v/>
      </c>
      <c r="AC167" s="938">
        <f>AC173/AC170</f>
        <v/>
      </c>
      <c r="AD167" s="1038" t="n"/>
      <c r="AE167" s="931" t="n"/>
      <c r="AF167" s="931" t="n"/>
      <c r="AG167" s="931" t="n"/>
      <c r="AH167" s="931" t="n"/>
      <c r="AI167" s="931" t="n"/>
      <c r="AJ167" s="938" t="n"/>
      <c r="AK167" s="929" t="n"/>
      <c r="AL167" s="931" t="n"/>
      <c r="AM167" s="931" t="n"/>
      <c r="AN167" s="931" t="n"/>
      <c r="AO167" s="931" t="n"/>
      <c r="AP167" s="931" t="n"/>
      <c r="AQ167" s="1039" t="n"/>
      <c r="AR167" s="1040" t="n"/>
      <c r="AS167" s="931" t="n"/>
      <c r="AT167" s="931" t="n"/>
      <c r="AU167" s="931" t="n"/>
      <c r="AV167" s="931" t="n"/>
      <c r="AW167" s="1041" t="n"/>
      <c r="AX167" s="931" t="n"/>
      <c r="AY167" s="931" t="n"/>
      <c r="AZ167" s="931" t="n"/>
      <c r="BA167" s="931" t="n"/>
      <c r="BB167" s="931" t="n"/>
      <c r="BC167" s="938" t="n"/>
      <c r="BD167" s="1041" t="n"/>
      <c r="BE167" s="931" t="n"/>
      <c r="BF167" s="931" t="n"/>
      <c r="BG167" s="931" t="n"/>
      <c r="BH167" s="931" t="n"/>
      <c r="BI167" s="938" t="n"/>
      <c r="BJ167" s="1041" t="n"/>
      <c r="BK167" s="931" t="n"/>
      <c r="BL167" s="931" t="n"/>
      <c r="BM167" s="931" t="n"/>
      <c r="BN167" s="931" t="n"/>
      <c r="BO167" s="938" t="n"/>
      <c r="BP167" s="1041" t="n"/>
      <c r="BQ167" s="931" t="n"/>
      <c r="BR167" s="931" t="n"/>
      <c r="BS167" s="931" t="n"/>
      <c r="BT167" s="938" t="n"/>
      <c r="BU167" s="1041" t="n"/>
      <c r="BV167" s="931" t="n"/>
      <c r="BW167" s="931" t="n"/>
      <c r="BX167" s="931" t="n"/>
      <c r="BY167" s="931" t="n"/>
      <c r="BZ167" s="939" t="n"/>
    </row>
    <row r="168" ht="16.5" customHeight="1" s="838">
      <c r="B168" s="756" t="n"/>
      <c r="C168" s="738" t="n"/>
      <c r="D168" s="738" t="n"/>
      <c r="E168" s="739" t="n"/>
      <c r="F168" s="134" t="inlineStr">
        <is>
          <t>`26 실적</t>
        </is>
      </c>
      <c r="G168" s="1075">
        <f>G174/G171</f>
        <v/>
      </c>
      <c r="H168" s="922">
        <f>H174/H171</f>
        <v/>
      </c>
      <c r="I168" s="922">
        <f>I174/I171</f>
        <v/>
      </c>
      <c r="J168" s="922">
        <f>J174/J171</f>
        <v/>
      </c>
      <c r="K168" s="922">
        <f>K174/K171</f>
        <v/>
      </c>
      <c r="L168" s="922">
        <f>L174/L171</f>
        <v/>
      </c>
      <c r="M168" s="1075">
        <f>M174/M171</f>
        <v/>
      </c>
      <c r="N168" s="922">
        <f>N174/N171</f>
        <v/>
      </c>
      <c r="O168" s="922">
        <f>O174/O171</f>
        <v/>
      </c>
      <c r="P168" s="922">
        <f>P174/P171</f>
        <v/>
      </c>
      <c r="Q168" s="923">
        <f>Q174/Q171</f>
        <v/>
      </c>
      <c r="R168" s="1076">
        <f>R174/R171</f>
        <v/>
      </c>
      <c r="S168" s="922">
        <f>S174/S171</f>
        <v/>
      </c>
      <c r="T168" s="922">
        <f>T174/T171</f>
        <v/>
      </c>
      <c r="U168" s="922">
        <f>U174/U171</f>
        <v/>
      </c>
      <c r="V168" s="922">
        <f>V174/V171</f>
        <v/>
      </c>
      <c r="W168" s="922">
        <f>W174/W171</f>
        <v/>
      </c>
      <c r="X168" s="1075">
        <f>X174/X171</f>
        <v/>
      </c>
      <c r="Y168" s="922">
        <f>Y174/Y171</f>
        <v/>
      </c>
      <c r="Z168" s="922">
        <f>Z174/Z171</f>
        <v/>
      </c>
      <c r="AA168" s="922">
        <f>AA174/AA171</f>
        <v/>
      </c>
      <c r="AB168" s="922">
        <f>AB174/AB171</f>
        <v/>
      </c>
      <c r="AC168" s="923">
        <f>AC174/AC171</f>
        <v/>
      </c>
      <c r="AD168" s="1077" t="n"/>
      <c r="AE168" s="922" t="n"/>
      <c r="AF168" s="922" t="n"/>
      <c r="AG168" s="922" t="n"/>
      <c r="AH168" s="922" t="n"/>
      <c r="AI168" s="922" t="n"/>
      <c r="AJ168" s="923" t="n"/>
      <c r="AK168" s="921" t="n"/>
      <c r="AL168" s="922" t="n"/>
      <c r="AM168" s="922" t="n"/>
      <c r="AN168" s="922" t="n"/>
      <c r="AO168" s="922" t="n"/>
      <c r="AP168" s="922" t="n"/>
      <c r="AQ168" s="1078" t="n"/>
      <c r="AR168" s="1079" t="n"/>
      <c r="AS168" s="922" t="n"/>
      <c r="AT168" s="922" t="n"/>
      <c r="AU168" s="922" t="n"/>
      <c r="AV168" s="922" t="n"/>
      <c r="AW168" s="320" t="n"/>
      <c r="AX168" s="133" t="n"/>
      <c r="AY168" s="133" t="n"/>
      <c r="AZ168" s="133" t="n"/>
      <c r="BA168" s="133" t="n"/>
      <c r="BB168" s="133" t="n"/>
      <c r="BC168" s="134" t="n"/>
      <c r="BD168" s="320" t="n"/>
      <c r="BE168" s="133" t="n"/>
      <c r="BF168" s="133" t="n"/>
      <c r="BG168" s="133" t="n"/>
      <c r="BH168" s="133" t="n"/>
      <c r="BI168" s="134" t="n"/>
      <c r="BJ168" s="320" t="n"/>
      <c r="BK168" s="133" t="n"/>
      <c r="BL168" s="133" t="n"/>
      <c r="BM168" s="133" t="n"/>
      <c r="BN168" s="133" t="n"/>
      <c r="BO168" s="134" t="n"/>
      <c r="BP168" s="320" t="n"/>
      <c r="BQ168" s="133" t="n"/>
      <c r="BR168" s="133" t="n"/>
      <c r="BS168" s="133" t="n"/>
      <c r="BT168" s="134" t="n"/>
      <c r="BU168" s="320" t="n"/>
      <c r="BV168" s="133" t="n"/>
      <c r="BW168" s="133" t="n"/>
      <c r="BX168" s="133" t="n"/>
      <c r="BY168" s="133" t="n"/>
      <c r="BZ168" s="135" t="n"/>
    </row>
    <row r="169" ht="16.5" customHeight="1" s="838">
      <c r="B169" s="756" t="n"/>
      <c r="C169" s="738" t="n"/>
      <c r="D169" s="738" t="n"/>
      <c r="E169" s="778" t="inlineStr">
        <is>
          <t>생산액</t>
        </is>
      </c>
      <c r="F169" s="220" t="inlineStr">
        <is>
          <t>`25 실적</t>
        </is>
      </c>
      <c r="G169" s="1104" t="n">
        <v>35.402219</v>
      </c>
      <c r="H169" s="941" t="n">
        <v>35.402219</v>
      </c>
      <c r="I169" s="941" t="n">
        <v>35.402219</v>
      </c>
      <c r="J169" s="941" t="n">
        <v>35.402219</v>
      </c>
      <c r="K169" s="941" t="n">
        <v>35.402219</v>
      </c>
      <c r="L169" s="941" t="n">
        <v>35.402219</v>
      </c>
      <c r="M169" s="1104" t="n">
        <v>11.053964</v>
      </c>
      <c r="N169" s="941" t="n">
        <v>11.053964</v>
      </c>
      <c r="O169" s="941" t="n">
        <v>11.053964</v>
      </c>
      <c r="P169" s="941" t="n">
        <v>11.053964</v>
      </c>
      <c r="Q169" s="942" t="n">
        <v>11.053964</v>
      </c>
      <c r="R169" s="1105" t="n">
        <v>14.600212</v>
      </c>
      <c r="S169" s="941" t="n">
        <v>14.600212</v>
      </c>
      <c r="T169" s="941" t="n">
        <v>14.600212</v>
      </c>
      <c r="U169" s="941" t="n">
        <v>14.600212</v>
      </c>
      <c r="V169" s="941" t="n">
        <v>14.600212</v>
      </c>
      <c r="W169" s="941" t="n">
        <v>14.600212</v>
      </c>
      <c r="X169" s="1104" t="n">
        <v>25.355031</v>
      </c>
      <c r="Y169" s="941" t="n">
        <v>25.355031</v>
      </c>
      <c r="Z169" s="941" t="n">
        <v>25.355031</v>
      </c>
      <c r="AA169" s="941" t="n">
        <v>25.355031</v>
      </c>
      <c r="AB169" s="941" t="n">
        <v>25.355031</v>
      </c>
      <c r="AC169" s="942" t="n">
        <v>25.355031</v>
      </c>
      <c r="AD169" s="1106" t="n"/>
      <c r="AE169" s="941" t="n"/>
      <c r="AF169" s="941" t="n"/>
      <c r="AG169" s="941" t="n"/>
      <c r="AH169" s="941" t="n"/>
      <c r="AI169" s="941" t="n"/>
      <c r="AJ169" s="942" t="n"/>
      <c r="AK169" s="940" t="n"/>
      <c r="AL169" s="941" t="n"/>
      <c r="AM169" s="941" t="n"/>
      <c r="AN169" s="941" t="n"/>
      <c r="AO169" s="941" t="n"/>
      <c r="AP169" s="941" t="n"/>
      <c r="AQ169" s="1107" t="n"/>
      <c r="AR169" s="1108" t="n"/>
      <c r="AS169" s="941" t="n"/>
      <c r="AT169" s="941" t="n"/>
      <c r="AU169" s="941" t="n"/>
      <c r="AV169" s="941" t="n"/>
      <c r="AW169" s="1109" t="n"/>
      <c r="AX169" s="941" t="n"/>
      <c r="AY169" s="941" t="n"/>
      <c r="AZ169" s="941" t="n"/>
      <c r="BA169" s="941" t="n"/>
      <c r="BB169" s="941" t="n"/>
      <c r="BC169" s="942" t="n"/>
      <c r="BD169" s="1109" t="n"/>
      <c r="BE169" s="941" t="n"/>
      <c r="BF169" s="941" t="n"/>
      <c r="BG169" s="941" t="n"/>
      <c r="BH169" s="941" t="n"/>
      <c r="BI169" s="942" t="n"/>
      <c r="BJ169" s="1109" t="n"/>
      <c r="BK169" s="941" t="n"/>
      <c r="BL169" s="941" t="n"/>
      <c r="BM169" s="941" t="n"/>
      <c r="BN169" s="941" t="n"/>
      <c r="BO169" s="942" t="n"/>
      <c r="BP169" s="1109" t="n"/>
      <c r="BQ169" s="941" t="n"/>
      <c r="BR169" s="941" t="n"/>
      <c r="BS169" s="941" t="n"/>
      <c r="BT169" s="942" t="n"/>
      <c r="BU169" s="1109" t="n"/>
      <c r="BV169" s="941" t="n"/>
      <c r="BW169" s="941" t="n"/>
      <c r="BX169" s="941" t="n"/>
      <c r="BY169" s="941" t="n"/>
      <c r="BZ169" s="943" t="n"/>
    </row>
    <row r="170" ht="16.5" customHeight="1" s="838">
      <c r="B170" s="756" t="n"/>
      <c r="C170" s="738" t="n"/>
      <c r="D170" s="738" t="n"/>
      <c r="E170" s="738" t="n"/>
      <c r="F170" s="151" t="inlineStr">
        <is>
          <t>`26 목표</t>
        </is>
      </c>
      <c r="G170" s="1110" t="n">
        <v>33.937791</v>
      </c>
      <c r="H170" s="946" t="n">
        <v>40.552362</v>
      </c>
      <c r="I170" s="946" t="n">
        <v>40.552362</v>
      </c>
      <c r="J170" s="946" t="n">
        <v>40.552362</v>
      </c>
      <c r="K170" s="946" t="n">
        <v>40.552362</v>
      </c>
      <c r="L170" s="946" t="n">
        <v>40.552362</v>
      </c>
      <c r="M170" s="1110" t="n">
        <v>13.25</v>
      </c>
      <c r="N170" s="946" t="n">
        <v>20.564178</v>
      </c>
      <c r="O170" s="946" t="n">
        <v>20.564178</v>
      </c>
      <c r="P170" s="946" t="n">
        <v>20.564178</v>
      </c>
      <c r="Q170" s="1111" t="n">
        <v>20.564178</v>
      </c>
      <c r="R170" s="1112" t="n">
        <v>28.830127</v>
      </c>
      <c r="S170" s="946" t="n">
        <v>28.443734</v>
      </c>
      <c r="T170" s="946" t="n">
        <v>28.443734</v>
      </c>
      <c r="U170" s="946" t="n">
        <v>28.443734</v>
      </c>
      <c r="V170" s="946" t="n">
        <v>28.443734</v>
      </c>
      <c r="W170" s="946" t="n">
        <v>28.443734</v>
      </c>
      <c r="X170" s="1110" t="n">
        <v>32.306811</v>
      </c>
      <c r="Y170" s="946" t="n">
        <v>32.306811</v>
      </c>
      <c r="Z170" s="946" t="n">
        <v>32.306811</v>
      </c>
      <c r="AA170" s="946" t="n">
        <v>32.306811</v>
      </c>
      <c r="AB170" s="946" t="n">
        <v>32.306811</v>
      </c>
      <c r="AC170" s="1111" t="n">
        <v>32.306811</v>
      </c>
      <c r="AD170" s="1113" t="n"/>
      <c r="AE170" s="946" t="n"/>
      <c r="AF170" s="946" t="n"/>
      <c r="AG170" s="946" t="n"/>
      <c r="AH170" s="946" t="n"/>
      <c r="AI170" s="946" t="n"/>
      <c r="AJ170" s="1111" t="n"/>
      <c r="AK170" s="1114" t="n"/>
      <c r="AL170" s="946" t="n"/>
      <c r="AM170" s="946" t="n"/>
      <c r="AN170" s="946" t="n"/>
      <c r="AO170" s="946" t="n"/>
      <c r="AP170" s="946" t="n"/>
      <c r="AQ170" s="1115" t="n"/>
      <c r="AR170" s="1116" t="n"/>
      <c r="AS170" s="946" t="n"/>
      <c r="AT170" s="946" t="n"/>
      <c r="AU170" s="946" t="n"/>
      <c r="AV170" s="946" t="n"/>
      <c r="AW170" s="1117" t="n"/>
      <c r="AX170" s="946" t="n"/>
      <c r="AY170" s="946" t="n"/>
      <c r="AZ170" s="946" t="n"/>
      <c r="BA170" s="946" t="n"/>
      <c r="BB170" s="946" t="n"/>
      <c r="BC170" s="1111" t="n"/>
      <c r="BD170" s="1117" t="n"/>
      <c r="BE170" s="946" t="n"/>
      <c r="BF170" s="946" t="n"/>
      <c r="BG170" s="946" t="n"/>
      <c r="BH170" s="946" t="n"/>
      <c r="BI170" s="1111" t="n"/>
      <c r="BJ170" s="1117" t="n"/>
      <c r="BK170" s="946" t="n"/>
      <c r="BL170" s="946" t="n"/>
      <c r="BM170" s="946" t="n"/>
      <c r="BN170" s="946" t="n"/>
      <c r="BO170" s="1111" t="n"/>
      <c r="BP170" s="1117" t="n"/>
      <c r="BQ170" s="946" t="n"/>
      <c r="BR170" s="946" t="n"/>
      <c r="BS170" s="946" t="n"/>
      <c r="BT170" s="1111" t="n"/>
      <c r="BU170" s="1117" t="n"/>
      <c r="BV170" s="946" t="n"/>
      <c r="BW170" s="946" t="n"/>
      <c r="BX170" s="946" t="n"/>
      <c r="BY170" s="946" t="n"/>
      <c r="BZ170" s="1118" t="n"/>
    </row>
    <row r="171" ht="16.5" customHeight="1" s="838">
      <c r="B171" s="756" t="n"/>
      <c r="C171" s="738" t="n"/>
      <c r="D171" s="738" t="n"/>
      <c r="E171" s="739" t="n"/>
      <c r="F171" s="134" t="inlineStr">
        <is>
          <t>`26 실적</t>
        </is>
      </c>
      <c r="G171" s="1119" t="n">
        <v>18.448779</v>
      </c>
      <c r="H171" s="945" t="n">
        <v>30.692</v>
      </c>
      <c r="I171" s="945" t="n">
        <v>24.681552</v>
      </c>
      <c r="J171" s="945" t="n">
        <v>24.681552</v>
      </c>
      <c r="K171" s="945" t="n">
        <v>24.681552</v>
      </c>
      <c r="L171" s="945" t="n">
        <v>24.681552</v>
      </c>
      <c r="M171" s="1119" t="n">
        <v>20.157433</v>
      </c>
      <c r="N171" s="945" t="n">
        <v>18.378614</v>
      </c>
      <c r="O171" s="945" t="n">
        <v>18.378614</v>
      </c>
      <c r="P171" s="945" t="n">
        <v>18.378614</v>
      </c>
      <c r="Q171" s="947" t="n">
        <v>15.958115</v>
      </c>
      <c r="R171" s="1120" t="n">
        <v>14.437658</v>
      </c>
      <c r="S171" s="945" t="n">
        <v>37.62958</v>
      </c>
      <c r="T171" s="945" t="n">
        <v>37.62958</v>
      </c>
      <c r="U171" s="945" t="n">
        <v>37.62958</v>
      </c>
      <c r="V171" s="945" t="n">
        <v>37.62958</v>
      </c>
      <c r="W171" s="945" t="n">
        <v>37.62958</v>
      </c>
      <c r="X171" s="1119" t="n">
        <v>15.897982</v>
      </c>
      <c r="Y171" s="945" t="n">
        <v>42.755915</v>
      </c>
      <c r="Z171" s="945" t="n">
        <v>32.306811</v>
      </c>
      <c r="AA171" s="945" t="n">
        <v>42.755915</v>
      </c>
      <c r="AB171" s="945" t="n">
        <v>32.306811</v>
      </c>
      <c r="AC171" s="947" t="n">
        <v>42.755915</v>
      </c>
      <c r="AD171" s="1121" t="n"/>
      <c r="AE171" s="945" t="n"/>
      <c r="AF171" s="945" t="n"/>
      <c r="AG171" s="945" t="n"/>
      <c r="AH171" s="945" t="n"/>
      <c r="AI171" s="945" t="n"/>
      <c r="AJ171" s="947" t="n"/>
      <c r="AK171" s="944" t="n"/>
      <c r="AL171" s="945" t="n"/>
      <c r="AM171" s="945" t="n"/>
      <c r="AN171" s="945" t="n"/>
      <c r="AO171" s="945" t="n"/>
      <c r="AP171" s="945" t="n"/>
      <c r="AQ171" s="1122" t="n"/>
      <c r="AR171" s="1123" t="n"/>
      <c r="AS171" s="945" t="n"/>
      <c r="AT171" s="945" t="n"/>
      <c r="AU171" s="945" t="n"/>
      <c r="AV171" s="945" t="n"/>
      <c r="AW171" s="1124" t="n"/>
      <c r="AX171" s="945" t="n"/>
      <c r="AY171" s="945" t="n"/>
      <c r="AZ171" s="945" t="n"/>
      <c r="BA171" s="945" t="n"/>
      <c r="BB171" s="945" t="n"/>
      <c r="BC171" s="947" t="n"/>
      <c r="BD171" s="1124" t="n"/>
      <c r="BE171" s="945" t="n"/>
      <c r="BF171" s="945" t="n"/>
      <c r="BG171" s="945" t="n"/>
      <c r="BH171" s="945" t="n"/>
      <c r="BI171" s="947" t="n"/>
      <c r="BJ171" s="1124" t="n"/>
      <c r="BK171" s="945" t="n"/>
      <c r="BL171" s="945" t="n"/>
      <c r="BM171" s="945" t="n"/>
      <c r="BN171" s="945" t="n"/>
      <c r="BO171" s="947" t="n"/>
      <c r="BP171" s="1124" t="n"/>
      <c r="BQ171" s="945" t="n"/>
      <c r="BR171" s="945" t="n"/>
      <c r="BS171" s="945" t="n"/>
      <c r="BT171" s="947" t="n"/>
      <c r="BU171" s="1124" t="n"/>
      <c r="BV171" s="945" t="n"/>
      <c r="BW171" s="945" t="n"/>
      <c r="BX171" s="945" t="n"/>
      <c r="BY171" s="945" t="n"/>
      <c r="BZ171" s="948" t="n"/>
    </row>
    <row r="172" ht="16.5" customHeight="1" s="838">
      <c r="B172" s="756" t="n"/>
      <c r="C172" s="738" t="n"/>
      <c r="D172" s="738" t="n"/>
      <c r="E172" s="778" t="inlineStr">
        <is>
          <t>가공비</t>
        </is>
      </c>
      <c r="F172" s="220" t="inlineStr">
        <is>
          <t>`25 실적</t>
        </is>
      </c>
      <c r="G172" s="1104" t="n">
        <v>1.71965674</v>
      </c>
      <c r="H172" s="941" t="n">
        <v>1.71965674</v>
      </c>
      <c r="I172" s="941" t="n">
        <v>1.71965674</v>
      </c>
      <c r="J172" s="941" t="n">
        <v>1.71965674</v>
      </c>
      <c r="K172" s="941" t="n">
        <v>1.71965674</v>
      </c>
      <c r="L172" s="941" t="n">
        <v>1.71965674</v>
      </c>
      <c r="M172" s="1104" t="n">
        <v>2.53915209</v>
      </c>
      <c r="N172" s="941" t="n">
        <v>2.53915209</v>
      </c>
      <c r="O172" s="941" t="n">
        <v>2.53915209</v>
      </c>
      <c r="P172" s="941" t="n">
        <v>2.53915209</v>
      </c>
      <c r="Q172" s="942" t="n">
        <v>2.53915209</v>
      </c>
      <c r="R172" s="1105" t="n">
        <v>1.69044106</v>
      </c>
      <c r="S172" s="941" t="n">
        <v>1.69044106</v>
      </c>
      <c r="T172" s="941" t="n">
        <v>1.69044106</v>
      </c>
      <c r="U172" s="941" t="n">
        <v>1.69044106</v>
      </c>
      <c r="V172" s="941" t="n">
        <v>1.69044106</v>
      </c>
      <c r="W172" s="941" t="n">
        <v>1.69044106</v>
      </c>
      <c r="X172" s="1104" t="n">
        <v>1.95934677</v>
      </c>
      <c r="Y172" s="941" t="n">
        <v>1.95934677</v>
      </c>
      <c r="Z172" s="941" t="n">
        <v>1.95934677</v>
      </c>
      <c r="AA172" s="941" t="n">
        <v>1.95934677</v>
      </c>
      <c r="AB172" s="941" t="n">
        <v>1.95934677</v>
      </c>
      <c r="AC172" s="942" t="n">
        <v>1.95934677</v>
      </c>
      <c r="AD172" s="1106" t="n"/>
      <c r="AE172" s="941" t="n"/>
      <c r="AF172" s="941" t="n"/>
      <c r="AG172" s="941" t="n"/>
      <c r="AH172" s="941" t="n"/>
      <c r="AI172" s="941" t="n"/>
      <c r="AJ172" s="942" t="n"/>
      <c r="AK172" s="940" t="n"/>
      <c r="AL172" s="941" t="n"/>
      <c r="AM172" s="941" t="n"/>
      <c r="AN172" s="941" t="n"/>
      <c r="AO172" s="941" t="n"/>
      <c r="AP172" s="941" t="n"/>
      <c r="AQ172" s="1107" t="n"/>
      <c r="AR172" s="1108" t="n"/>
      <c r="AS172" s="941" t="n"/>
      <c r="AT172" s="941" t="n"/>
      <c r="AU172" s="941" t="n"/>
      <c r="AV172" s="941" t="n"/>
      <c r="AW172" s="1109" t="n"/>
      <c r="AX172" s="941" t="n"/>
      <c r="AY172" s="941" t="n"/>
      <c r="AZ172" s="941" t="n"/>
      <c r="BA172" s="941" t="n"/>
      <c r="BB172" s="941" t="n"/>
      <c r="BC172" s="942" t="n"/>
      <c r="BD172" s="1109" t="n"/>
      <c r="BE172" s="941" t="n"/>
      <c r="BF172" s="941" t="n"/>
      <c r="BG172" s="941" t="n"/>
      <c r="BH172" s="941" t="n"/>
      <c r="BI172" s="942" t="n"/>
      <c r="BJ172" s="1109" t="n"/>
      <c r="BK172" s="941" t="n"/>
      <c r="BL172" s="941" t="n"/>
      <c r="BM172" s="941" t="n"/>
      <c r="BN172" s="941" t="n"/>
      <c r="BO172" s="942" t="n"/>
      <c r="BP172" s="1109" t="n"/>
      <c r="BQ172" s="941" t="n"/>
      <c r="BR172" s="941" t="n"/>
      <c r="BS172" s="941" t="n"/>
      <c r="BT172" s="942" t="n"/>
      <c r="BU172" s="1109" t="n"/>
      <c r="BV172" s="941" t="n"/>
      <c r="BW172" s="941" t="n"/>
      <c r="BX172" s="941" t="n"/>
      <c r="BY172" s="941" t="n"/>
      <c r="BZ172" s="943" t="n"/>
    </row>
    <row r="173" ht="16.5" customHeight="1" s="838">
      <c r="B173" s="756" t="n"/>
      <c r="C173" s="738" t="n"/>
      <c r="D173" s="738" t="n"/>
      <c r="E173" s="738" t="n"/>
      <c r="F173" s="151" t="inlineStr">
        <is>
          <t>`26 목표</t>
        </is>
      </c>
      <c r="G173" s="1110" t="n">
        <v>2.29749986</v>
      </c>
      <c r="H173" s="946" t="n">
        <v>1.98303706</v>
      </c>
      <c r="I173" s="946" t="n">
        <v>1.98303706</v>
      </c>
      <c r="J173" s="946" t="n">
        <v>1.98303706</v>
      </c>
      <c r="K173" s="946" t="n">
        <v>1.98303706</v>
      </c>
      <c r="L173" s="946" t="n">
        <v>1.98303706</v>
      </c>
      <c r="M173" s="1110" t="n">
        <v>1.74231483</v>
      </c>
      <c r="N173" s="946" t="n">
        <v>2.94073009</v>
      </c>
      <c r="O173" s="946" t="n">
        <v>2.94073009</v>
      </c>
      <c r="P173" s="946" t="n">
        <v>2.94073009</v>
      </c>
      <c r="Q173" s="1111" t="n">
        <v>2.94073009</v>
      </c>
      <c r="R173" s="1112" t="n">
        <v>2.65355085</v>
      </c>
      <c r="S173" s="946" t="n">
        <v>1.97108684</v>
      </c>
      <c r="T173" s="946" t="n">
        <v>1.97108684</v>
      </c>
      <c r="U173" s="946" t="n">
        <v>1.97108684</v>
      </c>
      <c r="V173" s="946" t="n">
        <v>1.97108684</v>
      </c>
      <c r="W173" s="946" t="n">
        <v>1.97108684</v>
      </c>
      <c r="X173" s="1110" t="n">
        <v>3.38240179</v>
      </c>
      <c r="Y173" s="946" t="n">
        <v>3.38240179</v>
      </c>
      <c r="Z173" s="946" t="n">
        <v>3.38240179</v>
      </c>
      <c r="AA173" s="946" t="n">
        <v>3.38240179</v>
      </c>
      <c r="AB173" s="946" t="n">
        <v>3.38240179</v>
      </c>
      <c r="AC173" s="1111" t="n">
        <v>3.38240179</v>
      </c>
      <c r="AD173" s="1113" t="n"/>
      <c r="AE173" s="946" t="n"/>
      <c r="AF173" s="946" t="n"/>
      <c r="AG173" s="946" t="n"/>
      <c r="AH173" s="946" t="n"/>
      <c r="AI173" s="946" t="n"/>
      <c r="AJ173" s="1111" t="n"/>
      <c r="AK173" s="1114" t="n"/>
      <c r="AL173" s="946" t="n"/>
      <c r="AM173" s="946" t="n"/>
      <c r="AN173" s="946" t="n"/>
      <c r="AO173" s="946" t="n"/>
      <c r="AP173" s="946" t="n"/>
      <c r="AQ173" s="1115" t="n"/>
      <c r="AR173" s="1116" t="n"/>
      <c r="AS173" s="946" t="n"/>
      <c r="AT173" s="946" t="n"/>
      <c r="AU173" s="946" t="n"/>
      <c r="AV173" s="946" t="n"/>
      <c r="AW173" s="1117" t="n"/>
      <c r="AX173" s="946" t="n"/>
      <c r="AY173" s="946" t="n"/>
      <c r="AZ173" s="946" t="n"/>
      <c r="BA173" s="946" t="n"/>
      <c r="BB173" s="946" t="n"/>
      <c r="BC173" s="1111" t="n"/>
      <c r="BD173" s="1117" t="n"/>
      <c r="BE173" s="946" t="n"/>
      <c r="BF173" s="946" t="n"/>
      <c r="BG173" s="946" t="n"/>
      <c r="BH173" s="946" t="n"/>
      <c r="BI173" s="1111" t="n"/>
      <c r="BJ173" s="1117" t="n"/>
      <c r="BK173" s="946" t="n"/>
      <c r="BL173" s="946" t="n"/>
      <c r="BM173" s="946" t="n"/>
      <c r="BN173" s="946" t="n"/>
      <c r="BO173" s="1111" t="n"/>
      <c r="BP173" s="1117" t="n"/>
      <c r="BQ173" s="946" t="n"/>
      <c r="BR173" s="946" t="n"/>
      <c r="BS173" s="946" t="n"/>
      <c r="BT173" s="1111" t="n"/>
      <c r="BU173" s="1117" t="n"/>
      <c r="BV173" s="946" t="n"/>
      <c r="BW173" s="946" t="n"/>
      <c r="BX173" s="946" t="n"/>
      <c r="BY173" s="946" t="n"/>
      <c r="BZ173" s="1118" t="n"/>
    </row>
    <row r="174" ht="16.5" customHeight="1" s="838">
      <c r="B174" s="756" t="n"/>
      <c r="C174" s="738" t="n"/>
      <c r="D174" s="739" t="n"/>
      <c r="E174" s="739" t="n"/>
      <c r="F174" s="134" t="inlineStr">
        <is>
          <t>`26 실적</t>
        </is>
      </c>
      <c r="G174" s="1119" t="n">
        <v>3.92073112</v>
      </c>
      <c r="H174" s="945" t="n">
        <v>1.30431916</v>
      </c>
      <c r="I174" s="945" t="n">
        <v>0.94235797</v>
      </c>
      <c r="J174" s="945" t="n">
        <v>0.94235797</v>
      </c>
      <c r="K174" s="945" t="n">
        <v>0.94235797</v>
      </c>
      <c r="L174" s="945" t="n">
        <v>0.94235797</v>
      </c>
      <c r="M174" s="1119" t="n">
        <v>1.79073942</v>
      </c>
      <c r="N174" s="945" t="n">
        <v>0.7990129</v>
      </c>
      <c r="O174" s="945" t="n">
        <v>0.7990129</v>
      </c>
      <c r="P174" s="945" t="n">
        <v>0.7990129</v>
      </c>
      <c r="Q174" s="947" t="n">
        <v>0.73889353</v>
      </c>
      <c r="R174" s="1120" t="n">
        <v>2.33393684</v>
      </c>
      <c r="S174" s="945" t="n">
        <v>2.51666134</v>
      </c>
      <c r="T174" s="945" t="n">
        <v>2.51666134</v>
      </c>
      <c r="U174" s="945" t="n">
        <v>4.36032273</v>
      </c>
      <c r="V174" s="945" t="n">
        <v>3.87730421</v>
      </c>
      <c r="W174" s="945" t="n">
        <v>2.51666134</v>
      </c>
      <c r="X174" s="1119" t="n">
        <v>2.58605805</v>
      </c>
      <c r="Y174" s="945" t="n">
        <v>1.73130077</v>
      </c>
      <c r="Z174" s="945" t="n">
        <v>2.69344426</v>
      </c>
      <c r="AA174" s="945" t="n">
        <v>5.01218409</v>
      </c>
      <c r="AB174" s="945" t="n">
        <v>2.69344426</v>
      </c>
      <c r="AC174" s="947" t="n">
        <v>5.01218409</v>
      </c>
      <c r="AD174" s="1121" t="n"/>
      <c r="AE174" s="945" t="n"/>
      <c r="AF174" s="945" t="n"/>
      <c r="AG174" s="945" t="n"/>
      <c r="AH174" s="945" t="n"/>
      <c r="AI174" s="945" t="n"/>
      <c r="AJ174" s="947" t="n"/>
      <c r="AK174" s="944" t="n"/>
      <c r="AL174" s="945" t="n"/>
      <c r="AM174" s="945" t="n"/>
      <c r="AN174" s="945" t="n"/>
      <c r="AO174" s="945" t="n"/>
      <c r="AP174" s="945" t="n"/>
      <c r="AQ174" s="1122" t="n"/>
      <c r="AR174" s="1123" t="n"/>
      <c r="AS174" s="945" t="n"/>
      <c r="AT174" s="945" t="n"/>
      <c r="AU174" s="945" t="n"/>
      <c r="AV174" s="945" t="n"/>
      <c r="AW174" s="1124" t="n"/>
      <c r="AX174" s="945" t="n"/>
      <c r="AY174" s="945" t="n"/>
      <c r="AZ174" s="945" t="n"/>
      <c r="BA174" s="945" t="n"/>
      <c r="BB174" s="945" t="n"/>
      <c r="BC174" s="947" t="n"/>
      <c r="BD174" s="1124" t="n"/>
      <c r="BE174" s="945" t="n"/>
      <c r="BF174" s="945" t="n"/>
      <c r="BG174" s="945" t="n"/>
      <c r="BH174" s="945" t="n"/>
      <c r="BI174" s="947" t="n"/>
      <c r="BJ174" s="1124" t="n"/>
      <c r="BK174" s="945" t="n"/>
      <c r="BL174" s="945" t="n"/>
      <c r="BM174" s="945" t="n"/>
      <c r="BN174" s="945" t="n"/>
      <c r="BO174" s="947" t="n"/>
      <c r="BP174" s="1124" t="n"/>
      <c r="BQ174" s="945" t="n"/>
      <c r="BR174" s="945" t="n"/>
      <c r="BS174" s="945" t="n"/>
      <c r="BT174" s="947" t="n"/>
      <c r="BU174" s="1124" t="n"/>
      <c r="BV174" s="945" t="n"/>
      <c r="BW174" s="945" t="n"/>
      <c r="BX174" s="945" t="n"/>
      <c r="BY174" s="945" t="n"/>
      <c r="BZ174" s="948" t="n"/>
    </row>
    <row r="175" ht="16.5" customHeight="1" s="838">
      <c r="B175" s="756" t="n"/>
      <c r="C175" s="738" t="n"/>
      <c r="D175" s="737" t="inlineStr">
        <is>
          <t>지역3</t>
        </is>
      </c>
      <c r="E175" s="737" t="inlineStr">
        <is>
          <t>가공비율</t>
        </is>
      </c>
      <c r="F175" s="220" t="inlineStr">
        <is>
          <t>`25 실적</t>
        </is>
      </c>
      <c r="G175" s="1069">
        <f>G181/G178</f>
        <v/>
      </c>
      <c r="H175" s="930">
        <f>H181/H178</f>
        <v/>
      </c>
      <c r="I175" s="930">
        <f>I181/I178</f>
        <v/>
      </c>
      <c r="J175" s="930">
        <f>J181/J178</f>
        <v/>
      </c>
      <c r="K175" s="930">
        <f>K181/K178</f>
        <v/>
      </c>
      <c r="L175" s="930">
        <f>L181/L178</f>
        <v/>
      </c>
      <c r="M175" s="1069">
        <f>M181/M178</f>
        <v/>
      </c>
      <c r="N175" s="930">
        <f>N181/N178</f>
        <v/>
      </c>
      <c r="O175" s="930">
        <f>O181/O178</f>
        <v/>
      </c>
      <c r="P175" s="930">
        <f>P181/P178</f>
        <v/>
      </c>
      <c r="Q175" s="933">
        <f>Q181/Q178</f>
        <v/>
      </c>
      <c r="R175" s="1070">
        <f>R181/R178</f>
        <v/>
      </c>
      <c r="S175" s="930">
        <f>S181/S178</f>
        <v/>
      </c>
      <c r="T175" s="930">
        <f>T181/T178</f>
        <v/>
      </c>
      <c r="U175" s="930">
        <f>U181/U178</f>
        <v/>
      </c>
      <c r="V175" s="930">
        <f>V181/V178</f>
        <v/>
      </c>
      <c r="W175" s="930">
        <f>W181/W178</f>
        <v/>
      </c>
      <c r="X175" s="1069">
        <f>X181/X178</f>
        <v/>
      </c>
      <c r="Y175" s="930">
        <f>Y181/Y178</f>
        <v/>
      </c>
      <c r="Z175" s="930">
        <f>Z181/Z178</f>
        <v/>
      </c>
      <c r="AA175" s="930">
        <f>AA181/AA178</f>
        <v/>
      </c>
      <c r="AB175" s="930">
        <f>AB181/AB178</f>
        <v/>
      </c>
      <c r="AC175" s="933">
        <f>AC181/AC178</f>
        <v/>
      </c>
      <c r="AD175" s="1071" t="n"/>
      <c r="AE175" s="930" t="n"/>
      <c r="AF175" s="930" t="n"/>
      <c r="AG175" s="930" t="n"/>
      <c r="AH175" s="930" t="n"/>
      <c r="AI175" s="930" t="n"/>
      <c r="AJ175" s="933" t="n"/>
      <c r="AK175" s="932" t="n"/>
      <c r="AL175" s="930" t="n"/>
      <c r="AM175" s="930" t="n"/>
      <c r="AN175" s="930" t="n"/>
      <c r="AO175" s="930" t="n"/>
      <c r="AP175" s="930" t="n"/>
      <c r="AQ175" s="1072" t="n"/>
      <c r="AR175" s="1073" t="n"/>
      <c r="AS175" s="930" t="n"/>
      <c r="AT175" s="930" t="n"/>
      <c r="AU175" s="930" t="n"/>
      <c r="AV175" s="930" t="n"/>
      <c r="AW175" s="1074" t="n"/>
      <c r="AX175" s="930" t="n"/>
      <c r="AY175" s="930" t="n"/>
      <c r="AZ175" s="930" t="n"/>
      <c r="BA175" s="930" t="n"/>
      <c r="BB175" s="930" t="n"/>
      <c r="BC175" s="933" t="n"/>
      <c r="BD175" s="1074" t="n"/>
      <c r="BE175" s="930" t="n"/>
      <c r="BF175" s="930" t="n"/>
      <c r="BG175" s="930" t="n"/>
      <c r="BH175" s="930" t="n"/>
      <c r="BI175" s="933" t="n"/>
      <c r="BJ175" s="1074" t="n"/>
      <c r="BK175" s="930" t="n"/>
      <c r="BL175" s="930" t="n"/>
      <c r="BM175" s="930" t="n"/>
      <c r="BN175" s="930" t="n"/>
      <c r="BO175" s="933" t="n"/>
      <c r="BP175" s="1074" t="n"/>
      <c r="BQ175" s="930" t="n"/>
      <c r="BR175" s="930" t="n"/>
      <c r="BS175" s="930" t="n"/>
      <c r="BT175" s="933" t="n"/>
      <c r="BU175" s="1074" t="n"/>
      <c r="BV175" s="930" t="n"/>
      <c r="BW175" s="930" t="n"/>
      <c r="BX175" s="930" t="n"/>
      <c r="BY175" s="930" t="n"/>
      <c r="BZ175" s="934" t="n"/>
    </row>
    <row r="176" ht="16.5" customHeight="1" s="838">
      <c r="B176" s="756" t="n"/>
      <c r="C176" s="738" t="n"/>
      <c r="D176" s="738" t="n"/>
      <c r="E176" s="738" t="n"/>
      <c r="F176" s="151" t="inlineStr">
        <is>
          <t>`26 목표</t>
        </is>
      </c>
      <c r="G176" s="1036">
        <f>G182/G179</f>
        <v/>
      </c>
      <c r="H176" s="931">
        <f>H182/H179</f>
        <v/>
      </c>
      <c r="I176" s="931">
        <f>I182/I179</f>
        <v/>
      </c>
      <c r="J176" s="931">
        <f>J182/J179</f>
        <v/>
      </c>
      <c r="K176" s="931">
        <f>K182/K179</f>
        <v/>
      </c>
      <c r="L176" s="931">
        <f>L182/L179</f>
        <v/>
      </c>
      <c r="M176" s="1036">
        <f>M182/M179</f>
        <v/>
      </c>
      <c r="N176" s="931">
        <f>N182/N179</f>
        <v/>
      </c>
      <c r="O176" s="931">
        <f>O182/O179</f>
        <v/>
      </c>
      <c r="P176" s="931">
        <f>P182/P179</f>
        <v/>
      </c>
      <c r="Q176" s="938">
        <f>Q182/Q179</f>
        <v/>
      </c>
      <c r="R176" s="1037">
        <f>R182/R179</f>
        <v/>
      </c>
      <c r="S176" s="931">
        <f>S182/S179</f>
        <v/>
      </c>
      <c r="T176" s="931">
        <f>T182/T179</f>
        <v/>
      </c>
      <c r="U176" s="931">
        <f>U182/U179</f>
        <v/>
      </c>
      <c r="V176" s="931">
        <f>V182/V179</f>
        <v/>
      </c>
      <c r="W176" s="931">
        <f>W182/W179</f>
        <v/>
      </c>
      <c r="X176" s="1036">
        <f>X182/X179</f>
        <v/>
      </c>
      <c r="Y176" s="931">
        <f>Y182/Y179</f>
        <v/>
      </c>
      <c r="Z176" s="931">
        <f>Z182/Z179</f>
        <v/>
      </c>
      <c r="AA176" s="931">
        <f>AA182/AA179</f>
        <v/>
      </c>
      <c r="AB176" s="931">
        <f>AB182/AB179</f>
        <v/>
      </c>
      <c r="AC176" s="938">
        <f>AC182/AC179</f>
        <v/>
      </c>
      <c r="AD176" s="1038" t="n"/>
      <c r="AE176" s="931" t="n"/>
      <c r="AF176" s="931" t="n"/>
      <c r="AG176" s="931" t="n"/>
      <c r="AH176" s="931" t="n"/>
      <c r="AI176" s="931" t="n"/>
      <c r="AJ176" s="938" t="n"/>
      <c r="AK176" s="929" t="n"/>
      <c r="AL176" s="931" t="n"/>
      <c r="AM176" s="931" t="n"/>
      <c r="AN176" s="931" t="n"/>
      <c r="AO176" s="931" t="n"/>
      <c r="AP176" s="931" t="n"/>
      <c r="AQ176" s="1039" t="n"/>
      <c r="AR176" s="1040" t="n"/>
      <c r="AS176" s="931" t="n"/>
      <c r="AT176" s="931" t="n"/>
      <c r="AU176" s="931" t="n"/>
      <c r="AV176" s="931" t="n"/>
      <c r="AW176" s="1041" t="n"/>
      <c r="AX176" s="931" t="n"/>
      <c r="AY176" s="931" t="n"/>
      <c r="AZ176" s="931" t="n"/>
      <c r="BA176" s="931" t="n"/>
      <c r="BB176" s="931" t="n"/>
      <c r="BC176" s="938" t="n"/>
      <c r="BD176" s="1041" t="n"/>
      <c r="BE176" s="931" t="n"/>
      <c r="BF176" s="931" t="n"/>
      <c r="BG176" s="931" t="n"/>
      <c r="BH176" s="931" t="n"/>
      <c r="BI176" s="938" t="n"/>
      <c r="BJ176" s="1041" t="n"/>
      <c r="BK176" s="931" t="n"/>
      <c r="BL176" s="931" t="n"/>
      <c r="BM176" s="931" t="n"/>
      <c r="BN176" s="931" t="n"/>
      <c r="BO176" s="938" t="n"/>
      <c r="BP176" s="1041" t="n"/>
      <c r="BQ176" s="931" t="n"/>
      <c r="BR176" s="931" t="n"/>
      <c r="BS176" s="931" t="n"/>
      <c r="BT176" s="938" t="n"/>
      <c r="BU176" s="1041" t="n"/>
      <c r="BV176" s="931" t="n"/>
      <c r="BW176" s="931" t="n"/>
      <c r="BX176" s="931" t="n"/>
      <c r="BY176" s="931" t="n"/>
      <c r="BZ176" s="939" t="n"/>
    </row>
    <row r="177" ht="16.5" customHeight="1" s="838">
      <c r="B177" s="756" t="n"/>
      <c r="C177" s="738" t="n"/>
      <c r="D177" s="738" t="n"/>
      <c r="E177" s="739" t="n"/>
      <c r="F177" s="134" t="inlineStr">
        <is>
          <t>`26 실적</t>
        </is>
      </c>
      <c r="G177" s="1075">
        <f>G183/G180</f>
        <v/>
      </c>
      <c r="H177" s="922">
        <f>H183/H180</f>
        <v/>
      </c>
      <c r="I177" s="922">
        <f>I183/I180</f>
        <v/>
      </c>
      <c r="J177" s="922">
        <f>J183/J180</f>
        <v/>
      </c>
      <c r="K177" s="922">
        <f>K183/K180</f>
        <v/>
      </c>
      <c r="L177" s="922">
        <f>L183/L180</f>
        <v/>
      </c>
      <c r="M177" s="1075">
        <f>M183/M180</f>
        <v/>
      </c>
      <c r="N177" s="922">
        <f>N183/N180</f>
        <v/>
      </c>
      <c r="O177" s="922">
        <f>O183/O180</f>
        <v/>
      </c>
      <c r="P177" s="922">
        <f>P183/P180</f>
        <v/>
      </c>
      <c r="Q177" s="923">
        <f>Q183/Q180</f>
        <v/>
      </c>
      <c r="R177" s="1076">
        <f>R183/R180</f>
        <v/>
      </c>
      <c r="S177" s="922">
        <f>S183/S180</f>
        <v/>
      </c>
      <c r="T177" s="922">
        <f>T183/T180</f>
        <v/>
      </c>
      <c r="U177" s="922">
        <f>U183/U180</f>
        <v/>
      </c>
      <c r="V177" s="922">
        <f>V183/V180</f>
        <v/>
      </c>
      <c r="W177" s="922">
        <f>W183/W180</f>
        <v/>
      </c>
      <c r="X177" s="1075">
        <f>X183/X180</f>
        <v/>
      </c>
      <c r="Y177" s="922">
        <f>Y183/Y180</f>
        <v/>
      </c>
      <c r="Z177" s="922">
        <f>Z183/Z180</f>
        <v/>
      </c>
      <c r="AA177" s="922">
        <f>AA183/AA180</f>
        <v/>
      </c>
      <c r="AB177" s="922">
        <f>AB183/AB180</f>
        <v/>
      </c>
      <c r="AC177" s="923">
        <f>AC183/AC180</f>
        <v/>
      </c>
      <c r="AD177" s="1077" t="n"/>
      <c r="AE177" s="922" t="n"/>
      <c r="AF177" s="922" t="n"/>
      <c r="AG177" s="922" t="n"/>
      <c r="AH177" s="922" t="n"/>
      <c r="AI177" s="922" t="n"/>
      <c r="AJ177" s="923" t="n"/>
      <c r="AK177" s="921" t="n"/>
      <c r="AL177" s="922" t="n"/>
      <c r="AM177" s="922" t="n"/>
      <c r="AN177" s="922" t="n"/>
      <c r="AO177" s="922" t="n"/>
      <c r="AP177" s="922" t="n"/>
      <c r="AQ177" s="1078" t="n"/>
      <c r="AR177" s="1079" t="n"/>
      <c r="AS177" s="922" t="n"/>
      <c r="AT177" s="922" t="n"/>
      <c r="AU177" s="922" t="n"/>
      <c r="AV177" s="922" t="n"/>
      <c r="AW177" s="320" t="n"/>
      <c r="AX177" s="133" t="n"/>
      <c r="AY177" s="133" t="n"/>
      <c r="AZ177" s="133" t="n"/>
      <c r="BA177" s="133" t="n"/>
      <c r="BB177" s="133" t="n"/>
      <c r="BC177" s="134" t="n"/>
      <c r="BD177" s="320" t="n"/>
      <c r="BE177" s="133" t="n"/>
      <c r="BF177" s="133" t="n"/>
      <c r="BG177" s="133" t="n"/>
      <c r="BH177" s="133" t="n"/>
      <c r="BI177" s="134" t="n"/>
      <c r="BJ177" s="320" t="n"/>
      <c r="BK177" s="133" t="n"/>
      <c r="BL177" s="133" t="n"/>
      <c r="BM177" s="133" t="n"/>
      <c r="BN177" s="133" t="n"/>
      <c r="BO177" s="134" t="n"/>
      <c r="BP177" s="320" t="n"/>
      <c r="BQ177" s="133" t="n"/>
      <c r="BR177" s="133" t="n"/>
      <c r="BS177" s="133" t="n"/>
      <c r="BT177" s="134" t="n"/>
      <c r="BU177" s="320" t="n"/>
      <c r="BV177" s="133" t="n"/>
      <c r="BW177" s="133" t="n"/>
      <c r="BX177" s="133" t="n"/>
      <c r="BY177" s="133" t="n"/>
      <c r="BZ177" s="135" t="n"/>
    </row>
    <row r="178" ht="16.5" customHeight="1" s="838">
      <c r="B178" s="756" t="n"/>
      <c r="C178" s="738" t="n"/>
      <c r="D178" s="738" t="n"/>
      <c r="E178" s="778" t="inlineStr">
        <is>
          <t>생산액</t>
        </is>
      </c>
      <c r="F178" s="220" t="inlineStr">
        <is>
          <t>`25 실적</t>
        </is>
      </c>
      <c r="G178" s="1104" t="n">
        <v>0.68644866</v>
      </c>
      <c r="H178" s="941" t="n">
        <v>0.68644866</v>
      </c>
      <c r="I178" s="941" t="n">
        <v>0.68644866</v>
      </c>
      <c r="J178" s="941" t="n">
        <v>0.68644866</v>
      </c>
      <c r="K178" s="941" t="n">
        <v>0.68644866</v>
      </c>
      <c r="L178" s="941" t="n">
        <v>0.68644866</v>
      </c>
      <c r="M178" s="1104" t="n">
        <v>0.95</v>
      </c>
      <c r="N178" s="941" t="n">
        <v>0.95</v>
      </c>
      <c r="O178" s="941" t="n">
        <v>0.95</v>
      </c>
      <c r="P178" s="941" t="n">
        <v>0.95</v>
      </c>
      <c r="Q178" s="942" t="n">
        <v>0.95</v>
      </c>
      <c r="R178" s="1105" t="n">
        <v>0.95</v>
      </c>
      <c r="S178" s="941" t="n">
        <v>0.95</v>
      </c>
      <c r="T178" s="941" t="n">
        <v>0.95</v>
      </c>
      <c r="U178" s="941" t="n">
        <v>0.95</v>
      </c>
      <c r="V178" s="941" t="n">
        <v>0.95</v>
      </c>
      <c r="W178" s="941" t="n">
        <v>0.95</v>
      </c>
      <c r="X178" s="1104" t="n">
        <v>1.40810738</v>
      </c>
      <c r="Y178" s="941" t="n">
        <v>1.40810738</v>
      </c>
      <c r="Z178" s="941" t="n">
        <v>1.40810738</v>
      </c>
      <c r="AA178" s="941" t="n">
        <v>1.40810738</v>
      </c>
      <c r="AB178" s="941" t="n">
        <v>1.40810738</v>
      </c>
      <c r="AC178" s="942" t="n">
        <v>1.40810738</v>
      </c>
      <c r="AD178" s="1106" t="n"/>
      <c r="AE178" s="941" t="n"/>
      <c r="AF178" s="941" t="n"/>
      <c r="AG178" s="941" t="n"/>
      <c r="AH178" s="941" t="n"/>
      <c r="AI178" s="941" t="n"/>
      <c r="AJ178" s="942" t="n"/>
      <c r="AK178" s="940" t="n"/>
      <c r="AL178" s="941" t="n"/>
      <c r="AM178" s="941" t="n"/>
      <c r="AN178" s="941" t="n"/>
      <c r="AO178" s="941" t="n"/>
      <c r="AP178" s="941" t="n"/>
      <c r="AQ178" s="1107" t="n"/>
      <c r="AR178" s="1108" t="n"/>
      <c r="AS178" s="941" t="n"/>
      <c r="AT178" s="941" t="n"/>
      <c r="AU178" s="941" t="n"/>
      <c r="AV178" s="941" t="n"/>
      <c r="AW178" s="1109" t="n"/>
      <c r="AX178" s="941" t="n"/>
      <c r="AY178" s="941" t="n"/>
      <c r="AZ178" s="941" t="n"/>
      <c r="BA178" s="941" t="n"/>
      <c r="BB178" s="941" t="n"/>
      <c r="BC178" s="942" t="n"/>
      <c r="BD178" s="1109" t="n"/>
      <c r="BE178" s="941" t="n"/>
      <c r="BF178" s="941" t="n"/>
      <c r="BG178" s="941" t="n"/>
      <c r="BH178" s="941" t="n"/>
      <c r="BI178" s="942" t="n"/>
      <c r="BJ178" s="1109" t="n"/>
      <c r="BK178" s="941" t="n"/>
      <c r="BL178" s="941" t="n"/>
      <c r="BM178" s="941" t="n"/>
      <c r="BN178" s="941" t="n"/>
      <c r="BO178" s="942" t="n"/>
      <c r="BP178" s="1109" t="n"/>
      <c r="BQ178" s="941" t="n"/>
      <c r="BR178" s="941" t="n"/>
      <c r="BS178" s="941" t="n"/>
      <c r="BT178" s="942" t="n"/>
      <c r="BU178" s="1109" t="n"/>
      <c r="BV178" s="941" t="n"/>
      <c r="BW178" s="941" t="n"/>
      <c r="BX178" s="941" t="n"/>
      <c r="BY178" s="941" t="n"/>
      <c r="BZ178" s="943" t="n"/>
    </row>
    <row r="179" ht="16.5" customHeight="1" s="838">
      <c r="B179" s="756" t="n"/>
      <c r="C179" s="738" t="n"/>
      <c r="D179" s="738" t="n"/>
      <c r="E179" s="738" t="n"/>
      <c r="F179" s="151" t="inlineStr">
        <is>
          <t>`26 목표</t>
        </is>
      </c>
      <c r="G179" s="1110" t="n">
        <v>1.71665258</v>
      </c>
      <c r="H179" s="946" t="n">
        <v>1.15499172</v>
      </c>
      <c r="I179" s="946" t="n">
        <v>1.15499172</v>
      </c>
      <c r="J179" s="946" t="n">
        <v>1.15499172</v>
      </c>
      <c r="K179" s="946" t="n">
        <v>1.15499172</v>
      </c>
      <c r="L179" s="946" t="n">
        <v>1.15499172</v>
      </c>
      <c r="M179" s="1110" t="n">
        <v>0.56860132</v>
      </c>
      <c r="N179" s="946" t="n">
        <v>0.79068664</v>
      </c>
      <c r="O179" s="946" t="n">
        <v>0.79068664</v>
      </c>
      <c r="P179" s="946" t="n">
        <v>0.79068664</v>
      </c>
      <c r="Q179" s="1111" t="n">
        <v>0.79068664</v>
      </c>
      <c r="R179" s="1112" t="n">
        <v>1.11342984</v>
      </c>
      <c r="S179" s="946" t="n">
        <v>1.22299677</v>
      </c>
      <c r="T179" s="946" t="n">
        <v>1.22299677</v>
      </c>
      <c r="U179" s="946" t="n">
        <v>1.22299677</v>
      </c>
      <c r="V179" s="946" t="n">
        <v>1.22299677</v>
      </c>
      <c r="W179" s="946" t="n">
        <v>1.22299677</v>
      </c>
      <c r="X179" s="1110" t="n">
        <v>0.9309332</v>
      </c>
      <c r="Y179" s="946" t="n">
        <v>0.9309332</v>
      </c>
      <c r="Z179" s="946" t="n">
        <v>0.9309332</v>
      </c>
      <c r="AA179" s="946" t="n">
        <v>0.9309332</v>
      </c>
      <c r="AB179" s="946" t="n">
        <v>0.9309332</v>
      </c>
      <c r="AC179" s="1111" t="n">
        <v>0.9309332</v>
      </c>
      <c r="AD179" s="1113" t="n"/>
      <c r="AE179" s="946" t="n"/>
      <c r="AF179" s="946" t="n"/>
      <c r="AG179" s="946" t="n"/>
      <c r="AH179" s="946" t="n"/>
      <c r="AI179" s="946" t="n"/>
      <c r="AJ179" s="1111" t="n"/>
      <c r="AK179" s="1114" t="n"/>
      <c r="AL179" s="946" t="n"/>
      <c r="AM179" s="946" t="n"/>
      <c r="AN179" s="946" t="n"/>
      <c r="AO179" s="946" t="n"/>
      <c r="AP179" s="946" t="n"/>
      <c r="AQ179" s="1115" t="n"/>
      <c r="AR179" s="1116" t="n"/>
      <c r="AS179" s="946" t="n"/>
      <c r="AT179" s="946" t="n"/>
      <c r="AU179" s="946" t="n"/>
      <c r="AV179" s="946" t="n"/>
      <c r="AW179" s="1117" t="n"/>
      <c r="AX179" s="946" t="n"/>
      <c r="AY179" s="946" t="n"/>
      <c r="AZ179" s="946" t="n"/>
      <c r="BA179" s="946" t="n"/>
      <c r="BB179" s="946" t="n"/>
      <c r="BC179" s="1111" t="n"/>
      <c r="BD179" s="1117" t="n"/>
      <c r="BE179" s="946" t="n"/>
      <c r="BF179" s="946" t="n"/>
      <c r="BG179" s="946" t="n"/>
      <c r="BH179" s="946" t="n"/>
      <c r="BI179" s="1111" t="n"/>
      <c r="BJ179" s="1117" t="n"/>
      <c r="BK179" s="946" t="n"/>
      <c r="BL179" s="946" t="n"/>
      <c r="BM179" s="946" t="n"/>
      <c r="BN179" s="946" t="n"/>
      <c r="BO179" s="1111" t="n"/>
      <c r="BP179" s="1117" t="n"/>
      <c r="BQ179" s="946" t="n"/>
      <c r="BR179" s="946" t="n"/>
      <c r="BS179" s="946" t="n"/>
      <c r="BT179" s="1111" t="n"/>
      <c r="BU179" s="1117" t="n"/>
      <c r="BV179" s="946" t="n"/>
      <c r="BW179" s="946" t="n"/>
      <c r="BX179" s="946" t="n"/>
      <c r="BY179" s="946" t="n"/>
      <c r="BZ179" s="1118" t="n"/>
    </row>
    <row r="180" ht="16.5" customHeight="1" s="838">
      <c r="B180" s="756" t="n"/>
      <c r="C180" s="738" t="n"/>
      <c r="D180" s="738" t="n"/>
      <c r="E180" s="739" t="n"/>
      <c r="F180" s="134" t="inlineStr">
        <is>
          <t>`26 실적</t>
        </is>
      </c>
      <c r="G180" s="1119" t="n">
        <v>0.75349614</v>
      </c>
      <c r="H180" s="945" t="n">
        <v>1.73843835</v>
      </c>
      <c r="I180" s="945" t="n">
        <v>0.95</v>
      </c>
      <c r="J180" s="945" t="n">
        <v>0.95</v>
      </c>
      <c r="K180" s="945" t="n">
        <v>0.95</v>
      </c>
      <c r="L180" s="945" t="n">
        <v>0.95</v>
      </c>
      <c r="M180" s="1119" t="n">
        <v>1.42311416</v>
      </c>
      <c r="N180" s="945" t="n">
        <v>0.58182014</v>
      </c>
      <c r="O180" s="945" t="n">
        <v>0.58182014</v>
      </c>
      <c r="P180" s="945" t="n">
        <v>0.58182014</v>
      </c>
      <c r="Q180" s="947" t="n">
        <v>0.75934306</v>
      </c>
      <c r="R180" s="1120" t="n">
        <v>1.6770917</v>
      </c>
      <c r="S180" s="945" t="n">
        <v>0.65087165</v>
      </c>
      <c r="T180" s="945" t="n">
        <v>0.65087165</v>
      </c>
      <c r="U180" s="945" t="n">
        <v>0.95</v>
      </c>
      <c r="V180" s="945" t="n">
        <v>2.91597844</v>
      </c>
      <c r="W180" s="945" t="n">
        <v>0.65087165</v>
      </c>
      <c r="X180" s="1119" t="n">
        <v>1.10166099</v>
      </c>
      <c r="Y180" s="945" t="n">
        <v>0.6617301799999999</v>
      </c>
      <c r="Z180" s="945" t="n">
        <v>0.6617301799999999</v>
      </c>
      <c r="AA180" s="945" t="n">
        <v>0.6617301799999999</v>
      </c>
      <c r="AB180" s="945" t="n">
        <v>0.6617301799999999</v>
      </c>
      <c r="AC180" s="947" t="n">
        <v>0.6617301799999999</v>
      </c>
      <c r="AD180" s="1121" t="n"/>
      <c r="AE180" s="945" t="n"/>
      <c r="AF180" s="945" t="n"/>
      <c r="AG180" s="945" t="n"/>
      <c r="AH180" s="945" t="n"/>
      <c r="AI180" s="945" t="n"/>
      <c r="AJ180" s="947" t="n"/>
      <c r="AK180" s="944" t="n"/>
      <c r="AL180" s="945" t="n"/>
      <c r="AM180" s="945" t="n"/>
      <c r="AN180" s="945" t="n"/>
      <c r="AO180" s="945" t="n"/>
      <c r="AP180" s="945" t="n"/>
      <c r="AQ180" s="1122" t="n"/>
      <c r="AR180" s="1123" t="n"/>
      <c r="AS180" s="945" t="n"/>
      <c r="AT180" s="945" t="n"/>
      <c r="AU180" s="945" t="n"/>
      <c r="AV180" s="945" t="n"/>
      <c r="AW180" s="1124" t="n"/>
      <c r="AX180" s="945" t="n"/>
      <c r="AY180" s="945" t="n"/>
      <c r="AZ180" s="945" t="n"/>
      <c r="BA180" s="945" t="n"/>
      <c r="BB180" s="945" t="n"/>
      <c r="BC180" s="947" t="n"/>
      <c r="BD180" s="1124" t="n"/>
      <c r="BE180" s="945" t="n"/>
      <c r="BF180" s="945" t="n"/>
      <c r="BG180" s="945" t="n"/>
      <c r="BH180" s="945" t="n"/>
      <c r="BI180" s="947" t="n"/>
      <c r="BJ180" s="1124" t="n"/>
      <c r="BK180" s="945" t="n"/>
      <c r="BL180" s="945" t="n"/>
      <c r="BM180" s="945" t="n"/>
      <c r="BN180" s="945" t="n"/>
      <c r="BO180" s="947" t="n"/>
      <c r="BP180" s="1124" t="n"/>
      <c r="BQ180" s="945" t="n"/>
      <c r="BR180" s="945" t="n"/>
      <c r="BS180" s="945" t="n"/>
      <c r="BT180" s="947" t="n"/>
      <c r="BU180" s="1124" t="n"/>
      <c r="BV180" s="945" t="n"/>
      <c r="BW180" s="945" t="n"/>
      <c r="BX180" s="945" t="n"/>
      <c r="BY180" s="945" t="n"/>
      <c r="BZ180" s="948" t="n"/>
    </row>
    <row r="181" ht="16.5" customHeight="1" s="838">
      <c r="B181" s="756" t="n"/>
      <c r="C181" s="738" t="n"/>
      <c r="D181" s="738" t="n"/>
      <c r="E181" s="778" t="inlineStr">
        <is>
          <t>가공비</t>
        </is>
      </c>
      <c r="F181" s="151" t="inlineStr">
        <is>
          <t>`25 실적</t>
        </is>
      </c>
      <c r="G181" s="1130" t="n">
        <v>0.0638659</v>
      </c>
      <c r="H181" s="1131" t="n">
        <v>0.0638659</v>
      </c>
      <c r="I181" s="1131" t="n">
        <v>0.0638659</v>
      </c>
      <c r="J181" s="1131" t="n">
        <v>0.0638659</v>
      </c>
      <c r="K181" s="1131" t="n">
        <v>0.0638659</v>
      </c>
      <c r="L181" s="1131" t="n">
        <v>0.0638659</v>
      </c>
      <c r="M181" s="1130" t="n">
        <v>0.05897357</v>
      </c>
      <c r="N181" s="1131" t="n">
        <v>0.05897357</v>
      </c>
      <c r="O181" s="1131" t="n">
        <v>0.05897357</v>
      </c>
      <c r="P181" s="1131" t="n">
        <v>0.05897357</v>
      </c>
      <c r="Q181" s="1132" t="n">
        <v>0.05897357</v>
      </c>
      <c r="R181" s="1133" t="n">
        <v>0.02708348</v>
      </c>
      <c r="S181" s="1131" t="n">
        <v>0.02708348</v>
      </c>
      <c r="T181" s="1131" t="n">
        <v>0.02708348</v>
      </c>
      <c r="U181" s="1131" t="n">
        <v>0.02708348</v>
      </c>
      <c r="V181" s="1131" t="n">
        <v>0.02708348</v>
      </c>
      <c r="W181" s="1131" t="n">
        <v>0.02708348</v>
      </c>
      <c r="X181" s="1130" t="n">
        <v>0.047952</v>
      </c>
      <c r="Y181" s="1131" t="n">
        <v>0.047952</v>
      </c>
      <c r="Z181" s="1131" t="n">
        <v>0.047952</v>
      </c>
      <c r="AA181" s="1131" t="n">
        <v>0.047952</v>
      </c>
      <c r="AB181" s="1131" t="n">
        <v>0.047952</v>
      </c>
      <c r="AC181" s="1132" t="n">
        <v>0.047952</v>
      </c>
      <c r="AD181" s="1134" t="n"/>
      <c r="AE181" s="1131" t="n"/>
      <c r="AF181" s="1131" t="n"/>
      <c r="AG181" s="1131" t="n"/>
      <c r="AH181" s="1131" t="n"/>
      <c r="AI181" s="1131" t="n"/>
      <c r="AJ181" s="1132" t="n"/>
      <c r="AK181" s="1135" t="n"/>
      <c r="AL181" s="1131" t="n"/>
      <c r="AM181" s="1131" t="n"/>
      <c r="AN181" s="1131" t="n"/>
      <c r="AO181" s="1131" t="n"/>
      <c r="AP181" s="1131" t="n"/>
      <c r="AQ181" s="1136" t="n"/>
      <c r="AR181" s="1137" t="n"/>
      <c r="AS181" s="1131" t="n"/>
      <c r="AT181" s="1131" t="n"/>
      <c r="AU181" s="1131" t="n"/>
      <c r="AV181" s="1131" t="n"/>
      <c r="AW181" s="1138" t="n"/>
      <c r="AX181" s="1131" t="n"/>
      <c r="AY181" s="1131" t="n"/>
      <c r="AZ181" s="1131" t="n"/>
      <c r="BA181" s="1131" t="n"/>
      <c r="BB181" s="1131" t="n"/>
      <c r="BC181" s="1132" t="n"/>
      <c r="BD181" s="1138" t="n"/>
      <c r="BE181" s="1131" t="n"/>
      <c r="BF181" s="1131" t="n"/>
      <c r="BG181" s="1131" t="n"/>
      <c r="BH181" s="1131" t="n"/>
      <c r="BI181" s="1132" t="n"/>
      <c r="BJ181" s="1138" t="n"/>
      <c r="BK181" s="1131" t="n"/>
      <c r="BL181" s="1131" t="n"/>
      <c r="BM181" s="1131" t="n"/>
      <c r="BN181" s="1131" t="n"/>
      <c r="BO181" s="1132" t="n"/>
      <c r="BP181" s="1138" t="n"/>
      <c r="BQ181" s="1131" t="n"/>
      <c r="BR181" s="1131" t="n"/>
      <c r="BS181" s="1131" t="n"/>
      <c r="BT181" s="1132" t="n"/>
      <c r="BU181" s="1138" t="n"/>
      <c r="BV181" s="1131" t="n"/>
      <c r="BW181" s="1131" t="n"/>
      <c r="BX181" s="1131" t="n"/>
      <c r="BY181" s="1131" t="n"/>
      <c r="BZ181" s="1139" t="n"/>
    </row>
    <row r="182" ht="16.5" customHeight="1" s="838">
      <c r="B182" s="756" t="n"/>
      <c r="C182" s="738" t="n"/>
      <c r="D182" s="738" t="n"/>
      <c r="E182" s="738" t="n"/>
      <c r="F182" s="151" t="inlineStr">
        <is>
          <t>`26 목표</t>
        </is>
      </c>
      <c r="G182" s="1130" t="n">
        <v>0.05466822</v>
      </c>
      <c r="H182" s="1131" t="n">
        <v>0.05506478</v>
      </c>
      <c r="I182" s="1131" t="n">
        <v>0.05506478</v>
      </c>
      <c r="J182" s="1131" t="n">
        <v>0.05506478</v>
      </c>
      <c r="K182" s="1131" t="n">
        <v>0.05506478</v>
      </c>
      <c r="L182" s="1131" t="n">
        <v>0.05506478</v>
      </c>
      <c r="M182" s="1130" t="n">
        <v>0.04088647</v>
      </c>
      <c r="N182" s="1131" t="n">
        <v>0.0417279</v>
      </c>
      <c r="O182" s="1131" t="n">
        <v>0.0417279</v>
      </c>
      <c r="P182" s="1131" t="n">
        <v>0.0417279</v>
      </c>
      <c r="Q182" s="1132" t="n">
        <v>0.0417279</v>
      </c>
      <c r="R182" s="1133" t="n">
        <v>0.04201868</v>
      </c>
      <c r="S182" s="1131" t="n">
        <v>0.04323678</v>
      </c>
      <c r="T182" s="1131" t="n">
        <v>0.04323678</v>
      </c>
      <c r="U182" s="1131" t="n">
        <v>0.04323678</v>
      </c>
      <c r="V182" s="1131" t="n">
        <v>0.04323678</v>
      </c>
      <c r="W182" s="1131" t="n">
        <v>0.04323678</v>
      </c>
      <c r="X182" s="1130" t="n">
        <v>0.06279443</v>
      </c>
      <c r="Y182" s="1131" t="n">
        <v>0.06279443</v>
      </c>
      <c r="Z182" s="1131" t="n">
        <v>0.06279443</v>
      </c>
      <c r="AA182" s="1131" t="n">
        <v>0.06279443</v>
      </c>
      <c r="AB182" s="1131" t="n">
        <v>0.06279443</v>
      </c>
      <c r="AC182" s="1132" t="n">
        <v>0.06279443</v>
      </c>
      <c r="AD182" s="1134" t="n"/>
      <c r="AE182" s="1131" t="n"/>
      <c r="AF182" s="1131" t="n"/>
      <c r="AG182" s="1131" t="n"/>
      <c r="AH182" s="1131" t="n"/>
      <c r="AI182" s="1131" t="n"/>
      <c r="AJ182" s="1132" t="n"/>
      <c r="AK182" s="1135" t="n"/>
      <c r="AL182" s="1131" t="n"/>
      <c r="AM182" s="1131" t="n"/>
      <c r="AN182" s="1131" t="n"/>
      <c r="AO182" s="1131" t="n"/>
      <c r="AP182" s="1131" t="n"/>
      <c r="AQ182" s="1136" t="n"/>
      <c r="AR182" s="1137" t="n"/>
      <c r="AS182" s="1131" t="n"/>
      <c r="AT182" s="1131" t="n"/>
      <c r="AU182" s="1131" t="n"/>
      <c r="AV182" s="1131" t="n"/>
      <c r="AW182" s="1138" t="n"/>
      <c r="AX182" s="1131" t="n"/>
      <c r="AY182" s="1131" t="n"/>
      <c r="AZ182" s="1131" t="n"/>
      <c r="BA182" s="1131" t="n"/>
      <c r="BB182" s="1131" t="n"/>
      <c r="BC182" s="1132" t="n"/>
      <c r="BD182" s="1138" t="n"/>
      <c r="BE182" s="1131" t="n"/>
      <c r="BF182" s="1131" t="n"/>
      <c r="BG182" s="1131" t="n"/>
      <c r="BH182" s="1131" t="n"/>
      <c r="BI182" s="1132" t="n"/>
      <c r="BJ182" s="1138" t="n"/>
      <c r="BK182" s="1131" t="n"/>
      <c r="BL182" s="1131" t="n"/>
      <c r="BM182" s="1131" t="n"/>
      <c r="BN182" s="1131" t="n"/>
      <c r="BO182" s="1132" t="n"/>
      <c r="BP182" s="1138" t="n"/>
      <c r="BQ182" s="1131" t="n"/>
      <c r="BR182" s="1131" t="n"/>
      <c r="BS182" s="1131" t="n"/>
      <c r="BT182" s="1132" t="n"/>
      <c r="BU182" s="1138" t="n"/>
      <c r="BV182" s="1131" t="n"/>
      <c r="BW182" s="1131" t="n"/>
      <c r="BX182" s="1131" t="n"/>
      <c r="BY182" s="1131" t="n"/>
      <c r="BZ182" s="1139" t="n"/>
    </row>
    <row r="183" ht="17.25" customHeight="1" s="838" thickBot="1">
      <c r="B183" s="757" t="n"/>
      <c r="C183" s="739" t="n"/>
      <c r="D183" s="739" t="n"/>
      <c r="E183" s="739" t="n"/>
      <c r="F183" s="146" t="inlineStr">
        <is>
          <t>`26 실적</t>
        </is>
      </c>
      <c r="G183" s="1140" t="n">
        <v>0.03437952</v>
      </c>
      <c r="H183" s="951" t="n">
        <v>0.04393853</v>
      </c>
      <c r="I183" s="951" t="n">
        <v>0.04314263</v>
      </c>
      <c r="J183" s="951" t="n">
        <v>0.04314263</v>
      </c>
      <c r="K183" s="951" t="n">
        <v>0.04314263</v>
      </c>
      <c r="L183" s="951" t="n">
        <v>0.04314263</v>
      </c>
      <c r="M183" s="1140" t="n">
        <v>0.03977651</v>
      </c>
      <c r="N183" s="951" t="n">
        <v>0.01765657</v>
      </c>
      <c r="O183" s="951" t="n">
        <v>0.01765657</v>
      </c>
      <c r="P183" s="951" t="n">
        <v>0.01765657</v>
      </c>
      <c r="Q183" s="1141" t="n">
        <v>0.04450063</v>
      </c>
      <c r="R183" s="1142" t="n">
        <v>0.06098438</v>
      </c>
      <c r="S183" s="951" t="n">
        <v>0.09139171</v>
      </c>
      <c r="T183" s="951" t="n">
        <v>0.09139171</v>
      </c>
      <c r="U183" s="951" t="n">
        <v>0.08877751</v>
      </c>
      <c r="V183" s="951" t="n">
        <v>0.06603741</v>
      </c>
      <c r="W183" s="951" t="n">
        <v>0.09139171</v>
      </c>
      <c r="X183" s="1140" t="n">
        <v>0.06814234</v>
      </c>
      <c r="Y183" s="951" t="n">
        <v>0.04372532</v>
      </c>
      <c r="Z183" s="951" t="n">
        <v>0.05768603</v>
      </c>
      <c r="AA183" s="951" t="n">
        <v>0.05768603</v>
      </c>
      <c r="AB183" s="951" t="n">
        <v>0.05768603</v>
      </c>
      <c r="AC183" s="1141" t="n">
        <v>0.05768603</v>
      </c>
      <c r="AD183" s="1143" t="n"/>
      <c r="AE183" s="951" t="n"/>
      <c r="AF183" s="951" t="n"/>
      <c r="AG183" s="951" t="n"/>
      <c r="AH183" s="951" t="n"/>
      <c r="AI183" s="951" t="n"/>
      <c r="AJ183" s="1141" t="n"/>
      <c r="AK183" s="1144" t="n"/>
      <c r="AL183" s="951" t="n"/>
      <c r="AM183" s="951" t="n"/>
      <c r="AN183" s="951" t="n"/>
      <c r="AO183" s="951" t="n"/>
      <c r="AP183" s="951" t="n"/>
      <c r="AQ183" s="1145" t="n"/>
      <c r="AR183" s="1146" t="n"/>
      <c r="AS183" s="951" t="n"/>
      <c r="AT183" s="951" t="n"/>
      <c r="AU183" s="951" t="n"/>
      <c r="AV183" s="951" t="n"/>
      <c r="AW183" s="1147" t="n"/>
      <c r="AX183" s="951" t="n"/>
      <c r="AY183" s="951" t="n"/>
      <c r="AZ183" s="951" t="n"/>
      <c r="BA183" s="951" t="n"/>
      <c r="BB183" s="951" t="n"/>
      <c r="BC183" s="1141" t="n"/>
      <c r="BD183" s="1147" t="n"/>
      <c r="BE183" s="951" t="n"/>
      <c r="BF183" s="951" t="n"/>
      <c r="BG183" s="951" t="n"/>
      <c r="BH183" s="951" t="n"/>
      <c r="BI183" s="1141" t="n"/>
      <c r="BJ183" s="1147" t="n"/>
      <c r="BK183" s="951" t="n"/>
      <c r="BL183" s="951" t="n"/>
      <c r="BM183" s="951" t="n"/>
      <c r="BN183" s="951" t="n"/>
      <c r="BO183" s="1141" t="n"/>
      <c r="BP183" s="1147" t="n"/>
      <c r="BQ183" s="951" t="n"/>
      <c r="BR183" s="951" t="n"/>
      <c r="BS183" s="951" t="n"/>
      <c r="BT183" s="1141" t="n"/>
      <c r="BU183" s="1147" t="n"/>
      <c r="BV183" s="951" t="n"/>
      <c r="BW183" s="951" t="n"/>
      <c r="BX183" s="951" t="n"/>
      <c r="BY183" s="951" t="n"/>
      <c r="BZ183" s="1148" t="n"/>
    </row>
  </sheetData>
  <mergeCells count="107">
    <mergeCell ref="D12:E13"/>
    <mergeCell ref="BD4:BI4"/>
    <mergeCell ref="E97:E99"/>
    <mergeCell ref="E124:E126"/>
    <mergeCell ref="E106:E108"/>
    <mergeCell ref="D42:E43"/>
    <mergeCell ref="D121:D129"/>
    <mergeCell ref="E121:E123"/>
    <mergeCell ref="E139:E141"/>
    <mergeCell ref="D130:D138"/>
    <mergeCell ref="G4:L4"/>
    <mergeCell ref="AQ4:AV4"/>
    <mergeCell ref="D30:E31"/>
    <mergeCell ref="C67:C156"/>
    <mergeCell ref="D58:D66"/>
    <mergeCell ref="E58:E60"/>
    <mergeCell ref="D67:D75"/>
    <mergeCell ref="BU4:BZ4"/>
    <mergeCell ref="E73:E75"/>
    <mergeCell ref="E82:E84"/>
    <mergeCell ref="D157:D165"/>
    <mergeCell ref="D46:E47"/>
    <mergeCell ref="C6:C7"/>
    <mergeCell ref="E61:E63"/>
    <mergeCell ref="D48:E49"/>
    <mergeCell ref="E163:E165"/>
    <mergeCell ref="E169:E171"/>
    <mergeCell ref="D28:E29"/>
    <mergeCell ref="E178:E180"/>
    <mergeCell ref="D175:D183"/>
    <mergeCell ref="BP4:BT4"/>
    <mergeCell ref="AD4:AJ4"/>
    <mergeCell ref="D112:D120"/>
    <mergeCell ref="D20:E21"/>
    <mergeCell ref="E112:E114"/>
    <mergeCell ref="D14:E15"/>
    <mergeCell ref="E145:E147"/>
    <mergeCell ref="E127:E129"/>
    <mergeCell ref="D148:D156"/>
    <mergeCell ref="E64:E66"/>
    <mergeCell ref="C157:C183"/>
    <mergeCell ref="D6:E7"/>
    <mergeCell ref="C32:C33"/>
    <mergeCell ref="E181:E183"/>
    <mergeCell ref="D85:D93"/>
    <mergeCell ref="E79:E81"/>
    <mergeCell ref="E88:E90"/>
    <mergeCell ref="B32:B57"/>
    <mergeCell ref="AK4:AP4"/>
    <mergeCell ref="D32:E33"/>
    <mergeCell ref="D16:E17"/>
    <mergeCell ref="E154:E156"/>
    <mergeCell ref="D56:E57"/>
    <mergeCell ref="E166:E168"/>
    <mergeCell ref="E76:E78"/>
    <mergeCell ref="D24:E25"/>
    <mergeCell ref="E85:E87"/>
    <mergeCell ref="D18:E19"/>
    <mergeCell ref="D103:D111"/>
    <mergeCell ref="D8:E9"/>
    <mergeCell ref="E100:E102"/>
    <mergeCell ref="D166:D174"/>
    <mergeCell ref="E109:E111"/>
    <mergeCell ref="E136:E138"/>
    <mergeCell ref="E115:E117"/>
    <mergeCell ref="X4:AC4"/>
    <mergeCell ref="D10:E11"/>
    <mergeCell ref="E160:E162"/>
    <mergeCell ref="D34:E35"/>
    <mergeCell ref="B6:B31"/>
    <mergeCell ref="D50:E51"/>
    <mergeCell ref="E142:E144"/>
    <mergeCell ref="D44:E45"/>
    <mergeCell ref="D94:D102"/>
    <mergeCell ref="D22:E23"/>
    <mergeCell ref="E94:E96"/>
    <mergeCell ref="C52:C57"/>
    <mergeCell ref="C58:C66"/>
    <mergeCell ref="BJ4:BO4"/>
    <mergeCell ref="B58:B183"/>
    <mergeCell ref="D52:E53"/>
    <mergeCell ref="D139:D147"/>
    <mergeCell ref="D36:E37"/>
    <mergeCell ref="M4:Q4"/>
    <mergeCell ref="E172:E174"/>
    <mergeCell ref="D76:D84"/>
    <mergeCell ref="E70:E72"/>
    <mergeCell ref="E148:E150"/>
    <mergeCell ref="E157:E159"/>
    <mergeCell ref="C8:C25"/>
    <mergeCell ref="C26:C31"/>
    <mergeCell ref="E91:E93"/>
    <mergeCell ref="D54:E55"/>
    <mergeCell ref="B4:F5"/>
    <mergeCell ref="D26:E27"/>
    <mergeCell ref="E151:E153"/>
    <mergeCell ref="D38:E39"/>
    <mergeCell ref="E130:E132"/>
    <mergeCell ref="C34:C51"/>
    <mergeCell ref="E175:E177"/>
    <mergeCell ref="AW4:BC4"/>
    <mergeCell ref="E67:E69"/>
    <mergeCell ref="D40:E41"/>
    <mergeCell ref="E103:E105"/>
    <mergeCell ref="R4:W4"/>
    <mergeCell ref="E118:E120"/>
    <mergeCell ref="E133:E135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B1:BZ68"/>
  <sheetViews>
    <sheetView showGridLines="0" zoomScale="70" zoomScaleNormal="7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C9" sqref="C9:C10"/>
    </sheetView>
  </sheetViews>
  <sheetFormatPr baseColWidth="8" defaultColWidth="9" defaultRowHeight="16.5" customHeight="1"/>
  <cols>
    <col width="4.5" customWidth="1" style="831" min="1" max="1"/>
    <col width="11.375" customWidth="1" style="831" min="2" max="2"/>
    <col width="15" bestFit="1" customWidth="1" style="831" min="3" max="3"/>
    <col width="8.625" customWidth="1" style="834" min="4" max="4"/>
    <col width="8" customWidth="1" style="831" min="5" max="5"/>
    <col outlineLevel="1" width="8" customWidth="1" style="831" min="6" max="6"/>
    <col outlineLevel="1" width="7.125" customWidth="1" style="831" min="7" max="10"/>
    <col width="8" customWidth="1" style="831" min="11" max="11"/>
    <col outlineLevel="1" width="8" customWidth="1" style="831" min="12" max="12"/>
    <col outlineLevel="1" width="7.125" customWidth="1" style="831" min="13" max="13"/>
    <col outlineLevel="1" width="8" customWidth="1" style="831" min="14" max="14"/>
    <col outlineLevel="1" width="7.125" customWidth="1" style="831" min="15" max="15"/>
    <col width="8" customWidth="1" style="831" min="16" max="16"/>
    <col outlineLevel="1" width="7.125" customWidth="1" style="831" min="17" max="17"/>
    <col outlineLevel="1" width="8" customWidth="1" style="831" min="18" max="18"/>
    <col outlineLevel="1" width="7.125" customWidth="1" style="831" min="19" max="21"/>
    <col width="8" customWidth="1" style="831" min="22" max="22"/>
    <col outlineLevel="1" width="6.5" customWidth="1" style="831" min="23" max="23"/>
    <col outlineLevel="1" width="8" customWidth="1" style="831" min="24" max="27"/>
    <col width="7.125" customWidth="1" style="831" min="28" max="28"/>
    <col outlineLevel="1" width="7.125" customWidth="1" style="831" min="29" max="30"/>
    <col outlineLevel="1" width="8" customWidth="1" style="831" min="31" max="31"/>
    <col outlineLevel="1" width="7.125" customWidth="1" style="831" min="32" max="33"/>
    <col outlineLevel="1" width="8" customWidth="1" style="831" min="34" max="34"/>
    <col width="7.125" customWidth="1" style="831" min="35" max="35"/>
    <col outlineLevel="1" width="7.125" customWidth="1" style="831" min="36" max="40"/>
    <col width="8" customWidth="1" style="831" min="41" max="41"/>
    <col outlineLevel="1" width="8" customWidth="1" style="831" min="42" max="46"/>
    <col width="8" customWidth="1" style="831" min="47" max="47"/>
    <col outlineLevel="1" width="8" customWidth="1" style="831" min="48" max="53"/>
    <col width="8" customWidth="1" style="831" min="54" max="54"/>
    <col outlineLevel="1" width="8" customWidth="1" style="831" min="55" max="59"/>
    <col width="8" customWidth="1" style="831" min="60" max="60"/>
    <col outlineLevel="1" width="8" customWidth="1" style="831" min="61" max="64"/>
    <col outlineLevel="1" width="8.75" customWidth="1" style="831" min="65" max="65"/>
    <col width="8.75" customWidth="1" style="831" min="66" max="66"/>
    <col outlineLevel="1" width="8.75" customWidth="1" style="831" min="67" max="71"/>
    <col width="8.75" customWidth="1" style="831" min="72" max="72"/>
    <col outlineLevel="1" width="8.75" customWidth="1" style="831" min="73" max="77"/>
    <col width="12" customWidth="1" style="831" min="78" max="78"/>
    <col width="9" customWidth="1" style="831" min="79" max="79"/>
    <col width="9" customWidth="1" style="831" min="80" max="16384"/>
  </cols>
  <sheetData>
    <row r="1" ht="16.5" customHeight="1" s="838">
      <c r="D1" s="393" t="inlineStr">
        <is>
          <t>계획환율</t>
        </is>
      </c>
      <c r="E1" s="189" t="n">
        <v>1350</v>
      </c>
      <c r="F1" s="189" t="n">
        <v>1350</v>
      </c>
      <c r="G1" s="189" t="n">
        <v>1350</v>
      </c>
      <c r="H1" s="189" t="n">
        <v>1350</v>
      </c>
      <c r="I1" s="189" t="n">
        <v>1350</v>
      </c>
      <c r="J1" s="189" t="n">
        <v>1350</v>
      </c>
      <c r="K1" s="189" t="n">
        <v>1350</v>
      </c>
      <c r="L1" s="189" t="n">
        <v>1350</v>
      </c>
      <c r="M1" s="189" t="n">
        <v>1350</v>
      </c>
      <c r="N1" s="189" t="n">
        <v>1350</v>
      </c>
      <c r="O1" s="189" t="n">
        <v>1350</v>
      </c>
      <c r="P1" s="189" t="n">
        <v>1350</v>
      </c>
      <c r="Q1" s="189" t="n">
        <v>1350</v>
      </c>
      <c r="R1" s="189" t="n">
        <v>1350</v>
      </c>
      <c r="S1" s="189" t="n">
        <v>1350</v>
      </c>
      <c r="T1" s="189" t="n">
        <v>1350</v>
      </c>
      <c r="U1" s="189" t="n">
        <v>1350</v>
      </c>
      <c r="V1" s="189" t="n">
        <v>1350</v>
      </c>
      <c r="W1" s="189" t="n">
        <v>1350</v>
      </c>
      <c r="X1" s="189" t="n">
        <v>1350</v>
      </c>
      <c r="Y1" s="189" t="n">
        <v>1350</v>
      </c>
      <c r="Z1" s="189" t="n">
        <v>1350</v>
      </c>
      <c r="AA1" s="189" t="n">
        <v>1350</v>
      </c>
      <c r="AB1" s="189" t="n"/>
      <c r="AC1" s="189" t="n"/>
      <c r="AD1" s="189" t="n"/>
      <c r="AE1" s="189" t="n"/>
      <c r="AF1" s="189" t="n"/>
      <c r="AG1" s="189" t="n"/>
      <c r="AH1" s="189" t="n"/>
      <c r="AI1" s="189" t="n"/>
      <c r="AJ1" s="189" t="n"/>
      <c r="AK1" s="189" t="n"/>
      <c r="AL1" s="189" t="n"/>
      <c r="AM1" s="189" t="n"/>
      <c r="AN1" s="189" t="n"/>
      <c r="AO1" s="189" t="n"/>
      <c r="AP1" s="189" t="n"/>
      <c r="AQ1" s="189" t="n"/>
      <c r="AR1" s="189" t="n"/>
      <c r="AS1" s="189" t="n"/>
      <c r="AT1" s="189" t="n"/>
      <c r="AU1" s="189" t="n"/>
      <c r="AV1" s="189" t="n"/>
      <c r="AW1" s="189" t="n"/>
      <c r="AX1" s="189" t="n"/>
      <c r="AY1" s="189" t="n"/>
      <c r="AZ1" s="189" t="n"/>
      <c r="BA1" s="189" t="n"/>
      <c r="BB1" s="189" t="n"/>
      <c r="BC1" s="189" t="n"/>
      <c r="BD1" s="189" t="n"/>
      <c r="BE1" s="189" t="n"/>
      <c r="BF1" s="189" t="n"/>
      <c r="BG1" s="189" t="n"/>
      <c r="BH1" s="189" t="n"/>
      <c r="BI1" s="189" t="n"/>
      <c r="BJ1" s="189" t="n"/>
      <c r="BK1" s="189" t="n"/>
      <c r="BL1" s="189" t="n"/>
      <c r="BM1" s="189" t="n"/>
      <c r="BN1" s="189" t="n"/>
      <c r="BO1" s="189" t="n"/>
      <c r="BP1" s="189" t="n"/>
      <c r="BQ1" s="189" t="n"/>
      <c r="BR1" s="189" t="n"/>
      <c r="BS1" s="189" t="n"/>
      <c r="BT1" s="189" t="n"/>
      <c r="BU1" s="189" t="n"/>
      <c r="BV1" s="189" t="n"/>
      <c r="BW1" s="189" t="n"/>
      <c r="BX1" s="189" t="n"/>
      <c r="BY1" s="189" t="n"/>
    </row>
    <row r="2" ht="16.5" customHeight="1" s="838">
      <c r="D2" s="393" t="inlineStr">
        <is>
          <t>실제환율</t>
        </is>
      </c>
      <c r="E2" s="191" t="n">
        <v>1454.62580645161</v>
      </c>
      <c r="F2" s="191" t="n">
        <v>1454.62580645161</v>
      </c>
      <c r="G2" s="191" t="n">
        <v>1454.62580645161</v>
      </c>
      <c r="H2" s="189" t="n">
        <v>1460</v>
      </c>
      <c r="I2" s="189" t="n">
        <v>1460</v>
      </c>
      <c r="J2" s="191" t="n">
        <v>1447.73571</v>
      </c>
      <c r="K2" s="189" t="n">
        <v>1450</v>
      </c>
      <c r="L2" s="189" t="n">
        <v>1450</v>
      </c>
      <c r="M2" s="189" t="n">
        <v>1460</v>
      </c>
      <c r="N2" s="189" t="n">
        <v>1450</v>
      </c>
      <c r="O2" s="191" t="n">
        <v>1482.85161</v>
      </c>
      <c r="P2" s="189" t="n">
        <v>1440</v>
      </c>
      <c r="Q2" s="189" t="n">
        <v>1440</v>
      </c>
      <c r="R2" s="189" t="n">
        <v>1440</v>
      </c>
      <c r="S2" s="189" t="n">
        <v>1450</v>
      </c>
      <c r="T2" s="189" t="n">
        <v>1450</v>
      </c>
      <c r="U2" s="189" t="n">
        <v>1460</v>
      </c>
      <c r="V2" s="189" t="n">
        <v>1450</v>
      </c>
      <c r="W2" s="191" t="n">
        <v>1482.85161</v>
      </c>
      <c r="X2" s="189" t="n">
        <v>1440</v>
      </c>
      <c r="Y2" s="189" t="n">
        <v>1440</v>
      </c>
      <c r="Z2" s="189" t="n">
        <v>1450</v>
      </c>
      <c r="AA2" s="189" t="n">
        <v>1450</v>
      </c>
      <c r="AB2" s="189" t="n"/>
      <c r="AC2" s="189" t="n"/>
      <c r="AD2" s="191" t="n"/>
      <c r="AE2" s="189" t="n"/>
      <c r="AF2" s="189" t="n"/>
      <c r="AG2" s="189" t="n"/>
      <c r="AH2" s="189" t="n"/>
      <c r="AI2" s="191" t="n"/>
      <c r="AJ2" s="189" t="n"/>
      <c r="AK2" s="189" t="n"/>
      <c r="AL2" s="189" t="n"/>
      <c r="AM2" s="189" t="n"/>
      <c r="AN2" s="189" t="n"/>
      <c r="AO2" s="189" t="n"/>
      <c r="AP2" s="189" t="n"/>
      <c r="AQ2" s="189" t="n"/>
      <c r="AR2" s="191" t="n"/>
      <c r="AS2" s="189" t="n"/>
      <c r="AT2" s="189" t="n"/>
      <c r="AU2" s="189" t="n"/>
      <c r="AV2" s="189" t="n"/>
      <c r="AW2" s="189" t="n"/>
      <c r="AX2" s="191" t="n"/>
      <c r="AY2" s="189" t="n"/>
      <c r="AZ2" s="189" t="n"/>
      <c r="BA2" s="189" t="n"/>
      <c r="BB2" s="189" t="n"/>
      <c r="BC2" s="189" t="n"/>
      <c r="BD2" s="189" t="n"/>
      <c r="BE2" s="189" t="n"/>
      <c r="BF2" s="189" t="n"/>
      <c r="BG2" s="189" t="n"/>
      <c r="BH2" s="189" t="n"/>
      <c r="BI2" s="191" t="n"/>
      <c r="BJ2" s="189" t="n"/>
      <c r="BK2" s="189" t="n"/>
      <c r="BL2" s="189" t="n"/>
      <c r="BM2" s="189" t="n"/>
      <c r="BN2" s="189" t="n"/>
      <c r="BO2" s="189" t="n"/>
      <c r="BP2" s="189" t="n"/>
      <c r="BQ2" s="189" t="n"/>
      <c r="BR2" s="189" t="n"/>
      <c r="BS2" s="189" t="n"/>
      <c r="BT2" s="189" t="n"/>
      <c r="BU2" s="189" t="n"/>
      <c r="BV2" s="191" t="n"/>
      <c r="BW2" s="189" t="n"/>
      <c r="BX2" s="189" t="n"/>
      <c r="BY2" s="189" t="n"/>
    </row>
    <row r="3" ht="16.5" customHeight="1" s="838">
      <c r="E3" s="834" t="n"/>
      <c r="F3" s="834" t="n"/>
      <c r="G3" s="834" t="n"/>
      <c r="H3" s="834" t="n"/>
      <c r="I3" s="834" t="n"/>
      <c r="J3" s="834" t="n"/>
      <c r="K3" s="834" t="n"/>
      <c r="L3" s="834" t="n"/>
      <c r="M3" s="834" t="n"/>
      <c r="N3" s="834" t="n"/>
      <c r="O3" s="834" t="n"/>
      <c r="P3" s="834" t="n"/>
      <c r="Q3" s="834" t="n"/>
      <c r="R3" s="834" t="n"/>
      <c r="S3" s="834" t="n"/>
      <c r="T3" s="834" t="n"/>
      <c r="U3" s="834" t="n"/>
      <c r="V3" s="834" t="n"/>
      <c r="W3" s="834" t="n"/>
      <c r="X3" s="834" t="n"/>
      <c r="Y3" s="834" t="n"/>
      <c r="Z3" s="834" t="n"/>
      <c r="AA3" s="834" t="n"/>
      <c r="AB3" s="834" t="n"/>
      <c r="AC3" s="834" t="n"/>
      <c r="AD3" s="834" t="n"/>
      <c r="AE3" s="834" t="n"/>
      <c r="AF3" s="834" t="n"/>
      <c r="AG3" s="834" t="n"/>
      <c r="AH3" s="834" t="n"/>
      <c r="AI3" s="834" t="n"/>
      <c r="AJ3" s="834" t="n"/>
      <c r="AK3" s="834" t="n"/>
      <c r="AL3" s="834" t="n"/>
      <c r="AM3" s="834" t="n"/>
      <c r="AN3" s="834" t="n"/>
      <c r="AO3" s="834" t="n"/>
      <c r="AP3" s="834" t="n"/>
      <c r="AQ3" s="834" t="n"/>
      <c r="AR3" s="834" t="n"/>
      <c r="AS3" s="834" t="n"/>
      <c r="AT3" s="834" t="n"/>
      <c r="AU3" s="834" t="n"/>
      <c r="AV3" s="834" t="n"/>
      <c r="AW3" s="834" t="n"/>
      <c r="AX3" s="834" t="n"/>
      <c r="AY3" s="834" t="n"/>
      <c r="AZ3" s="834" t="n"/>
      <c r="BA3" s="834" t="n"/>
      <c r="BB3" s="834" t="n"/>
      <c r="BC3" s="834" t="n"/>
      <c r="BD3" s="834" t="n"/>
      <c r="BE3" s="834" t="n"/>
      <c r="BF3" s="834" t="n"/>
      <c r="BG3" s="834" t="n"/>
      <c r="BH3" s="834" t="n"/>
      <c r="BI3" s="834" t="n"/>
      <c r="BJ3" s="834" t="n"/>
      <c r="BK3" s="834" t="n"/>
      <c r="BL3" s="834" t="n"/>
      <c r="BM3" s="834" t="n"/>
      <c r="BN3" s="834" t="n"/>
      <c r="BO3" s="834" t="n"/>
      <c r="BP3" s="834" t="n"/>
      <c r="BQ3" s="834" t="n"/>
      <c r="BR3" s="834" t="n"/>
      <c r="BS3" s="834" t="n"/>
      <c r="BT3" s="834" t="n"/>
      <c r="BU3" s="834" t="n"/>
      <c r="BV3" s="834" t="n"/>
      <c r="BW3" s="834" t="n"/>
      <c r="BX3" s="834" t="n"/>
      <c r="BY3" s="834" t="n"/>
      <c r="BZ3" s="834" t="n"/>
    </row>
    <row r="4" ht="16.5" customHeight="1" s="838">
      <c r="B4" s="737" t="n"/>
      <c r="C4" s="745" t="n"/>
      <c r="D4" s="734" t="n"/>
      <c r="E4" s="733" t="inlineStr">
        <is>
          <t>1월</t>
        </is>
      </c>
      <c r="F4" s="740" t="n"/>
      <c r="G4" s="740" t="n"/>
      <c r="H4" s="740" t="n"/>
      <c r="I4" s="740" t="n"/>
      <c r="J4" s="741" t="n"/>
      <c r="K4" s="733" t="inlineStr">
        <is>
          <t>2월</t>
        </is>
      </c>
      <c r="L4" s="740" t="n"/>
      <c r="M4" s="740" t="n"/>
      <c r="N4" s="740" t="n"/>
      <c r="O4" s="741" t="n"/>
      <c r="P4" s="733" t="inlineStr">
        <is>
          <t>3월</t>
        </is>
      </c>
      <c r="Q4" s="740" t="n"/>
      <c r="R4" s="740" t="n"/>
      <c r="S4" s="740" t="n"/>
      <c r="T4" s="740" t="n"/>
      <c r="U4" s="741" t="n"/>
      <c r="V4" s="733" t="inlineStr">
        <is>
          <t>4월</t>
        </is>
      </c>
      <c r="W4" s="740" t="n"/>
      <c r="X4" s="740" t="n"/>
      <c r="Y4" s="740" t="n"/>
      <c r="Z4" s="740" t="n"/>
      <c r="AA4" s="741" t="n"/>
      <c r="AB4" s="733" t="inlineStr">
        <is>
          <t>5월</t>
        </is>
      </c>
      <c r="AC4" s="740" t="n"/>
      <c r="AD4" s="740" t="n"/>
      <c r="AE4" s="740" t="n"/>
      <c r="AF4" s="740" t="n"/>
      <c r="AG4" s="740" t="n"/>
      <c r="AH4" s="741" t="n"/>
      <c r="AI4" s="733" t="inlineStr">
        <is>
          <t>6월</t>
        </is>
      </c>
      <c r="AJ4" s="740" t="n"/>
      <c r="AK4" s="740" t="n"/>
      <c r="AL4" s="740" t="n"/>
      <c r="AM4" s="740" t="n"/>
      <c r="AN4" s="741" t="n"/>
      <c r="AO4" s="776" t="inlineStr">
        <is>
          <t>7월</t>
        </is>
      </c>
      <c r="AP4" s="740" t="n"/>
      <c r="AQ4" s="740" t="n"/>
      <c r="AR4" s="740" t="n"/>
      <c r="AS4" s="740" t="n"/>
      <c r="AT4" s="741" t="n"/>
      <c r="AU4" s="776" t="inlineStr">
        <is>
          <t>8월</t>
        </is>
      </c>
      <c r="AV4" s="740" t="n"/>
      <c r="AW4" s="740" t="n"/>
      <c r="AX4" s="740" t="n"/>
      <c r="AY4" s="740" t="n"/>
      <c r="AZ4" s="740" t="n"/>
      <c r="BA4" s="741" t="n"/>
      <c r="BB4" s="776" t="inlineStr">
        <is>
          <t>9월</t>
        </is>
      </c>
      <c r="BC4" s="740" t="n"/>
      <c r="BD4" s="740" t="n"/>
      <c r="BE4" s="740" t="n"/>
      <c r="BF4" s="740" t="n"/>
      <c r="BG4" s="741" t="n"/>
      <c r="BH4" s="776" t="inlineStr">
        <is>
          <t>10월</t>
        </is>
      </c>
      <c r="BI4" s="740" t="n"/>
      <c r="BJ4" s="740" t="n"/>
      <c r="BK4" s="740" t="n"/>
      <c r="BL4" s="740" t="n"/>
      <c r="BM4" s="741" t="n"/>
      <c r="BN4" s="776" t="inlineStr">
        <is>
          <t>11월</t>
        </is>
      </c>
      <c r="BO4" s="740" t="n"/>
      <c r="BP4" s="740" t="n"/>
      <c r="BQ4" s="740" t="n"/>
      <c r="BR4" s="740" t="n"/>
      <c r="BS4" s="741" t="n"/>
      <c r="BT4" s="776" t="inlineStr">
        <is>
          <t>12월</t>
        </is>
      </c>
      <c r="BU4" s="740" t="n"/>
      <c r="BV4" s="740" t="n"/>
      <c r="BW4" s="740" t="n"/>
      <c r="BX4" s="740" t="n"/>
      <c r="BY4" s="741" t="n"/>
    </row>
    <row r="5" ht="17.25" customHeight="1" s="838">
      <c r="B5" s="735" t="n"/>
      <c r="C5" s="752" t="n"/>
      <c r="D5" s="736" t="n"/>
      <c r="E5" s="83" t="inlineStr">
        <is>
          <t>실적</t>
        </is>
      </c>
      <c r="F5" s="797" t="inlineStr">
        <is>
          <t>W1</t>
        </is>
      </c>
      <c r="G5" s="797" t="inlineStr">
        <is>
          <t>W2</t>
        </is>
      </c>
      <c r="H5" s="797" t="inlineStr">
        <is>
          <t>W3</t>
        </is>
      </c>
      <c r="I5" s="797" t="inlineStr">
        <is>
          <t>W4</t>
        </is>
      </c>
      <c r="J5" s="797" t="inlineStr">
        <is>
          <t>W5</t>
        </is>
      </c>
      <c r="K5" s="83" t="inlineStr">
        <is>
          <t>실적</t>
        </is>
      </c>
      <c r="L5" s="797" t="inlineStr">
        <is>
          <t>W6</t>
        </is>
      </c>
      <c r="M5" s="797" t="inlineStr">
        <is>
          <t>W7</t>
        </is>
      </c>
      <c r="N5" s="797" t="inlineStr">
        <is>
          <t>W8</t>
        </is>
      </c>
      <c r="O5" s="797" t="inlineStr">
        <is>
          <t>W9</t>
        </is>
      </c>
      <c r="P5" s="83" t="inlineStr">
        <is>
          <t>실적</t>
        </is>
      </c>
      <c r="Q5" s="797" t="inlineStr">
        <is>
          <t>W10</t>
        </is>
      </c>
      <c r="R5" s="797" t="inlineStr">
        <is>
          <t>W11</t>
        </is>
      </c>
      <c r="S5" s="797" t="inlineStr">
        <is>
          <t>W12</t>
        </is>
      </c>
      <c r="T5" s="797" t="inlineStr">
        <is>
          <t>W13</t>
        </is>
      </c>
      <c r="U5" s="797" t="inlineStr">
        <is>
          <t>W14</t>
        </is>
      </c>
      <c r="V5" s="83" t="inlineStr">
        <is>
          <t>실적</t>
        </is>
      </c>
      <c r="W5" s="797" t="inlineStr">
        <is>
          <t>W14</t>
        </is>
      </c>
      <c r="X5" s="797" t="inlineStr">
        <is>
          <t>W15</t>
        </is>
      </c>
      <c r="Y5" s="797" t="inlineStr">
        <is>
          <t>W16</t>
        </is>
      </c>
      <c r="Z5" s="797" t="inlineStr">
        <is>
          <t>W17</t>
        </is>
      </c>
      <c r="AA5" s="797" t="inlineStr">
        <is>
          <t>W18</t>
        </is>
      </c>
      <c r="AB5" s="83" t="inlineStr">
        <is>
          <t>실적</t>
        </is>
      </c>
      <c r="AC5" s="797" t="inlineStr">
        <is>
          <t>W18</t>
        </is>
      </c>
      <c r="AD5" s="797" t="inlineStr">
        <is>
          <t>W19</t>
        </is>
      </c>
      <c r="AE5" s="797" t="inlineStr">
        <is>
          <t>W20</t>
        </is>
      </c>
      <c r="AF5" s="797" t="inlineStr">
        <is>
          <t>W21</t>
        </is>
      </c>
      <c r="AG5" s="797" t="inlineStr">
        <is>
          <t>W22</t>
        </is>
      </c>
      <c r="AH5" s="797" t="inlineStr">
        <is>
          <t>W23</t>
        </is>
      </c>
      <c r="AI5" s="83" t="inlineStr">
        <is>
          <t>실적</t>
        </is>
      </c>
      <c r="AJ5" s="797" t="inlineStr">
        <is>
          <t>W23</t>
        </is>
      </c>
      <c r="AK5" s="797" t="inlineStr">
        <is>
          <t>W24</t>
        </is>
      </c>
      <c r="AL5" s="797" t="inlineStr">
        <is>
          <t>W25</t>
        </is>
      </c>
      <c r="AM5" s="797" t="inlineStr">
        <is>
          <t>W26</t>
        </is>
      </c>
      <c r="AN5" s="394" t="inlineStr">
        <is>
          <t>W27</t>
        </is>
      </c>
      <c r="AO5" s="395" t="inlineStr">
        <is>
          <t>실적</t>
        </is>
      </c>
      <c r="AP5" s="776" t="inlineStr">
        <is>
          <t>W27</t>
        </is>
      </c>
      <c r="AQ5" s="776" t="inlineStr">
        <is>
          <t>W28</t>
        </is>
      </c>
      <c r="AR5" s="776" t="inlineStr">
        <is>
          <t>W29</t>
        </is>
      </c>
      <c r="AS5" s="776" t="inlineStr">
        <is>
          <t>W30</t>
        </is>
      </c>
      <c r="AT5" s="776" t="inlineStr">
        <is>
          <t>W31</t>
        </is>
      </c>
      <c r="AU5" s="395" t="inlineStr">
        <is>
          <t>실적</t>
        </is>
      </c>
      <c r="AV5" s="776" t="inlineStr">
        <is>
          <t>W31</t>
        </is>
      </c>
      <c r="AW5" s="776" t="inlineStr">
        <is>
          <t>W32</t>
        </is>
      </c>
      <c r="AX5" s="776" t="inlineStr">
        <is>
          <t>W33</t>
        </is>
      </c>
      <c r="AY5" s="776" t="inlineStr">
        <is>
          <t>W34</t>
        </is>
      </c>
      <c r="AZ5" s="776" t="inlineStr">
        <is>
          <t>W35</t>
        </is>
      </c>
      <c r="BA5" s="776" t="inlineStr">
        <is>
          <t>W36</t>
        </is>
      </c>
      <c r="BB5" s="395" t="inlineStr">
        <is>
          <t>실적</t>
        </is>
      </c>
      <c r="BC5" s="776" t="inlineStr">
        <is>
          <t>W36</t>
        </is>
      </c>
      <c r="BD5" s="776" t="inlineStr">
        <is>
          <t>W37</t>
        </is>
      </c>
      <c r="BE5" s="776" t="inlineStr">
        <is>
          <t>W38</t>
        </is>
      </c>
      <c r="BF5" s="776" t="inlineStr">
        <is>
          <t>W39</t>
        </is>
      </c>
      <c r="BG5" s="776" t="inlineStr">
        <is>
          <t>W40</t>
        </is>
      </c>
      <c r="BH5" s="395" t="inlineStr">
        <is>
          <t>실적</t>
        </is>
      </c>
      <c r="BI5" s="776" t="inlineStr">
        <is>
          <t>W40</t>
        </is>
      </c>
      <c r="BJ5" s="776" t="inlineStr">
        <is>
          <t>W41</t>
        </is>
      </c>
      <c r="BK5" s="776" t="inlineStr">
        <is>
          <t>W42</t>
        </is>
      </c>
      <c r="BL5" s="776" t="inlineStr">
        <is>
          <t>W43</t>
        </is>
      </c>
      <c r="BM5" s="776" t="inlineStr">
        <is>
          <t>W44</t>
        </is>
      </c>
      <c r="BN5" s="395" t="inlineStr">
        <is>
          <t>실적</t>
        </is>
      </c>
      <c r="BO5" s="776" t="inlineStr">
        <is>
          <t>W45</t>
        </is>
      </c>
      <c r="BP5" s="776" t="inlineStr">
        <is>
          <t>W46</t>
        </is>
      </c>
      <c r="BQ5" s="776" t="inlineStr">
        <is>
          <t>W47</t>
        </is>
      </c>
      <c r="BR5" s="776" t="inlineStr">
        <is>
          <t>W48</t>
        </is>
      </c>
      <c r="BS5" s="776" t="inlineStr">
        <is>
          <t>W49</t>
        </is>
      </c>
      <c r="BT5" s="395" t="inlineStr">
        <is>
          <t>실적</t>
        </is>
      </c>
      <c r="BU5" s="776" t="inlineStr">
        <is>
          <t>W49</t>
        </is>
      </c>
      <c r="BV5" s="776" t="inlineStr">
        <is>
          <t>W50</t>
        </is>
      </c>
      <c r="BW5" s="776" t="inlineStr">
        <is>
          <t>W51</t>
        </is>
      </c>
      <c r="BX5" s="776" t="inlineStr">
        <is>
          <t>W52</t>
        </is>
      </c>
      <c r="BY5" s="776" t="inlineStr">
        <is>
          <t>W53</t>
        </is>
      </c>
    </row>
    <row r="6" ht="16.5" customHeight="1" s="838">
      <c r="B6" s="780" t="inlineStr">
        <is>
          <t>합계</t>
        </is>
      </c>
      <c r="C6" s="782" t="inlineStr">
        <is>
          <t>매출</t>
        </is>
      </c>
      <c r="D6" s="834" t="inlineStr">
        <is>
          <t>`25 실적</t>
        </is>
      </c>
      <c r="E6" s="1149" t="n">
        <v>990.873064</v>
      </c>
      <c r="F6" s="1150" t="n">
        <v>990.873064</v>
      </c>
      <c r="G6" s="1150" t="n">
        <v>990.873064</v>
      </c>
      <c r="H6" s="1150" t="n">
        <v>990.873064</v>
      </c>
      <c r="I6" s="1150" t="n">
        <v>990.873064</v>
      </c>
      <c r="J6" s="1150" t="n">
        <v>990.873064</v>
      </c>
      <c r="K6" s="1149" t="n">
        <v>469.300863</v>
      </c>
      <c r="L6" s="1150" t="n">
        <v>469.300863</v>
      </c>
      <c r="M6" s="1150" t="n">
        <v>469.300863</v>
      </c>
      <c r="N6" s="1150" t="n">
        <v>469.300863</v>
      </c>
      <c r="O6" s="1151" t="n">
        <v>469.300863</v>
      </c>
      <c r="P6" s="1149" t="n">
        <v>884.124913</v>
      </c>
      <c r="Q6" s="1150" t="n">
        <v>884.124913</v>
      </c>
      <c r="R6" s="1150" t="n">
        <v>884.124913</v>
      </c>
      <c r="S6" s="1150" t="n">
        <v>884.124913</v>
      </c>
      <c r="T6" s="1150" t="n">
        <v>884.124913</v>
      </c>
      <c r="U6" s="1150" t="n">
        <v>884.124913</v>
      </c>
      <c r="V6" s="1149" t="n">
        <v>428.986293</v>
      </c>
      <c r="W6" s="1150" t="n">
        <v>428.986293</v>
      </c>
      <c r="X6" s="1150" t="n">
        <v>428.986293</v>
      </c>
      <c r="Y6" s="1150" t="n">
        <v>428.986293</v>
      </c>
      <c r="Z6" s="1150" t="n">
        <v>428.986293</v>
      </c>
      <c r="AA6" s="1151" t="n">
        <v>428.986293</v>
      </c>
      <c r="AB6" s="1149" t="n"/>
      <c r="AC6" s="1150" t="n"/>
      <c r="AD6" s="1150" t="n"/>
      <c r="AE6" s="1150" t="n"/>
      <c r="AF6" s="1150" t="n"/>
      <c r="AG6" s="1150" t="n"/>
      <c r="AH6" s="1151" t="n"/>
      <c r="AI6" s="1149" t="n"/>
      <c r="AJ6" s="1150" t="n"/>
      <c r="AK6" s="1150" t="n"/>
      <c r="AL6" s="1150" t="n"/>
      <c r="AM6" s="1150" t="n"/>
      <c r="AN6" s="1150" t="n"/>
      <c r="AO6" s="1152" t="n"/>
      <c r="AP6" s="1150" t="n"/>
      <c r="AQ6" s="1150" t="n"/>
      <c r="AR6" s="1150" t="n"/>
      <c r="AS6" s="1150" t="n"/>
      <c r="AT6" s="1151" t="n"/>
      <c r="AU6" s="1152" t="n"/>
      <c r="AV6" s="1150" t="n"/>
      <c r="AW6" s="1150" t="n"/>
      <c r="AX6" s="1150" t="n"/>
      <c r="AY6" s="1150" t="n"/>
      <c r="AZ6" s="1150" t="n"/>
      <c r="BA6" s="1151" t="n"/>
      <c r="BB6" s="1152" t="n"/>
      <c r="BC6" s="1150" t="n"/>
      <c r="BD6" s="1150" t="n"/>
      <c r="BE6" s="1150" t="n"/>
      <c r="BF6" s="1150" t="n"/>
      <c r="BG6" s="1151" t="n"/>
      <c r="BH6" s="1152" t="n"/>
      <c r="BI6" s="1150" t="n"/>
      <c r="BJ6" s="1150" t="n"/>
      <c r="BK6" s="1150" t="n"/>
      <c r="BL6" s="1150" t="n"/>
      <c r="BM6" s="1151" t="n"/>
      <c r="BN6" s="1152" t="n"/>
      <c r="BO6" s="1150" t="n"/>
      <c r="BP6" s="1150" t="n"/>
      <c r="BQ6" s="1150" t="n"/>
      <c r="BR6" s="1150" t="n"/>
      <c r="BS6" s="1151" t="n"/>
      <c r="BT6" s="1152" t="n"/>
      <c r="BU6" s="1150" t="n"/>
      <c r="BV6" s="1150" t="n"/>
      <c r="BW6" s="1150" t="n"/>
      <c r="BX6" s="1150" t="n"/>
      <c r="BY6" s="1153" t="n"/>
    </row>
    <row r="7" ht="16.5" customHeight="1" s="838">
      <c r="B7" s="756" t="n"/>
      <c r="C7" s="738" t="n"/>
      <c r="D7" s="834" t="inlineStr">
        <is>
          <t>`26 목표</t>
        </is>
      </c>
      <c r="E7" s="1154" t="n">
        <v>799.290981</v>
      </c>
      <c r="F7" s="1155" t="n">
        <v>799.290981</v>
      </c>
      <c r="G7" s="1155" t="n">
        <v>799.290981</v>
      </c>
      <c r="H7" s="1155" t="n">
        <v>799.290981</v>
      </c>
      <c r="I7" s="1155" t="n">
        <v>799.290981</v>
      </c>
      <c r="J7" s="1155" t="n">
        <v>799.290981</v>
      </c>
      <c r="K7" s="1154" t="n">
        <v>672.186774</v>
      </c>
      <c r="L7" s="1155" t="n">
        <v>672.186774</v>
      </c>
      <c r="M7" s="1155" t="n">
        <v>672.186774</v>
      </c>
      <c r="N7" s="1155" t="n">
        <v>672.186774</v>
      </c>
      <c r="O7" s="1156" t="n">
        <v>672.186774</v>
      </c>
      <c r="P7" s="1154" t="n">
        <v>1045.440846</v>
      </c>
      <c r="Q7" s="1155" t="n">
        <v>1045.440846</v>
      </c>
      <c r="R7" s="1155" t="n">
        <v>1045.440846</v>
      </c>
      <c r="S7" s="1155" t="n">
        <v>1045.440846</v>
      </c>
      <c r="T7" s="1155" t="n">
        <v>1045.440846</v>
      </c>
      <c r="U7" s="1155" t="n">
        <v>1045.440846</v>
      </c>
      <c r="V7" s="1154" t="n">
        <v>1205.075095</v>
      </c>
      <c r="W7" s="1155" t="n">
        <v>1205.075095</v>
      </c>
      <c r="X7" s="1155" t="n">
        <v>1205.075095</v>
      </c>
      <c r="Y7" s="1155" t="n">
        <v>1205.075095</v>
      </c>
      <c r="Z7" s="1155" t="n">
        <v>1205.075095</v>
      </c>
      <c r="AA7" s="1156" t="n">
        <v>1205.075095</v>
      </c>
      <c r="AB7" s="1154" t="n"/>
      <c r="AC7" s="1155" t="n"/>
      <c r="AD7" s="1155" t="n"/>
      <c r="AE7" s="1155" t="n"/>
      <c r="AF7" s="1155" t="n"/>
      <c r="AG7" s="1155" t="n"/>
      <c r="AH7" s="1156" t="n"/>
      <c r="AI7" s="1154" t="n"/>
      <c r="AJ7" s="1155" t="n"/>
      <c r="AK7" s="1155" t="n"/>
      <c r="AL7" s="1155" t="n"/>
      <c r="AM7" s="1155" t="n"/>
      <c r="AN7" s="1155" t="n"/>
      <c r="AO7" s="1157" t="n"/>
      <c r="AP7" s="1155" t="n"/>
      <c r="AQ7" s="1155" t="n"/>
      <c r="AR7" s="1155" t="n"/>
      <c r="AS7" s="1155" t="n"/>
      <c r="AT7" s="1156" t="n"/>
      <c r="AU7" s="1157" t="n"/>
      <c r="AV7" s="1155" t="n"/>
      <c r="AW7" s="1155" t="n"/>
      <c r="AX7" s="1155" t="n"/>
      <c r="AY7" s="1155" t="n"/>
      <c r="AZ7" s="1155" t="n"/>
      <c r="BA7" s="1156" t="n"/>
      <c r="BB7" s="1157" t="n"/>
      <c r="BC7" s="1155" t="n"/>
      <c r="BD7" s="1155" t="n"/>
      <c r="BE7" s="1155" t="n"/>
      <c r="BF7" s="1155" t="n"/>
      <c r="BG7" s="1156" t="n"/>
      <c r="BH7" s="1157" t="n"/>
      <c r="BI7" s="1155" t="n"/>
      <c r="BJ7" s="1155" t="n"/>
      <c r="BK7" s="1155" t="n"/>
      <c r="BL7" s="1155" t="n"/>
      <c r="BM7" s="1156" t="n"/>
      <c r="BN7" s="1157" t="n"/>
      <c r="BO7" s="1155" t="n"/>
      <c r="BP7" s="1155" t="n"/>
      <c r="BQ7" s="1155" t="n"/>
      <c r="BR7" s="1155" t="n"/>
      <c r="BS7" s="1156" t="n"/>
      <c r="BT7" s="1157" t="n"/>
      <c r="BU7" s="1155" t="n"/>
      <c r="BV7" s="1155" t="n"/>
      <c r="BW7" s="1155" t="n"/>
      <c r="BX7" s="1155" t="n"/>
      <c r="BY7" s="1158" t="n"/>
    </row>
    <row r="8" ht="16.5" customHeight="1" s="838">
      <c r="B8" s="756" t="n"/>
      <c r="C8" s="738" t="n"/>
      <c r="D8" s="834" t="inlineStr">
        <is>
          <t>`26 실적</t>
        </is>
      </c>
      <c r="E8" s="1154" t="n">
        <v>1074.063274</v>
      </c>
      <c r="F8" s="1155" t="n">
        <v>805.171968</v>
      </c>
      <c r="G8" s="1155" t="n">
        <v>805.171968</v>
      </c>
      <c r="H8" s="1155" t="n">
        <v>805.171968</v>
      </c>
      <c r="I8" s="1155" t="n">
        <v>805.171968</v>
      </c>
      <c r="J8" s="1155" t="n">
        <v>805.171968</v>
      </c>
      <c r="K8" s="1154" t="n">
        <v>1056.148553</v>
      </c>
      <c r="L8" s="1155" t="n">
        <v>784.789532</v>
      </c>
      <c r="M8" s="1155" t="n">
        <v>784.789532</v>
      </c>
      <c r="N8" s="1155" t="n">
        <v>719.036298</v>
      </c>
      <c r="O8" s="1156" t="n">
        <v>785.640022</v>
      </c>
      <c r="P8" s="1154" t="n">
        <v>802.918776</v>
      </c>
      <c r="Q8" s="1155" t="n">
        <v>448.145592</v>
      </c>
      <c r="R8" s="1155" t="n">
        <v>448.145592</v>
      </c>
      <c r="S8" s="1155" t="n">
        <v>448.145592</v>
      </c>
      <c r="T8" s="1155" t="n">
        <v>1088.673012</v>
      </c>
      <c r="U8" s="1155" t="n">
        <v>448.145592</v>
      </c>
      <c r="V8" s="1154" t="n">
        <v>756.458173</v>
      </c>
      <c r="W8" s="1155" t="n">
        <v>668.046777</v>
      </c>
      <c r="X8" s="1155" t="n">
        <v>668.046777</v>
      </c>
      <c r="Y8" s="1155" t="n">
        <v>668.046777</v>
      </c>
      <c r="Z8" s="1155" t="n">
        <v>668.046777</v>
      </c>
      <c r="AA8" s="1156" t="n">
        <v>1017.883562</v>
      </c>
      <c r="AB8" s="1154" t="n"/>
      <c r="AC8" s="1155" t="n"/>
      <c r="AD8" s="1155" t="n"/>
      <c r="AE8" s="1155" t="n"/>
      <c r="AF8" s="1155" t="n"/>
      <c r="AG8" s="1155" t="n"/>
      <c r="AH8" s="1156" t="n"/>
      <c r="AI8" s="1154" t="n"/>
      <c r="AJ8" s="1155" t="n"/>
      <c r="AK8" s="1155" t="n"/>
      <c r="AL8" s="1155" t="n"/>
      <c r="AM8" s="1155" t="n"/>
      <c r="AN8" s="1155" t="n"/>
      <c r="AO8" s="1157" t="n"/>
      <c r="AP8" s="1155" t="n"/>
      <c r="AQ8" s="1155" t="n"/>
      <c r="AR8" s="1155" t="n"/>
      <c r="AS8" s="1155" t="n"/>
      <c r="AT8" s="1156" t="n"/>
      <c r="AU8" s="1157" t="n"/>
      <c r="AV8" s="1155" t="n"/>
      <c r="AW8" s="1155" t="n"/>
      <c r="AX8" s="1155" t="n"/>
      <c r="AY8" s="1155" t="n"/>
      <c r="AZ8" s="1155" t="n"/>
      <c r="BA8" s="1156" t="n"/>
      <c r="BB8" s="1157" t="n"/>
      <c r="BC8" s="1155" t="n"/>
      <c r="BD8" s="1155" t="n"/>
      <c r="BE8" s="1155" t="n"/>
      <c r="BF8" s="1155" t="n"/>
      <c r="BG8" s="1156" t="n"/>
      <c r="BH8" s="1157" t="n"/>
      <c r="BI8" s="1155" t="n"/>
      <c r="BJ8" s="1155" t="n"/>
      <c r="BK8" s="1155" t="n"/>
      <c r="BL8" s="1155" t="n"/>
      <c r="BM8" s="1156" t="n"/>
      <c r="BN8" s="1157" t="n"/>
      <c r="BO8" s="1155" t="n"/>
      <c r="BP8" s="1155" t="n"/>
      <c r="BQ8" s="1155" t="n"/>
      <c r="BR8" s="1155" t="n"/>
      <c r="BS8" s="1156" t="n"/>
      <c r="BT8" s="1157" t="n"/>
      <c r="BU8" s="1155" t="n"/>
      <c r="BV8" s="1155" t="n"/>
      <c r="BW8" s="1155" t="n"/>
      <c r="BX8" s="1155" t="n"/>
      <c r="BY8" s="1158" t="n"/>
    </row>
    <row r="9" ht="16.5" customHeight="1" s="838">
      <c r="B9" s="756" t="n"/>
      <c r="C9" s="827" t="inlineStr">
        <is>
          <t>개선금액(원)</t>
        </is>
      </c>
      <c r="D9" s="406" t="inlineStr">
        <is>
          <t>`26 목표</t>
        </is>
      </c>
      <c r="E9" s="982">
        <f>E11*E$1/10^2</f>
        <v/>
      </c>
      <c r="F9" s="983">
        <f>F11*F$1/10^2</f>
        <v/>
      </c>
      <c r="G9" s="983">
        <f>G11*G$1/10^2</f>
        <v/>
      </c>
      <c r="H9" s="983">
        <f>H11*H$1/10^2</f>
        <v/>
      </c>
      <c r="I9" s="983">
        <f>I11*I$1/10^2</f>
        <v/>
      </c>
      <c r="J9" s="983">
        <f>J11*J$1/10^2</f>
        <v/>
      </c>
      <c r="K9" s="982">
        <f>K11*K$1/10^2</f>
        <v/>
      </c>
      <c r="L9" s="983">
        <f>L11*L$1/10^2</f>
        <v/>
      </c>
      <c r="M9" s="983">
        <f>M11*M$1/10^2</f>
        <v/>
      </c>
      <c r="N9" s="983">
        <f>N11*N$1/10^2</f>
        <v/>
      </c>
      <c r="O9" s="984">
        <f>O11*O$1/10^2</f>
        <v/>
      </c>
      <c r="P9" s="982">
        <f>P11*P$1/10^2</f>
        <v/>
      </c>
      <c r="Q9" s="983">
        <f>Q11*Q$1/10^2</f>
        <v/>
      </c>
      <c r="R9" s="983">
        <f>R11*R$1/10^2</f>
        <v/>
      </c>
      <c r="S9" s="983">
        <f>S11*S$1/10^2</f>
        <v/>
      </c>
      <c r="T9" s="983">
        <f>T11*T$1/10^2</f>
        <v/>
      </c>
      <c r="U9" s="983">
        <f>U11*U$1/10^2</f>
        <v/>
      </c>
      <c r="V9" s="982">
        <f>V11*V$1/10^2</f>
        <v/>
      </c>
      <c r="W9" s="983">
        <f>W11*W$1/10^2</f>
        <v/>
      </c>
      <c r="X9" s="983">
        <f>X11*X$1/10^2</f>
        <v/>
      </c>
      <c r="Y9" s="983">
        <f>Y11*Y$1/10^2</f>
        <v/>
      </c>
      <c r="Z9" s="983">
        <f>Z11*Z$1/10^2</f>
        <v/>
      </c>
      <c r="AA9" s="984">
        <f>AA11*AA$1/10^2</f>
        <v/>
      </c>
      <c r="AB9" s="982" t="n"/>
      <c r="AC9" s="983" t="n"/>
      <c r="AD9" s="983" t="n"/>
      <c r="AE9" s="983" t="n"/>
      <c r="AF9" s="983" t="n"/>
      <c r="AG9" s="983" t="n"/>
      <c r="AH9" s="984" t="n"/>
      <c r="AI9" s="982" t="n"/>
      <c r="AJ9" s="983" t="n"/>
      <c r="AK9" s="983" t="n"/>
      <c r="AL9" s="983" t="n"/>
      <c r="AM9" s="983" t="n"/>
      <c r="AN9" s="983" t="n"/>
      <c r="AO9" s="987" t="n"/>
      <c r="AP9" s="983" t="n"/>
      <c r="AQ9" s="983" t="n"/>
      <c r="AR9" s="983" t="n"/>
      <c r="AS9" s="983" t="n"/>
      <c r="AT9" s="984" t="n"/>
      <c r="AU9" s="987" t="n"/>
      <c r="AV9" s="983" t="n"/>
      <c r="AW9" s="983" t="n"/>
      <c r="AX9" s="983" t="n"/>
      <c r="AY9" s="983" t="n"/>
      <c r="AZ9" s="983" t="n"/>
      <c r="BA9" s="984" t="n"/>
      <c r="BB9" s="987" t="n"/>
      <c r="BC9" s="983" t="n"/>
      <c r="BD9" s="983" t="n"/>
      <c r="BE9" s="983" t="n"/>
      <c r="BF9" s="983" t="n"/>
      <c r="BG9" s="984" t="n"/>
      <c r="BH9" s="987" t="n"/>
      <c r="BI9" s="983" t="n"/>
      <c r="BJ9" s="983" t="n"/>
      <c r="BK9" s="983" t="n"/>
      <c r="BL9" s="983" t="n"/>
      <c r="BM9" s="984" t="n"/>
      <c r="BN9" s="987" t="n"/>
      <c r="BO9" s="983" t="n"/>
      <c r="BP9" s="983" t="n"/>
      <c r="BQ9" s="983" t="n"/>
      <c r="BR9" s="983" t="n"/>
      <c r="BS9" s="984" t="n"/>
      <c r="BT9" s="987" t="n"/>
      <c r="BU9" s="983" t="n"/>
      <c r="BV9" s="983" t="n"/>
      <c r="BW9" s="983" t="n"/>
      <c r="BX9" s="983" t="n"/>
      <c r="BY9" s="991" t="n"/>
    </row>
    <row r="10" ht="16.5" customHeight="1" s="838">
      <c r="B10" s="756" t="n"/>
      <c r="C10" s="739" t="n"/>
      <c r="D10" s="407" t="inlineStr">
        <is>
          <t>`26 실적</t>
        </is>
      </c>
      <c r="E10" s="973">
        <f>E12*E$2/10^2</f>
        <v/>
      </c>
      <c r="F10" s="974">
        <f>F12*F$2/10^2</f>
        <v/>
      </c>
      <c r="G10" s="974">
        <f>G12*G$2/10^2</f>
        <v/>
      </c>
      <c r="H10" s="974">
        <f>H12*H$2/10^2</f>
        <v/>
      </c>
      <c r="I10" s="974">
        <f>I12*I$2/10^2</f>
        <v/>
      </c>
      <c r="J10" s="974">
        <f>J12*J$2/10^2</f>
        <v/>
      </c>
      <c r="K10" s="973">
        <f>K12*K$2/10^2</f>
        <v/>
      </c>
      <c r="L10" s="974">
        <f>L12*L$2/10^2</f>
        <v/>
      </c>
      <c r="M10" s="974">
        <f>M12*M$2/10^2</f>
        <v/>
      </c>
      <c r="N10" s="974">
        <f>N12*N$2/10^2</f>
        <v/>
      </c>
      <c r="O10" s="975">
        <f>O12*O$2/10^2</f>
        <v/>
      </c>
      <c r="P10" s="973">
        <f>P12*P$2/10^2</f>
        <v/>
      </c>
      <c r="Q10" s="974">
        <f>Q12*Q$2/10^2</f>
        <v/>
      </c>
      <c r="R10" s="974">
        <f>R12*R$2/10^2</f>
        <v/>
      </c>
      <c r="S10" s="974">
        <f>S12*S$2/10^2</f>
        <v/>
      </c>
      <c r="T10" s="974">
        <f>T12*T$2/10^2</f>
        <v/>
      </c>
      <c r="U10" s="974">
        <f>U12*U$2/10^2</f>
        <v/>
      </c>
      <c r="V10" s="973">
        <f>V12*V$2/10^2</f>
        <v/>
      </c>
      <c r="W10" s="974">
        <f>W12*W$2/10^2</f>
        <v/>
      </c>
      <c r="X10" s="974">
        <f>X12*X$2/10^2</f>
        <v/>
      </c>
      <c r="Y10" s="974">
        <f>Y12*Y$2/10^2</f>
        <v/>
      </c>
      <c r="Z10" s="974">
        <f>Z12*Z$2/10^2</f>
        <v/>
      </c>
      <c r="AA10" s="975">
        <f>AA12*AA$2/10^2</f>
        <v/>
      </c>
      <c r="AB10" s="973" t="n"/>
      <c r="AC10" s="974" t="n"/>
      <c r="AD10" s="974" t="n"/>
      <c r="AE10" s="974" t="n"/>
      <c r="AF10" s="974" t="n"/>
      <c r="AG10" s="974" t="n"/>
      <c r="AH10" s="975" t="n"/>
      <c r="AI10" s="973" t="n"/>
      <c r="AJ10" s="974" t="n"/>
      <c r="AK10" s="974" t="n"/>
      <c r="AL10" s="974" t="n"/>
      <c r="AM10" s="974" t="n"/>
      <c r="AN10" s="974" t="n"/>
      <c r="AO10" s="994" t="n"/>
      <c r="AP10" s="974" t="n"/>
      <c r="AQ10" s="974" t="n"/>
      <c r="AR10" s="974" t="n"/>
      <c r="AS10" s="974" t="n"/>
      <c r="AT10" s="975" t="n"/>
      <c r="AU10" s="994" t="n"/>
      <c r="AV10" s="974" t="n"/>
      <c r="AW10" s="974" t="n"/>
      <c r="AX10" s="974" t="n"/>
      <c r="AY10" s="974" t="n"/>
      <c r="AZ10" s="974" t="n"/>
      <c r="BA10" s="975" t="n"/>
      <c r="BB10" s="994" t="n"/>
      <c r="BC10" s="974" t="n"/>
      <c r="BD10" s="974" t="n"/>
      <c r="BE10" s="974" t="n"/>
      <c r="BF10" s="974" t="n"/>
      <c r="BG10" s="975" t="n"/>
      <c r="BH10" s="994" t="n"/>
      <c r="BI10" s="974" t="n"/>
      <c r="BJ10" s="974" t="n"/>
      <c r="BK10" s="974" t="n"/>
      <c r="BL10" s="974" t="n"/>
      <c r="BM10" s="975" t="n"/>
      <c r="BN10" s="994" t="n"/>
      <c r="BO10" s="974" t="n"/>
      <c r="BP10" s="974" t="n"/>
      <c r="BQ10" s="974" t="n"/>
      <c r="BR10" s="974" t="n"/>
      <c r="BS10" s="975" t="n"/>
      <c r="BT10" s="994" t="n"/>
      <c r="BU10" s="974" t="n"/>
      <c r="BV10" s="974" t="n"/>
      <c r="BW10" s="974" t="n"/>
      <c r="BX10" s="974" t="n"/>
      <c r="BY10" s="998" t="n"/>
    </row>
    <row r="11" ht="16.5" customHeight="1" s="838">
      <c r="B11" s="756" t="n"/>
      <c r="C11" s="827" t="inlineStr">
        <is>
          <t>개선금액($)</t>
        </is>
      </c>
      <c r="D11" s="406" t="inlineStr">
        <is>
          <t>`26 목표</t>
        </is>
      </c>
      <c r="E11" s="982">
        <f>(E13-E14)*E7</f>
        <v/>
      </c>
      <c r="F11" s="983">
        <f>(F13-F14)*F7</f>
        <v/>
      </c>
      <c r="G11" s="983">
        <f>(G13-G14)*G7</f>
        <v/>
      </c>
      <c r="H11" s="983">
        <f>(H13-H14)*H7</f>
        <v/>
      </c>
      <c r="I11" s="983">
        <f>(I13-I14)*I7</f>
        <v/>
      </c>
      <c r="J11" s="983">
        <f>(J13-J14)*J7</f>
        <v/>
      </c>
      <c r="K11" s="982">
        <f>(K13-K14)*K7</f>
        <v/>
      </c>
      <c r="L11" s="983">
        <f>(L13-L14)*L7</f>
        <v/>
      </c>
      <c r="M11" s="983">
        <f>(M13-M14)*M7</f>
        <v/>
      </c>
      <c r="N11" s="983">
        <f>(N13-N14)*N7</f>
        <v/>
      </c>
      <c r="O11" s="984">
        <f>(O13-O14)*O7</f>
        <v/>
      </c>
      <c r="P11" s="982">
        <f>(P13-P14)*P7</f>
        <v/>
      </c>
      <c r="Q11" s="983">
        <f>(Q13-Q14)*Q7</f>
        <v/>
      </c>
      <c r="R11" s="983">
        <f>(R13-R14)*R7</f>
        <v/>
      </c>
      <c r="S11" s="983">
        <f>(S13-S14)*S7</f>
        <v/>
      </c>
      <c r="T11" s="983">
        <f>(T13-T14)*T7</f>
        <v/>
      </c>
      <c r="U11" s="983">
        <f>(U13-U14)*U7</f>
        <v/>
      </c>
      <c r="V11" s="982">
        <f>(V13-V14)*V7</f>
        <v/>
      </c>
      <c r="W11" s="983">
        <f>(W13-W14)*W7</f>
        <v/>
      </c>
      <c r="X11" s="983">
        <f>(X13-X14)*X7</f>
        <v/>
      </c>
      <c r="Y11" s="983">
        <f>(Y13-Y14)*Y7</f>
        <v/>
      </c>
      <c r="Z11" s="983">
        <f>(Z13-Z14)*Z7</f>
        <v/>
      </c>
      <c r="AA11" s="984">
        <f>(AA13-AA14)*AA7</f>
        <v/>
      </c>
      <c r="AB11" s="982" t="n"/>
      <c r="AC11" s="983" t="n"/>
      <c r="AD11" s="983" t="n"/>
      <c r="AE11" s="983" t="n"/>
      <c r="AF11" s="983" t="n"/>
      <c r="AG11" s="983" t="n"/>
      <c r="AH11" s="984" t="n"/>
      <c r="AI11" s="982" t="n"/>
      <c r="AJ11" s="983" t="n"/>
      <c r="AK11" s="983" t="n"/>
      <c r="AL11" s="983" t="n"/>
      <c r="AM11" s="983" t="n"/>
      <c r="AN11" s="983" t="n"/>
      <c r="AO11" s="987" t="n"/>
      <c r="AP11" s="983" t="n"/>
      <c r="AQ11" s="983" t="n"/>
      <c r="AR11" s="983" t="n"/>
      <c r="AS11" s="983" t="n"/>
      <c r="AT11" s="984" t="n"/>
      <c r="AU11" s="987" t="n"/>
      <c r="AV11" s="983" t="n"/>
      <c r="AW11" s="983" t="n"/>
      <c r="AX11" s="983" t="n"/>
      <c r="AY11" s="983" t="n"/>
      <c r="AZ11" s="983" t="n"/>
      <c r="BA11" s="984" t="n"/>
      <c r="BB11" s="987" t="n"/>
      <c r="BC11" s="983" t="n"/>
      <c r="BD11" s="983" t="n"/>
      <c r="BE11" s="983" t="n"/>
      <c r="BF11" s="983" t="n"/>
      <c r="BG11" s="984" t="n"/>
      <c r="BH11" s="987" t="n"/>
      <c r="BI11" s="983" t="n"/>
      <c r="BJ11" s="983" t="n"/>
      <c r="BK11" s="983" t="n"/>
      <c r="BL11" s="983" t="n"/>
      <c r="BM11" s="984" t="n"/>
      <c r="BN11" s="987" t="n"/>
      <c r="BO11" s="983" t="n"/>
      <c r="BP11" s="983" t="n"/>
      <c r="BQ11" s="983" t="n"/>
      <c r="BR11" s="983" t="n"/>
      <c r="BS11" s="984" t="n"/>
      <c r="BT11" s="987" t="n"/>
      <c r="BU11" s="983" t="n"/>
      <c r="BV11" s="983" t="n"/>
      <c r="BW11" s="983" t="n"/>
      <c r="BX11" s="983" t="n"/>
      <c r="BY11" s="991" t="n"/>
    </row>
    <row r="12" ht="16.5" customHeight="1" s="838">
      <c r="B12" s="756" t="n"/>
      <c r="C12" s="739" t="n"/>
      <c r="D12" s="407" t="inlineStr">
        <is>
          <t>`26 실적</t>
        </is>
      </c>
      <c r="E12" s="973">
        <f>(E13-E15)*E8</f>
        <v/>
      </c>
      <c r="F12" s="974">
        <f>(F13-F15)*F8</f>
        <v/>
      </c>
      <c r="G12" s="974">
        <f>(G13-G15)*G8</f>
        <v/>
      </c>
      <c r="H12" s="974">
        <f>(H13-H15)*H8</f>
        <v/>
      </c>
      <c r="I12" s="974">
        <f>(I13-I15)*I8</f>
        <v/>
      </c>
      <c r="J12" s="974">
        <f>(J13-J15)*J8</f>
        <v/>
      </c>
      <c r="K12" s="973">
        <f>(K13-K15)*K8</f>
        <v/>
      </c>
      <c r="L12" s="974">
        <f>(L13-L15)*L8</f>
        <v/>
      </c>
      <c r="M12" s="974">
        <f>(M13-M15)*M8</f>
        <v/>
      </c>
      <c r="N12" s="974">
        <f>(N13-N15)*N8</f>
        <v/>
      </c>
      <c r="O12" s="975">
        <f>(O13-O15)*O8</f>
        <v/>
      </c>
      <c r="P12" s="973">
        <f>(P13-P15)*P8</f>
        <v/>
      </c>
      <c r="Q12" s="974">
        <f>(Q13-Q15)*Q8</f>
        <v/>
      </c>
      <c r="R12" s="974">
        <f>(R13-R15)*R8</f>
        <v/>
      </c>
      <c r="S12" s="974">
        <f>(S13-S15)*S8</f>
        <v/>
      </c>
      <c r="T12" s="974">
        <f>(T13-T15)*T8</f>
        <v/>
      </c>
      <c r="U12" s="974">
        <f>(U13-U15)*U8</f>
        <v/>
      </c>
      <c r="V12" s="973">
        <f>(V13-V15)*V8</f>
        <v/>
      </c>
      <c r="W12" s="974">
        <f>(W13-W15)*W8</f>
        <v/>
      </c>
      <c r="X12" s="974">
        <f>(X13-X15)*X8</f>
        <v/>
      </c>
      <c r="Y12" s="974">
        <f>(Y13-Y15)*Y8</f>
        <v/>
      </c>
      <c r="Z12" s="974">
        <f>(Z13-Z15)*Z8</f>
        <v/>
      </c>
      <c r="AA12" s="975">
        <f>(AA13-AA15)*AA8</f>
        <v/>
      </c>
      <c r="AB12" s="973" t="n"/>
      <c r="AC12" s="974" t="n"/>
      <c r="AD12" s="974" t="n"/>
      <c r="AE12" s="974" t="n"/>
      <c r="AF12" s="974" t="n"/>
      <c r="AG12" s="974" t="n"/>
      <c r="AH12" s="975" t="n"/>
      <c r="AI12" s="973" t="n"/>
      <c r="AJ12" s="974" t="n"/>
      <c r="AK12" s="974" t="n"/>
      <c r="AL12" s="974" t="n"/>
      <c r="AM12" s="974" t="n"/>
      <c r="AN12" s="974" t="n"/>
      <c r="AO12" s="994" t="n"/>
      <c r="AP12" s="974" t="n"/>
      <c r="AQ12" s="974" t="n"/>
      <c r="AR12" s="974" t="n"/>
      <c r="AS12" s="974" t="n"/>
      <c r="AT12" s="975" t="n"/>
      <c r="AU12" s="994" t="n"/>
      <c r="AV12" s="974" t="n"/>
      <c r="AW12" s="974" t="n"/>
      <c r="AX12" s="974" t="n"/>
      <c r="AY12" s="974" t="n"/>
      <c r="AZ12" s="974" t="n"/>
      <c r="BA12" s="975" t="n"/>
      <c r="BB12" s="994" t="n"/>
      <c r="BC12" s="974" t="n"/>
      <c r="BD12" s="974" t="n"/>
      <c r="BE12" s="974" t="n"/>
      <c r="BF12" s="974" t="n"/>
      <c r="BG12" s="975" t="n"/>
      <c r="BH12" s="994" t="n"/>
      <c r="BI12" s="974" t="n"/>
      <c r="BJ12" s="974" t="n"/>
      <c r="BK12" s="974" t="n"/>
      <c r="BL12" s="974" t="n"/>
      <c r="BM12" s="975" t="n"/>
      <c r="BN12" s="994" t="n"/>
      <c r="BO12" s="974" t="n"/>
      <c r="BP12" s="974" t="n"/>
      <c r="BQ12" s="974" t="n"/>
      <c r="BR12" s="974" t="n"/>
      <c r="BS12" s="975" t="n"/>
      <c r="BT12" s="994" t="n"/>
      <c r="BU12" s="974" t="n"/>
      <c r="BV12" s="974" t="n"/>
      <c r="BW12" s="974" t="n"/>
      <c r="BX12" s="974" t="n"/>
      <c r="BY12" s="998" t="n"/>
    </row>
    <row r="13" ht="16.5" customHeight="1" s="838">
      <c r="B13" s="756" t="n"/>
      <c r="C13" s="737" t="inlineStr">
        <is>
          <t>물류비율</t>
        </is>
      </c>
      <c r="D13" s="406" t="inlineStr">
        <is>
          <t>`25 실적</t>
        </is>
      </c>
      <c r="E13" s="1159">
        <f>E16/E6</f>
        <v/>
      </c>
      <c r="F13" s="1160">
        <f>F16/F6</f>
        <v/>
      </c>
      <c r="G13" s="1160">
        <f>G16/G6</f>
        <v/>
      </c>
      <c r="H13" s="1160">
        <f>H16/H6</f>
        <v/>
      </c>
      <c r="I13" s="1160">
        <f>I16/I6</f>
        <v/>
      </c>
      <c r="J13" s="1160">
        <f>J16/J6</f>
        <v/>
      </c>
      <c r="K13" s="1159">
        <f>K16/K6</f>
        <v/>
      </c>
      <c r="L13" s="1160">
        <f>L16/L6</f>
        <v/>
      </c>
      <c r="M13" s="1160">
        <f>M16/M6</f>
        <v/>
      </c>
      <c r="N13" s="1160">
        <f>N16/N6</f>
        <v/>
      </c>
      <c r="O13" s="1161">
        <f>O16/O6</f>
        <v/>
      </c>
      <c r="P13" s="1159">
        <f>P16/P6</f>
        <v/>
      </c>
      <c r="Q13" s="1160">
        <f>Q16/Q6</f>
        <v/>
      </c>
      <c r="R13" s="1160">
        <f>R16/R6</f>
        <v/>
      </c>
      <c r="S13" s="1160">
        <f>S16/S6</f>
        <v/>
      </c>
      <c r="T13" s="1160">
        <f>T16/T6</f>
        <v/>
      </c>
      <c r="U13" s="1160">
        <f>U16/U6</f>
        <v/>
      </c>
      <c r="V13" s="1159">
        <f>V16/V6</f>
        <v/>
      </c>
      <c r="W13" s="1160">
        <f>W16/W6</f>
        <v/>
      </c>
      <c r="X13" s="1160">
        <f>X16/X6</f>
        <v/>
      </c>
      <c r="Y13" s="1160">
        <f>Y16/Y6</f>
        <v/>
      </c>
      <c r="Z13" s="1160">
        <f>Z16/Z6</f>
        <v/>
      </c>
      <c r="AA13" s="1161">
        <f>AA16/AA6</f>
        <v/>
      </c>
      <c r="AB13" s="1159" t="n"/>
      <c r="AC13" s="1160" t="n"/>
      <c r="AD13" s="1160" t="n"/>
      <c r="AE13" s="1160" t="n"/>
      <c r="AF13" s="1160" t="n"/>
      <c r="AG13" s="1160" t="n"/>
      <c r="AH13" s="1161" t="n"/>
      <c r="AI13" s="1159" t="n"/>
      <c r="AJ13" s="1160" t="n"/>
      <c r="AK13" s="1160" t="n"/>
      <c r="AL13" s="1160" t="n"/>
      <c r="AM13" s="1160" t="n"/>
      <c r="AN13" s="1160" t="n"/>
      <c r="AO13" s="1162" t="n"/>
      <c r="AP13" s="1160" t="n"/>
      <c r="AQ13" s="1160" t="n"/>
      <c r="AR13" s="1160" t="n"/>
      <c r="AS13" s="1160" t="n"/>
      <c r="AT13" s="1161" t="n"/>
      <c r="AU13" s="1162" t="n"/>
      <c r="AV13" s="1160" t="n"/>
      <c r="AW13" s="1160" t="n"/>
      <c r="AX13" s="1160" t="n"/>
      <c r="AY13" s="1160" t="n"/>
      <c r="AZ13" s="1160" t="n"/>
      <c r="BA13" s="1161" t="n"/>
      <c r="BB13" s="1162" t="n"/>
      <c r="BC13" s="1160" t="n"/>
      <c r="BD13" s="1160" t="n"/>
      <c r="BE13" s="1160" t="n"/>
      <c r="BF13" s="1160" t="n"/>
      <c r="BG13" s="1161" t="n"/>
      <c r="BH13" s="1162" t="n"/>
      <c r="BI13" s="1160" t="n"/>
      <c r="BJ13" s="1160" t="n"/>
      <c r="BK13" s="1160" t="n"/>
      <c r="BL13" s="1160" t="n"/>
      <c r="BM13" s="1161" t="n"/>
      <c r="BN13" s="1162" t="n"/>
      <c r="BO13" s="1160" t="n"/>
      <c r="BP13" s="1160" t="n"/>
      <c r="BQ13" s="1160" t="n"/>
      <c r="BR13" s="1160" t="n"/>
      <c r="BS13" s="1161" t="n"/>
      <c r="BT13" s="1162" t="n"/>
      <c r="BU13" s="1160" t="n"/>
      <c r="BV13" s="1160" t="n"/>
      <c r="BW13" s="1160" t="n"/>
      <c r="BX13" s="1160" t="n"/>
      <c r="BY13" s="1163" t="n"/>
    </row>
    <row r="14" ht="16.5" customHeight="1" s="838">
      <c r="B14" s="756" t="n"/>
      <c r="C14" s="738" t="n"/>
      <c r="D14" s="834" t="inlineStr">
        <is>
          <t>`26 목표</t>
        </is>
      </c>
      <c r="E14" s="1036">
        <f>E17/E7</f>
        <v/>
      </c>
      <c r="F14" s="931">
        <f>F17/F7</f>
        <v/>
      </c>
      <c r="G14" s="931">
        <f>G17/G7</f>
        <v/>
      </c>
      <c r="H14" s="931">
        <f>H17/H7</f>
        <v/>
      </c>
      <c r="I14" s="931">
        <f>I17/I7</f>
        <v/>
      </c>
      <c r="J14" s="931">
        <f>J17/J7</f>
        <v/>
      </c>
      <c r="K14" s="1036">
        <f>K17/K7</f>
        <v/>
      </c>
      <c r="L14" s="931">
        <f>L17/L7</f>
        <v/>
      </c>
      <c r="M14" s="931">
        <f>M17/M7</f>
        <v/>
      </c>
      <c r="N14" s="931">
        <f>N17/N7</f>
        <v/>
      </c>
      <c r="O14" s="938">
        <f>O17/O7</f>
        <v/>
      </c>
      <c r="P14" s="1036">
        <f>P17/P7</f>
        <v/>
      </c>
      <c r="Q14" s="931">
        <f>Q17/Q7</f>
        <v/>
      </c>
      <c r="R14" s="931">
        <f>R17/R7</f>
        <v/>
      </c>
      <c r="S14" s="931">
        <f>S17/S7</f>
        <v/>
      </c>
      <c r="T14" s="931">
        <f>T17/T7</f>
        <v/>
      </c>
      <c r="U14" s="931">
        <f>U17/U7</f>
        <v/>
      </c>
      <c r="V14" s="1036">
        <f>V17/V7</f>
        <v/>
      </c>
      <c r="W14" s="931">
        <f>W17/W7</f>
        <v/>
      </c>
      <c r="X14" s="931">
        <f>X17/X7</f>
        <v/>
      </c>
      <c r="Y14" s="931">
        <f>Y17/Y7</f>
        <v/>
      </c>
      <c r="Z14" s="931">
        <f>Z17/Z7</f>
        <v/>
      </c>
      <c r="AA14" s="938">
        <f>AA17/AA7</f>
        <v/>
      </c>
      <c r="AB14" s="1036" t="n"/>
      <c r="AC14" s="931" t="n"/>
      <c r="AD14" s="931" t="n"/>
      <c r="AE14" s="931" t="n"/>
      <c r="AF14" s="931" t="n"/>
      <c r="AG14" s="931" t="n"/>
      <c r="AH14" s="938" t="n"/>
      <c r="AI14" s="1036" t="n"/>
      <c r="AJ14" s="931" t="n"/>
      <c r="AK14" s="931" t="n"/>
      <c r="AL14" s="931" t="n"/>
      <c r="AM14" s="931" t="n"/>
      <c r="AN14" s="931" t="n"/>
      <c r="AO14" s="929" t="n"/>
      <c r="AP14" s="931" t="n"/>
      <c r="AQ14" s="931" t="n"/>
      <c r="AR14" s="931" t="n"/>
      <c r="AS14" s="931" t="n"/>
      <c r="AT14" s="938" t="n"/>
      <c r="AU14" s="929" t="n"/>
      <c r="AV14" s="931" t="n"/>
      <c r="AW14" s="931" t="n"/>
      <c r="AX14" s="931" t="n"/>
      <c r="AY14" s="931" t="n"/>
      <c r="AZ14" s="931" t="n"/>
      <c r="BA14" s="938" t="n"/>
      <c r="BB14" s="929" t="n"/>
      <c r="BC14" s="931" t="n"/>
      <c r="BD14" s="931" t="n"/>
      <c r="BE14" s="931" t="n"/>
      <c r="BF14" s="931" t="n"/>
      <c r="BG14" s="938" t="n"/>
      <c r="BH14" s="929" t="n"/>
      <c r="BI14" s="931" t="n"/>
      <c r="BJ14" s="931" t="n"/>
      <c r="BK14" s="931" t="n"/>
      <c r="BL14" s="931" t="n"/>
      <c r="BM14" s="938" t="n"/>
      <c r="BN14" s="929" t="n"/>
      <c r="BO14" s="931" t="n"/>
      <c r="BP14" s="931" t="n"/>
      <c r="BQ14" s="931" t="n"/>
      <c r="BR14" s="931" t="n"/>
      <c r="BS14" s="938" t="n"/>
      <c r="BT14" s="929" t="n"/>
      <c r="BU14" s="931" t="n"/>
      <c r="BV14" s="931" t="n"/>
      <c r="BW14" s="931" t="n"/>
      <c r="BX14" s="931" t="n"/>
      <c r="BY14" s="939" t="n"/>
    </row>
    <row r="15" ht="16.5" customHeight="1" s="838">
      <c r="B15" s="756" t="n"/>
      <c r="C15" s="739" t="n"/>
      <c r="D15" s="407" t="inlineStr">
        <is>
          <t>`26 실적</t>
        </is>
      </c>
      <c r="E15" s="1075">
        <f>E18/E8</f>
        <v/>
      </c>
      <c r="F15" s="922">
        <f>F18/F8</f>
        <v/>
      </c>
      <c r="G15" s="922">
        <f>G18/G8</f>
        <v/>
      </c>
      <c r="H15" s="922">
        <f>H18/H8</f>
        <v/>
      </c>
      <c r="I15" s="922">
        <f>I18/I8</f>
        <v/>
      </c>
      <c r="J15" s="922">
        <f>J18/J8</f>
        <v/>
      </c>
      <c r="K15" s="1075">
        <f>K18/K8</f>
        <v/>
      </c>
      <c r="L15" s="922">
        <f>L18/L8</f>
        <v/>
      </c>
      <c r="M15" s="922">
        <f>M18/M8</f>
        <v/>
      </c>
      <c r="N15" s="922">
        <f>N18/N8</f>
        <v/>
      </c>
      <c r="O15" s="923">
        <f>O18/O8</f>
        <v/>
      </c>
      <c r="P15" s="1075">
        <f>P18/P8</f>
        <v/>
      </c>
      <c r="Q15" s="922">
        <f>Q18/Q8</f>
        <v/>
      </c>
      <c r="R15" s="922">
        <f>R18/R8</f>
        <v/>
      </c>
      <c r="S15" s="922">
        <f>S18/S8</f>
        <v/>
      </c>
      <c r="T15" s="922">
        <f>T18/T8</f>
        <v/>
      </c>
      <c r="U15" s="922">
        <f>U18/U8</f>
        <v/>
      </c>
      <c r="V15" s="1075">
        <f>V18/V8</f>
        <v/>
      </c>
      <c r="W15" s="922">
        <f>W18/W8</f>
        <v/>
      </c>
      <c r="X15" s="922">
        <f>X18/X8</f>
        <v/>
      </c>
      <c r="Y15" s="922">
        <f>Y18/Y8</f>
        <v/>
      </c>
      <c r="Z15" s="922">
        <f>Z18/Z8</f>
        <v/>
      </c>
      <c r="AA15" s="923">
        <f>AA18/AA8</f>
        <v/>
      </c>
      <c r="AB15" s="1075" t="n"/>
      <c r="AC15" s="922" t="n"/>
      <c r="AD15" s="922" t="n"/>
      <c r="AE15" s="922" t="n"/>
      <c r="AF15" s="922" t="n"/>
      <c r="AG15" s="922" t="n"/>
      <c r="AH15" s="923" t="n"/>
      <c r="AI15" s="1075" t="n"/>
      <c r="AJ15" s="922" t="n"/>
      <c r="AK15" s="922" t="n"/>
      <c r="AL15" s="922" t="n"/>
      <c r="AM15" s="922" t="n"/>
      <c r="AN15" s="922" t="n"/>
      <c r="AO15" s="921" t="n"/>
      <c r="AP15" s="922" t="n"/>
      <c r="AQ15" s="922" t="n"/>
      <c r="AR15" s="922" t="n"/>
      <c r="AS15" s="922" t="n"/>
      <c r="AT15" s="923" t="n"/>
      <c r="AU15" s="921" t="n"/>
      <c r="AV15" s="922" t="n"/>
      <c r="AW15" s="922" t="n"/>
      <c r="AX15" s="922" t="n"/>
      <c r="AY15" s="922" t="n"/>
      <c r="AZ15" s="922" t="n"/>
      <c r="BA15" s="923" t="n"/>
      <c r="BB15" s="921" t="n"/>
      <c r="BC15" s="922" t="n"/>
      <c r="BD15" s="922" t="n"/>
      <c r="BE15" s="922" t="n"/>
      <c r="BF15" s="922" t="n"/>
      <c r="BG15" s="923" t="n"/>
      <c r="BH15" s="921" t="n"/>
      <c r="BI15" s="922" t="n"/>
      <c r="BJ15" s="922" t="n"/>
      <c r="BK15" s="922" t="n"/>
      <c r="BL15" s="922" t="n"/>
      <c r="BM15" s="134" t="n"/>
      <c r="BN15" s="132" t="n"/>
      <c r="BO15" s="133" t="n"/>
      <c r="BP15" s="133" t="n"/>
      <c r="BQ15" s="133" t="n"/>
      <c r="BR15" s="133" t="n"/>
      <c r="BS15" s="134" t="n"/>
      <c r="BT15" s="132" t="n"/>
      <c r="BU15" s="133" t="n"/>
      <c r="BV15" s="133" t="n"/>
      <c r="BW15" s="133" t="n"/>
      <c r="BX15" s="133" t="n"/>
      <c r="BY15" s="135" t="n"/>
    </row>
    <row r="16" ht="16.5" customHeight="1" s="838">
      <c r="B16" s="756" t="n"/>
      <c r="C16" s="781" t="inlineStr">
        <is>
          <t>물류비</t>
        </is>
      </c>
      <c r="D16" s="834" t="inlineStr">
        <is>
          <t>`25 실적</t>
        </is>
      </c>
      <c r="E16" s="1154">
        <f>SUM(E26,E36,E46,E56,E66)</f>
        <v/>
      </c>
      <c r="F16" s="1155">
        <f>SUM(F26,F36,F46,F56,F66)</f>
        <v/>
      </c>
      <c r="G16" s="1155">
        <f>SUM(G26,G36,G46,G56,G66)</f>
        <v/>
      </c>
      <c r="H16" s="1155">
        <f>SUM(H26,H36,H46,H56,H66)</f>
        <v/>
      </c>
      <c r="I16" s="1155">
        <f>SUM(I26,I36,I46,I56,I66)</f>
        <v/>
      </c>
      <c r="J16" s="1155">
        <f>SUM(J26,J36,J46,J56,J66)</f>
        <v/>
      </c>
      <c r="K16" s="1154">
        <f>SUM(K26,K36,K46,K56,K66)</f>
        <v/>
      </c>
      <c r="L16" s="1155">
        <f>SUM(L26,L36,L46,L56,L66)</f>
        <v/>
      </c>
      <c r="M16" s="1155">
        <f>SUM(M26,M36,M46,M56,M66)</f>
        <v/>
      </c>
      <c r="N16" s="1155">
        <f>SUM(N26,N36,N46,N56,N66)</f>
        <v/>
      </c>
      <c r="O16" s="1156">
        <f>SUM(O26,O36,O46,O56,O66)</f>
        <v/>
      </c>
      <c r="P16" s="1154">
        <f>SUM(P26,P36,P46,P56,P66)</f>
        <v/>
      </c>
      <c r="Q16" s="1155">
        <f>SUM(Q26,Q36,Q46,Q56,Q66)</f>
        <v/>
      </c>
      <c r="R16" s="1155">
        <f>SUM(R26,R36,R46,R56,R66)</f>
        <v/>
      </c>
      <c r="S16" s="1155">
        <f>SUM(S26,S36,S46,S56,S66)</f>
        <v/>
      </c>
      <c r="T16" s="1155">
        <f>SUM(T26,T36,T46,T56,T66)</f>
        <v/>
      </c>
      <c r="U16" s="1155">
        <f>SUM(U26,U36,U46,U56,U66)</f>
        <v/>
      </c>
      <c r="V16" s="1154">
        <f>SUM(V26,V36,V46,V56,V66)</f>
        <v/>
      </c>
      <c r="W16" s="1155">
        <f>SUM(W26,W36,W46,W56,W66)</f>
        <v/>
      </c>
      <c r="X16" s="1155">
        <f>SUM(X26,X36,X46,X56,X66)</f>
        <v/>
      </c>
      <c r="Y16" s="1155">
        <f>SUM(Y26,Y36,Y46,Y56,Y66)</f>
        <v/>
      </c>
      <c r="Z16" s="1155">
        <f>SUM(Z26,Z36,Z46,Z56,Z66)</f>
        <v/>
      </c>
      <c r="AA16" s="1156">
        <f>SUM(AA26,AA36,AA46,AA56,AA66)</f>
        <v/>
      </c>
      <c r="AB16" s="1154" t="n"/>
      <c r="AC16" s="1155" t="n"/>
      <c r="AD16" s="1155" t="n"/>
      <c r="AE16" s="1155" t="n"/>
      <c r="AF16" s="1155" t="n"/>
      <c r="AG16" s="1155" t="n"/>
      <c r="AH16" s="1156" t="n"/>
      <c r="AI16" s="1154" t="n"/>
      <c r="AJ16" s="1155" t="n"/>
      <c r="AK16" s="1155" t="n"/>
      <c r="AL16" s="1155" t="n"/>
      <c r="AM16" s="1155" t="n"/>
      <c r="AN16" s="1155" t="n"/>
      <c r="AO16" s="1157" t="n"/>
      <c r="AP16" s="1155" t="n"/>
      <c r="AQ16" s="1155" t="n"/>
      <c r="AR16" s="1155" t="n"/>
      <c r="AS16" s="1155" t="n"/>
      <c r="AT16" s="1156" t="n"/>
      <c r="AU16" s="1157" t="n"/>
      <c r="AV16" s="1155" t="n"/>
      <c r="AW16" s="1155" t="n"/>
      <c r="AX16" s="1155" t="n"/>
      <c r="AY16" s="1155" t="n"/>
      <c r="AZ16" s="1155" t="n"/>
      <c r="BA16" s="1156" t="n"/>
      <c r="BB16" s="1157" t="n"/>
      <c r="BC16" s="1155" t="n"/>
      <c r="BD16" s="1155" t="n"/>
      <c r="BE16" s="1155" t="n"/>
      <c r="BF16" s="1155" t="n"/>
      <c r="BG16" s="1156" t="n"/>
      <c r="BH16" s="1157" t="n"/>
      <c r="BI16" s="1155" t="n"/>
      <c r="BJ16" s="1155" t="n"/>
      <c r="BK16" s="1155" t="n"/>
      <c r="BL16" s="1155" t="n"/>
      <c r="BM16" s="1156" t="n"/>
      <c r="BN16" s="1157" t="n"/>
      <c r="BO16" s="1155" t="n"/>
      <c r="BP16" s="1155" t="n"/>
      <c r="BQ16" s="1155" t="n"/>
      <c r="BR16" s="1155" t="n"/>
      <c r="BS16" s="1156" t="n"/>
      <c r="BT16" s="1157" t="n"/>
      <c r="BU16" s="1155" t="n"/>
      <c r="BV16" s="1155" t="n"/>
      <c r="BW16" s="1155" t="n"/>
      <c r="BX16" s="1155" t="n"/>
      <c r="BY16" s="1158" t="n"/>
    </row>
    <row r="17" ht="16.5" customHeight="1" s="838">
      <c r="B17" s="756" t="n"/>
      <c r="C17" s="738" t="n"/>
      <c r="D17" s="834" t="inlineStr">
        <is>
          <t>`26 목표</t>
        </is>
      </c>
      <c r="E17" s="1154">
        <f>SUM(E27,E37,E47,E57,E67)</f>
        <v/>
      </c>
      <c r="F17" s="1155">
        <f>SUM(F27,F37,F47,F57,F67)</f>
        <v/>
      </c>
      <c r="G17" s="1155">
        <f>SUM(G27,G37,G47,G57,G67)</f>
        <v/>
      </c>
      <c r="H17" s="1155">
        <f>SUM(H27,H37,H47,H57,H67)</f>
        <v/>
      </c>
      <c r="I17" s="1155">
        <f>SUM(I27,I37,I47,I57,I67)</f>
        <v/>
      </c>
      <c r="J17" s="1155">
        <f>SUM(J27,J37,J47,J57,J67)</f>
        <v/>
      </c>
      <c r="K17" s="1154">
        <f>SUM(K27,K37,K47,K57,K67)</f>
        <v/>
      </c>
      <c r="L17" s="1155">
        <f>SUM(L27,L37,L47,L57,L67)</f>
        <v/>
      </c>
      <c r="M17" s="1155">
        <f>SUM(M27,M37,M47,M57,M67)</f>
        <v/>
      </c>
      <c r="N17" s="1155">
        <f>SUM(N27,N37,N47,N57,N67)</f>
        <v/>
      </c>
      <c r="O17" s="1156">
        <f>SUM(O27,O37,O47,O57,O67)</f>
        <v/>
      </c>
      <c r="P17" s="1154">
        <f>SUM(P27,P37,P47,P57,P67)</f>
        <v/>
      </c>
      <c r="Q17" s="1155">
        <f>SUM(Q27,Q37,Q47,Q57,Q67)</f>
        <v/>
      </c>
      <c r="R17" s="1155">
        <f>SUM(R27,R37,R47,R57,R67)</f>
        <v/>
      </c>
      <c r="S17" s="1155">
        <f>SUM(S27,S37,S47,S57,S67)</f>
        <v/>
      </c>
      <c r="T17" s="1155">
        <f>SUM(T27,T37,T47,T57,T67)</f>
        <v/>
      </c>
      <c r="U17" s="1155">
        <f>SUM(U27,U37,U47,U57,U67)</f>
        <v/>
      </c>
      <c r="V17" s="1154">
        <f>SUM(V27,V37,V47,V57,V67)</f>
        <v/>
      </c>
      <c r="W17" s="1155">
        <f>SUM(W27,W37,W47,W57,W67)</f>
        <v/>
      </c>
      <c r="X17" s="1155">
        <f>SUM(X27,X37,X47,X57,X67)</f>
        <v/>
      </c>
      <c r="Y17" s="1155">
        <f>SUM(Y27,Y37,Y47,Y57,Y67)</f>
        <v/>
      </c>
      <c r="Z17" s="1155">
        <f>SUM(Z27,Z37,Z47,Z57,Z67)</f>
        <v/>
      </c>
      <c r="AA17" s="1156">
        <f>SUM(AA27,AA37,AA47,AA57,AA67)</f>
        <v/>
      </c>
      <c r="AB17" s="1154" t="n"/>
      <c r="AC17" s="1155" t="n"/>
      <c r="AD17" s="1155" t="n"/>
      <c r="AE17" s="1155" t="n"/>
      <c r="AF17" s="1155" t="n"/>
      <c r="AG17" s="1155" t="n"/>
      <c r="AH17" s="1156" t="n"/>
      <c r="AI17" s="1154" t="n"/>
      <c r="AJ17" s="1155" t="n"/>
      <c r="AK17" s="1155" t="n"/>
      <c r="AL17" s="1155" t="n"/>
      <c r="AM17" s="1155" t="n"/>
      <c r="AN17" s="1155" t="n"/>
      <c r="AO17" s="1157" t="n"/>
      <c r="AP17" s="1155" t="n"/>
      <c r="AQ17" s="1155" t="n"/>
      <c r="AR17" s="1155" t="n"/>
      <c r="AS17" s="1155" t="n"/>
      <c r="AT17" s="1156" t="n"/>
      <c r="AU17" s="1157" t="n"/>
      <c r="AV17" s="1155" t="n"/>
      <c r="AW17" s="1155" t="n"/>
      <c r="AX17" s="1155" t="n"/>
      <c r="AY17" s="1155" t="n"/>
      <c r="AZ17" s="1155" t="n"/>
      <c r="BA17" s="1156" t="n"/>
      <c r="BB17" s="1157" t="n"/>
      <c r="BC17" s="1155" t="n"/>
      <c r="BD17" s="1155" t="n"/>
      <c r="BE17" s="1155" t="n"/>
      <c r="BF17" s="1155" t="n"/>
      <c r="BG17" s="1156" t="n"/>
      <c r="BH17" s="1157" t="n"/>
      <c r="BI17" s="1155" t="n"/>
      <c r="BJ17" s="1155" t="n"/>
      <c r="BK17" s="1155" t="n"/>
      <c r="BL17" s="1155" t="n"/>
      <c r="BM17" s="1156" t="n"/>
      <c r="BN17" s="1157" t="n"/>
      <c r="BO17" s="1155" t="n"/>
      <c r="BP17" s="1155" t="n"/>
      <c r="BQ17" s="1155" t="n"/>
      <c r="BR17" s="1155" t="n"/>
      <c r="BS17" s="1156" t="n"/>
      <c r="BT17" s="1157" t="n"/>
      <c r="BU17" s="1155" t="n"/>
      <c r="BV17" s="1155" t="n"/>
      <c r="BW17" s="1155" t="n"/>
      <c r="BX17" s="1155" t="n"/>
      <c r="BY17" s="1158" t="n"/>
    </row>
    <row r="18" ht="17.25" customHeight="1" s="838">
      <c r="B18" s="770" t="n"/>
      <c r="C18" s="753" t="n"/>
      <c r="D18" s="413" t="inlineStr">
        <is>
          <t>`26 실적</t>
        </is>
      </c>
      <c r="E18" s="1164">
        <f>SUM(E28,E38,E48,E58,E68)</f>
        <v/>
      </c>
      <c r="F18" s="1165">
        <f>SUM(F28,F38,F48,F58,F68)</f>
        <v/>
      </c>
      <c r="G18" s="1165">
        <f>SUM(G28,G38,G48,G58,G68)</f>
        <v/>
      </c>
      <c r="H18" s="1165">
        <f>SUM(H28,H38,H48,H58,H68)</f>
        <v/>
      </c>
      <c r="I18" s="1165">
        <f>SUM(I28,I38,I48,I58,I68)</f>
        <v/>
      </c>
      <c r="J18" s="1165">
        <f>SUM(J28,J38,J48,J58,J68)</f>
        <v/>
      </c>
      <c r="K18" s="1164">
        <f>SUM(K28,K38,K48,K58,K68)</f>
        <v/>
      </c>
      <c r="L18" s="1165">
        <f>SUM(L28,L38,L48,L58,L68)</f>
        <v/>
      </c>
      <c r="M18" s="1165">
        <f>SUM(M28,M38,M48,M58,M68)</f>
        <v/>
      </c>
      <c r="N18" s="1165">
        <f>SUM(N28,N38,N48,N58,N68)</f>
        <v/>
      </c>
      <c r="O18" s="1166">
        <f>SUM(O28,O38,O48,O58,O68)</f>
        <v/>
      </c>
      <c r="P18" s="1164">
        <f>SUM(P28,P38,P48,P58,P68)</f>
        <v/>
      </c>
      <c r="Q18" s="1165">
        <f>SUM(Q28,Q38,Q48,Q58,Q68)</f>
        <v/>
      </c>
      <c r="R18" s="1165">
        <f>SUM(R28,R38,R48,R58,R68)</f>
        <v/>
      </c>
      <c r="S18" s="1165">
        <f>SUM(S28,S38,S48,S58,S68)</f>
        <v/>
      </c>
      <c r="T18" s="1165">
        <f>SUM(T28,T38,T48,T58,T68)</f>
        <v/>
      </c>
      <c r="U18" s="1165">
        <f>SUM(U28,U38,U48,U58,U68)</f>
        <v/>
      </c>
      <c r="V18" s="1164">
        <f>SUM(V28,V38,V48,V58,V68)</f>
        <v/>
      </c>
      <c r="W18" s="1165">
        <f>SUM(W28,W38,W48,W58,W68)</f>
        <v/>
      </c>
      <c r="X18" s="1165">
        <f>SUM(X28,X38,X48,X58,X68)</f>
        <v/>
      </c>
      <c r="Y18" s="1165">
        <f>SUM(Y28,Y38,Y48,Y58,Y68)</f>
        <v/>
      </c>
      <c r="Z18" s="1165">
        <f>SUM(Z28,Z38,Z48,Z58,Z68)</f>
        <v/>
      </c>
      <c r="AA18" s="1166">
        <f>SUM(AA28,AA38,AA48,AA58,AA68)</f>
        <v/>
      </c>
      <c r="AB18" s="1164" t="n"/>
      <c r="AC18" s="1165" t="n"/>
      <c r="AD18" s="1165" t="n"/>
      <c r="AE18" s="1165" t="n"/>
      <c r="AF18" s="1165" t="n"/>
      <c r="AG18" s="1165" t="n"/>
      <c r="AH18" s="1166" t="n"/>
      <c r="AI18" s="1164" t="n"/>
      <c r="AJ18" s="1165" t="n"/>
      <c r="AK18" s="1165" t="n"/>
      <c r="AL18" s="1165" t="n"/>
      <c r="AM18" s="1165" t="n"/>
      <c r="AN18" s="1165" t="n"/>
      <c r="AO18" s="1167" t="n"/>
      <c r="AP18" s="1165" t="n"/>
      <c r="AQ18" s="1165" t="n"/>
      <c r="AR18" s="1165" t="n"/>
      <c r="AS18" s="1165" t="n"/>
      <c r="AT18" s="1166" t="n"/>
      <c r="AU18" s="1167" t="n"/>
      <c r="AV18" s="1165" t="n"/>
      <c r="AW18" s="1165" t="n"/>
      <c r="AX18" s="1165" t="n"/>
      <c r="AY18" s="1165" t="n"/>
      <c r="AZ18" s="1165" t="n"/>
      <c r="BA18" s="1166" t="n"/>
      <c r="BB18" s="1167" t="n"/>
      <c r="BC18" s="1165" t="n"/>
      <c r="BD18" s="1165" t="n"/>
      <c r="BE18" s="1165" t="n"/>
      <c r="BF18" s="1165" t="n"/>
      <c r="BG18" s="1166" t="n"/>
      <c r="BH18" s="1167" t="n"/>
      <c r="BI18" s="1165" t="n"/>
      <c r="BJ18" s="1165" t="n"/>
      <c r="BK18" s="1165" t="n"/>
      <c r="BL18" s="1165" t="n"/>
      <c r="BM18" s="1166" t="n"/>
      <c r="BN18" s="1167" t="n"/>
      <c r="BO18" s="1165" t="n"/>
      <c r="BP18" s="1165" t="n"/>
      <c r="BQ18" s="1165" t="n"/>
      <c r="BR18" s="1165" t="n"/>
      <c r="BS18" s="1166" t="n"/>
      <c r="BT18" s="1167" t="n"/>
      <c r="BU18" s="1165" t="n"/>
      <c r="BV18" s="1165" t="n"/>
      <c r="BW18" s="1165" t="n"/>
      <c r="BX18" s="1165" t="n"/>
      <c r="BY18" s="1168" t="n"/>
    </row>
    <row r="19" ht="16.5" customHeight="1" s="838">
      <c r="B19" s="779" t="inlineStr">
        <is>
          <t>해상</t>
        </is>
      </c>
      <c r="C19" s="832" t="inlineStr">
        <is>
          <t>개선금액(원)</t>
        </is>
      </c>
      <c r="D19" s="419" t="inlineStr">
        <is>
          <t>`26 목표</t>
        </is>
      </c>
      <c r="E19" s="960">
        <f>E21*E$1/10^2</f>
        <v/>
      </c>
      <c r="F19" s="961">
        <f>F21*F$1/10^2</f>
        <v/>
      </c>
      <c r="G19" s="961">
        <f>G21*G$1/10^2</f>
        <v/>
      </c>
      <c r="H19" s="961">
        <f>H21*H$1/10^2</f>
        <v/>
      </c>
      <c r="I19" s="961">
        <f>I21*I$1/10^2</f>
        <v/>
      </c>
      <c r="J19" s="961">
        <f>J21*J$1/10^2</f>
        <v/>
      </c>
      <c r="K19" s="960">
        <f>K21*K$1/10^2</f>
        <v/>
      </c>
      <c r="L19" s="961">
        <f>L21*L$1/10^2</f>
        <v/>
      </c>
      <c r="M19" s="961">
        <f>M21*M$1/10^2</f>
        <v/>
      </c>
      <c r="N19" s="961">
        <f>N21*N$1/10^2</f>
        <v/>
      </c>
      <c r="O19" s="967">
        <f>O21*O$1/10^2</f>
        <v/>
      </c>
      <c r="P19" s="960">
        <f>P21*P$1/10^2</f>
        <v/>
      </c>
      <c r="Q19" s="961">
        <f>Q21*Q$1/10^2</f>
        <v/>
      </c>
      <c r="R19" s="961">
        <f>R21*R$1/10^2</f>
        <v/>
      </c>
      <c r="S19" s="961">
        <f>S21*S$1/10^2</f>
        <v/>
      </c>
      <c r="T19" s="961">
        <f>T21*T$1/10^2</f>
        <v/>
      </c>
      <c r="U19" s="961">
        <f>U21*U$1/10^2</f>
        <v/>
      </c>
      <c r="V19" s="960">
        <f>V21*V$1/10^2</f>
        <v/>
      </c>
      <c r="W19" s="961">
        <f>W21*W$1/10^2</f>
        <v/>
      </c>
      <c r="X19" s="961">
        <f>X21*X$1/10^2</f>
        <v/>
      </c>
      <c r="Y19" s="961">
        <f>Y21*Y$1/10^2</f>
        <v/>
      </c>
      <c r="Z19" s="961">
        <f>Z21*Z$1/10^2</f>
        <v/>
      </c>
      <c r="AA19" s="967">
        <f>AA21*AA$1/10^2</f>
        <v/>
      </c>
      <c r="AB19" s="960" t="n"/>
      <c r="AC19" s="961" t="n"/>
      <c r="AD19" s="961" t="n"/>
      <c r="AE19" s="961" t="n"/>
      <c r="AF19" s="961" t="n"/>
      <c r="AG19" s="961" t="n"/>
      <c r="AH19" s="967" t="n"/>
      <c r="AI19" s="960" t="n"/>
      <c r="AJ19" s="961" t="n"/>
      <c r="AK19" s="961" t="n"/>
      <c r="AL19" s="961" t="n"/>
      <c r="AM19" s="961" t="n"/>
      <c r="AN19" s="961" t="n"/>
      <c r="AO19" s="968" t="n"/>
      <c r="AP19" s="961" t="n"/>
      <c r="AQ19" s="961" t="n"/>
      <c r="AR19" s="961" t="n"/>
      <c r="AS19" s="961" t="n"/>
      <c r="AT19" s="967" t="n"/>
      <c r="AU19" s="968" t="n"/>
      <c r="AV19" s="961" t="n"/>
      <c r="AW19" s="961" t="n"/>
      <c r="AX19" s="961" t="n"/>
      <c r="AY19" s="961" t="n"/>
      <c r="AZ19" s="961" t="n"/>
      <c r="BA19" s="967" t="n"/>
      <c r="BB19" s="968" t="n"/>
      <c r="BC19" s="961" t="n"/>
      <c r="BD19" s="961" t="n"/>
      <c r="BE19" s="961" t="n"/>
      <c r="BF19" s="961" t="n"/>
      <c r="BG19" s="967" t="n"/>
      <c r="BH19" s="968" t="n"/>
      <c r="BI19" s="961" t="n"/>
      <c r="BJ19" s="961" t="n"/>
      <c r="BK19" s="961" t="n"/>
      <c r="BL19" s="961" t="n"/>
      <c r="BM19" s="967" t="n"/>
      <c r="BN19" s="968" t="n"/>
      <c r="BO19" s="961" t="n"/>
      <c r="BP19" s="961" t="n"/>
      <c r="BQ19" s="961" t="n"/>
      <c r="BR19" s="961" t="n"/>
      <c r="BS19" s="967" t="n"/>
      <c r="BT19" s="968" t="n"/>
      <c r="BU19" s="961" t="n"/>
      <c r="BV19" s="961" t="n"/>
      <c r="BW19" s="961" t="n"/>
      <c r="BX19" s="961" t="n"/>
      <c r="BY19" s="972" t="n"/>
    </row>
    <row r="20" ht="16.5" customHeight="1" s="838">
      <c r="B20" s="756" t="n"/>
      <c r="C20" s="738" t="n"/>
      <c r="D20" s="834" t="inlineStr">
        <is>
          <t>`26 실적</t>
        </is>
      </c>
      <c r="E20" s="962">
        <f>E22*E$2/10^2</f>
        <v/>
      </c>
      <c r="F20" s="963">
        <f>F22*F$2/10^2</f>
        <v/>
      </c>
      <c r="G20" s="963">
        <f>G22*G$2/10^2</f>
        <v/>
      </c>
      <c r="H20" s="963">
        <f>H22*H$2/10^2</f>
        <v/>
      </c>
      <c r="I20" s="963">
        <f>I22*I$2/10^2</f>
        <v/>
      </c>
      <c r="J20" s="963">
        <f>J22*J$2/10^2</f>
        <v/>
      </c>
      <c r="K20" s="962">
        <f>K22*K$2/10^2</f>
        <v/>
      </c>
      <c r="L20" s="963">
        <f>L22*L$2/10^2</f>
        <v/>
      </c>
      <c r="M20" s="963">
        <f>M22*M$2/10^2</f>
        <v/>
      </c>
      <c r="N20" s="963">
        <f>N22*N$2/10^2</f>
        <v/>
      </c>
      <c r="O20" s="964">
        <f>O22*O$2/10^2</f>
        <v/>
      </c>
      <c r="P20" s="962">
        <f>P22*P$2/10^2</f>
        <v/>
      </c>
      <c r="Q20" s="963">
        <f>Q22*Q$2/10^2</f>
        <v/>
      </c>
      <c r="R20" s="963">
        <f>R22*R$2/10^2</f>
        <v/>
      </c>
      <c r="S20" s="963">
        <f>S22*S$2/10^2</f>
        <v/>
      </c>
      <c r="T20" s="963">
        <f>T22*T$2/10^2</f>
        <v/>
      </c>
      <c r="U20" s="963">
        <f>U22*U$2/10^2</f>
        <v/>
      </c>
      <c r="V20" s="962">
        <f>V22*V$2/10^2</f>
        <v/>
      </c>
      <c r="W20" s="963">
        <f>W22*W$2/10^2</f>
        <v/>
      </c>
      <c r="X20" s="963">
        <f>X22*X$2/10^2</f>
        <v/>
      </c>
      <c r="Y20" s="963">
        <f>Y22*Y$2/10^2</f>
        <v/>
      </c>
      <c r="Z20" s="963">
        <f>Z22*Z$2/10^2</f>
        <v/>
      </c>
      <c r="AA20" s="964">
        <f>AA22*AA$2/10^2</f>
        <v/>
      </c>
      <c r="AB20" s="962" t="n"/>
      <c r="AC20" s="963" t="n"/>
      <c r="AD20" s="963" t="n"/>
      <c r="AE20" s="963" t="n"/>
      <c r="AF20" s="963" t="n"/>
      <c r="AG20" s="963" t="n"/>
      <c r="AH20" s="964" t="n"/>
      <c r="AI20" s="962" t="n"/>
      <c r="AJ20" s="963" t="n"/>
      <c r="AK20" s="963" t="n"/>
      <c r="AL20" s="963" t="n"/>
      <c r="AM20" s="963" t="n"/>
      <c r="AN20" s="963" t="n"/>
      <c r="AO20" s="977" t="n"/>
      <c r="AP20" s="963" t="n"/>
      <c r="AQ20" s="963" t="n"/>
      <c r="AR20" s="963" t="n"/>
      <c r="AS20" s="963" t="n"/>
      <c r="AT20" s="964" t="n"/>
      <c r="AU20" s="977" t="n"/>
      <c r="AV20" s="963" t="n"/>
      <c r="AW20" s="963" t="n"/>
      <c r="AX20" s="963" t="n"/>
      <c r="AY20" s="963" t="n"/>
      <c r="AZ20" s="963" t="n"/>
      <c r="BA20" s="964" t="n"/>
      <c r="BB20" s="977" t="n"/>
      <c r="BC20" s="963" t="n"/>
      <c r="BD20" s="963" t="n"/>
      <c r="BE20" s="963" t="n"/>
      <c r="BF20" s="963" t="n"/>
      <c r="BG20" s="964" t="n"/>
      <c r="BH20" s="977" t="n"/>
      <c r="BI20" s="963" t="n"/>
      <c r="BJ20" s="963" t="n"/>
      <c r="BK20" s="963" t="n"/>
      <c r="BL20" s="963" t="n"/>
      <c r="BM20" s="964" t="n"/>
      <c r="BN20" s="977" t="n"/>
      <c r="BO20" s="963" t="n"/>
      <c r="BP20" s="963" t="n"/>
      <c r="BQ20" s="963" t="n"/>
      <c r="BR20" s="963" t="n"/>
      <c r="BS20" s="964" t="n"/>
      <c r="BT20" s="977" t="n"/>
      <c r="BU20" s="963" t="n"/>
      <c r="BV20" s="963" t="n"/>
      <c r="BW20" s="963" t="n"/>
      <c r="BX20" s="963" t="n"/>
      <c r="BY20" s="981" t="n"/>
    </row>
    <row r="21" ht="16.5" customHeight="1" s="838">
      <c r="B21" s="756" t="n"/>
      <c r="C21" s="827" t="inlineStr">
        <is>
          <t>개선금액($)</t>
        </is>
      </c>
      <c r="D21" s="406" t="inlineStr">
        <is>
          <t>`26 목표</t>
        </is>
      </c>
      <c r="E21" s="982">
        <f>(E23-E24)*E7</f>
        <v/>
      </c>
      <c r="F21" s="983">
        <f>(F23-F24)*F7</f>
        <v/>
      </c>
      <c r="G21" s="983">
        <f>(G23-G24)*G7</f>
        <v/>
      </c>
      <c r="H21" s="983">
        <f>(H23-H24)*H7</f>
        <v/>
      </c>
      <c r="I21" s="983">
        <f>(I23-I24)*I7</f>
        <v/>
      </c>
      <c r="J21" s="983">
        <f>(J23-J24)*J7</f>
        <v/>
      </c>
      <c r="K21" s="982">
        <f>(K23-K24)*K7</f>
        <v/>
      </c>
      <c r="L21" s="983">
        <f>(L23-L24)*L7</f>
        <v/>
      </c>
      <c r="M21" s="983">
        <f>(M23-M24)*M7</f>
        <v/>
      </c>
      <c r="N21" s="983">
        <f>(N23-N24)*N7</f>
        <v/>
      </c>
      <c r="O21" s="984">
        <f>(O23-O24)*O7</f>
        <v/>
      </c>
      <c r="P21" s="982">
        <f>(P23-P24)*P7</f>
        <v/>
      </c>
      <c r="Q21" s="983">
        <f>(Q23-Q24)*Q7</f>
        <v/>
      </c>
      <c r="R21" s="983">
        <f>(R23-R24)*R7</f>
        <v/>
      </c>
      <c r="S21" s="983">
        <f>(S23-S24)*S7</f>
        <v/>
      </c>
      <c r="T21" s="983">
        <f>(T23-T24)*T7</f>
        <v/>
      </c>
      <c r="U21" s="983">
        <f>(U23-U24)*U7</f>
        <v/>
      </c>
      <c r="V21" s="982">
        <f>(V23-V24)*V7</f>
        <v/>
      </c>
      <c r="W21" s="983">
        <f>(W23-W24)*W7</f>
        <v/>
      </c>
      <c r="X21" s="983">
        <f>(X23-X24)*X7</f>
        <v/>
      </c>
      <c r="Y21" s="983">
        <f>(Y23-Y24)*Y7</f>
        <v/>
      </c>
      <c r="Z21" s="983">
        <f>(Z23-Z24)*Z7</f>
        <v/>
      </c>
      <c r="AA21" s="984">
        <f>(AA23-AA24)*AA7</f>
        <v/>
      </c>
      <c r="AB21" s="982" t="n"/>
      <c r="AC21" s="983" t="n"/>
      <c r="AD21" s="983" t="n"/>
      <c r="AE21" s="983" t="n"/>
      <c r="AF21" s="983" t="n"/>
      <c r="AG21" s="983" t="n"/>
      <c r="AH21" s="984" t="n"/>
      <c r="AI21" s="982" t="n"/>
      <c r="AJ21" s="983" t="n"/>
      <c r="AK21" s="983" t="n"/>
      <c r="AL21" s="983" t="n"/>
      <c r="AM21" s="983" t="n"/>
      <c r="AN21" s="983" t="n"/>
      <c r="AO21" s="987" t="n"/>
      <c r="AP21" s="983" t="n"/>
      <c r="AQ21" s="983" t="n"/>
      <c r="AR21" s="983" t="n"/>
      <c r="AS21" s="983" t="n"/>
      <c r="AT21" s="984" t="n"/>
      <c r="AU21" s="987" t="n"/>
      <c r="AV21" s="983" t="n"/>
      <c r="AW21" s="983" t="n"/>
      <c r="AX21" s="983" t="n"/>
      <c r="AY21" s="983" t="n"/>
      <c r="AZ21" s="983" t="n"/>
      <c r="BA21" s="984" t="n"/>
      <c r="BB21" s="987" t="n"/>
      <c r="BC21" s="983" t="n"/>
      <c r="BD21" s="983" t="n"/>
      <c r="BE21" s="983" t="n"/>
      <c r="BF21" s="983" t="n"/>
      <c r="BG21" s="984" t="n"/>
      <c r="BH21" s="987" t="n"/>
      <c r="BI21" s="983" t="n"/>
      <c r="BJ21" s="983" t="n"/>
      <c r="BK21" s="983" t="n"/>
      <c r="BL21" s="983" t="n"/>
      <c r="BM21" s="984" t="n"/>
      <c r="BN21" s="987" t="n"/>
      <c r="BO21" s="983" t="n"/>
      <c r="BP21" s="983" t="n"/>
      <c r="BQ21" s="983" t="n"/>
      <c r="BR21" s="983" t="n"/>
      <c r="BS21" s="984" t="n"/>
      <c r="BT21" s="987" t="n"/>
      <c r="BU21" s="983" t="n"/>
      <c r="BV21" s="983" t="n"/>
      <c r="BW21" s="983" t="n"/>
      <c r="BX21" s="983" t="n"/>
      <c r="BY21" s="991" t="n"/>
    </row>
    <row r="22" ht="16.5" customHeight="1" s="838">
      <c r="B22" s="756" t="n"/>
      <c r="C22" s="739" t="n"/>
      <c r="D22" s="407" t="inlineStr">
        <is>
          <t>`26 실적</t>
        </is>
      </c>
      <c r="E22" s="973">
        <f>(E23-E25)*E8</f>
        <v/>
      </c>
      <c r="F22" s="974">
        <f>(F23-F25)*F8</f>
        <v/>
      </c>
      <c r="G22" s="974">
        <f>(G23-G25)*G8</f>
        <v/>
      </c>
      <c r="H22" s="974">
        <f>(H23-H25)*H8</f>
        <v/>
      </c>
      <c r="I22" s="974">
        <f>(I23-I25)*I8</f>
        <v/>
      </c>
      <c r="J22" s="974">
        <f>(J23-J25)*J8</f>
        <v/>
      </c>
      <c r="K22" s="973">
        <f>(K23-K25)*K8</f>
        <v/>
      </c>
      <c r="L22" s="974">
        <f>(L23-L25)*L8</f>
        <v/>
      </c>
      <c r="M22" s="974">
        <f>(M23-M25)*M8</f>
        <v/>
      </c>
      <c r="N22" s="974">
        <f>(N23-N25)*N8</f>
        <v/>
      </c>
      <c r="O22" s="975">
        <f>(O23-O25)*O8</f>
        <v/>
      </c>
      <c r="P22" s="973">
        <f>(P23-P25)*P8</f>
        <v/>
      </c>
      <c r="Q22" s="974">
        <f>(Q23-Q25)*Q8</f>
        <v/>
      </c>
      <c r="R22" s="974">
        <f>(R23-R25)*R8</f>
        <v/>
      </c>
      <c r="S22" s="974">
        <f>(S23-S25)*S8</f>
        <v/>
      </c>
      <c r="T22" s="974">
        <f>(T23-T25)*T8</f>
        <v/>
      </c>
      <c r="U22" s="974">
        <f>(U23-U25)*U8</f>
        <v/>
      </c>
      <c r="V22" s="973">
        <f>(V23-V25)*V8</f>
        <v/>
      </c>
      <c r="W22" s="974">
        <f>(W23-W25)*W8</f>
        <v/>
      </c>
      <c r="X22" s="974">
        <f>(X23-X25)*X8</f>
        <v/>
      </c>
      <c r="Y22" s="974">
        <f>(Y23-Y25)*Y8</f>
        <v/>
      </c>
      <c r="Z22" s="974">
        <f>(Z23-Z25)*Z8</f>
        <v/>
      </c>
      <c r="AA22" s="975">
        <f>(AA23-AA25)*AA8</f>
        <v/>
      </c>
      <c r="AB22" s="973" t="n"/>
      <c r="AC22" s="974" t="n"/>
      <c r="AD22" s="974" t="n"/>
      <c r="AE22" s="974" t="n"/>
      <c r="AF22" s="974" t="n"/>
      <c r="AG22" s="974" t="n"/>
      <c r="AH22" s="975" t="n"/>
      <c r="AI22" s="973" t="n"/>
      <c r="AJ22" s="974" t="n"/>
      <c r="AK22" s="974" t="n"/>
      <c r="AL22" s="974" t="n"/>
      <c r="AM22" s="974" t="n"/>
      <c r="AN22" s="974" t="n"/>
      <c r="AO22" s="994" t="n"/>
      <c r="AP22" s="974" t="n"/>
      <c r="AQ22" s="974" t="n"/>
      <c r="AR22" s="974" t="n"/>
      <c r="AS22" s="974" t="n"/>
      <c r="AT22" s="975" t="n"/>
      <c r="AU22" s="994" t="n"/>
      <c r="AV22" s="974" t="n"/>
      <c r="AW22" s="974" t="n"/>
      <c r="AX22" s="974" t="n"/>
      <c r="AY22" s="974" t="n"/>
      <c r="AZ22" s="974" t="n"/>
      <c r="BA22" s="975" t="n"/>
      <c r="BB22" s="994" t="n"/>
      <c r="BC22" s="974" t="n"/>
      <c r="BD22" s="974" t="n"/>
      <c r="BE22" s="974" t="n"/>
      <c r="BF22" s="974" t="n"/>
      <c r="BG22" s="975" t="n"/>
      <c r="BH22" s="994" t="n"/>
      <c r="BI22" s="974" t="n"/>
      <c r="BJ22" s="974" t="n"/>
      <c r="BK22" s="974" t="n"/>
      <c r="BL22" s="974" t="n"/>
      <c r="BM22" s="975" t="n"/>
      <c r="BN22" s="994" t="n"/>
      <c r="BO22" s="974" t="n"/>
      <c r="BP22" s="974" t="n"/>
      <c r="BQ22" s="974" t="n"/>
      <c r="BR22" s="974" t="n"/>
      <c r="BS22" s="975" t="n"/>
      <c r="BT22" s="994" t="n"/>
      <c r="BU22" s="974" t="n"/>
      <c r="BV22" s="974" t="n"/>
      <c r="BW22" s="974" t="n"/>
      <c r="BX22" s="974" t="n"/>
      <c r="BY22" s="998" t="n"/>
    </row>
    <row r="23" ht="16.5" customHeight="1" s="838">
      <c r="B23" s="756" t="n"/>
      <c r="C23" s="737" t="inlineStr">
        <is>
          <t>물류비율</t>
        </is>
      </c>
      <c r="D23" s="406" t="inlineStr">
        <is>
          <t>`25 실적</t>
        </is>
      </c>
      <c r="E23" s="1159">
        <f>E26/E6</f>
        <v/>
      </c>
      <c r="F23" s="1160">
        <f>F26/F6</f>
        <v/>
      </c>
      <c r="G23" s="1160">
        <f>G26/G6</f>
        <v/>
      </c>
      <c r="H23" s="1160">
        <f>H26/H6</f>
        <v/>
      </c>
      <c r="I23" s="1160">
        <f>I26/I6</f>
        <v/>
      </c>
      <c r="J23" s="1160">
        <f>J26/J6</f>
        <v/>
      </c>
      <c r="K23" s="1159">
        <f>K26/K6</f>
        <v/>
      </c>
      <c r="L23" s="1160">
        <f>L26/L6</f>
        <v/>
      </c>
      <c r="M23" s="1160">
        <f>M26/M6</f>
        <v/>
      </c>
      <c r="N23" s="1160">
        <f>N26/N6</f>
        <v/>
      </c>
      <c r="O23" s="1161">
        <f>O26/O6</f>
        <v/>
      </c>
      <c r="P23" s="1159">
        <f>P26/P6</f>
        <v/>
      </c>
      <c r="Q23" s="1160">
        <f>Q26/Q6</f>
        <v/>
      </c>
      <c r="R23" s="1160">
        <f>R26/R6</f>
        <v/>
      </c>
      <c r="S23" s="1160">
        <f>S26/S6</f>
        <v/>
      </c>
      <c r="T23" s="1160">
        <f>T26/T6</f>
        <v/>
      </c>
      <c r="U23" s="1160">
        <f>U26/U6</f>
        <v/>
      </c>
      <c r="V23" s="1159">
        <f>V26/V6</f>
        <v/>
      </c>
      <c r="W23" s="1160">
        <f>W26/W6</f>
        <v/>
      </c>
      <c r="X23" s="1160">
        <f>X26/X6</f>
        <v/>
      </c>
      <c r="Y23" s="1160">
        <f>Y26/Y6</f>
        <v/>
      </c>
      <c r="Z23" s="1160">
        <f>Z26/Z6</f>
        <v/>
      </c>
      <c r="AA23" s="1161">
        <f>AA26/AA6</f>
        <v/>
      </c>
      <c r="AB23" s="1159" t="n"/>
      <c r="AC23" s="1160" t="n"/>
      <c r="AD23" s="1160" t="n"/>
      <c r="AE23" s="1160" t="n"/>
      <c r="AF23" s="1160" t="n"/>
      <c r="AG23" s="1160" t="n"/>
      <c r="AH23" s="1161" t="n"/>
      <c r="AI23" s="1159" t="n"/>
      <c r="AJ23" s="1160" t="n"/>
      <c r="AK23" s="1160" t="n"/>
      <c r="AL23" s="1160" t="n"/>
      <c r="AM23" s="1160" t="n"/>
      <c r="AN23" s="1160" t="n"/>
      <c r="AO23" s="1162" t="n"/>
      <c r="AP23" s="1160" t="n"/>
      <c r="AQ23" s="1160" t="n"/>
      <c r="AR23" s="1160" t="n"/>
      <c r="AS23" s="1160" t="n"/>
      <c r="AT23" s="1161" t="n"/>
      <c r="AU23" s="1162" t="n"/>
      <c r="AV23" s="1160" t="n"/>
      <c r="AW23" s="1160" t="n"/>
      <c r="AX23" s="1160" t="n"/>
      <c r="AY23" s="1160" t="n"/>
      <c r="AZ23" s="1160" t="n"/>
      <c r="BA23" s="1161" t="n"/>
      <c r="BB23" s="1162" t="n"/>
      <c r="BC23" s="1160" t="n"/>
      <c r="BD23" s="1160" t="n"/>
      <c r="BE23" s="1160" t="n"/>
      <c r="BF23" s="1160" t="n"/>
      <c r="BG23" s="1161" t="n"/>
      <c r="BH23" s="1162" t="n"/>
      <c r="BI23" s="1160" t="n"/>
      <c r="BJ23" s="1160" t="n"/>
      <c r="BK23" s="1160" t="n"/>
      <c r="BL23" s="1160" t="n"/>
      <c r="BM23" s="1161" t="n"/>
      <c r="BN23" s="1162" t="n"/>
      <c r="BO23" s="1160" t="n"/>
      <c r="BP23" s="1160" t="n"/>
      <c r="BQ23" s="1160" t="n"/>
      <c r="BR23" s="1160" t="n"/>
      <c r="BS23" s="1161" t="n"/>
      <c r="BT23" s="1162" t="n"/>
      <c r="BU23" s="1160" t="n"/>
      <c r="BV23" s="1160" t="n"/>
      <c r="BW23" s="1160" t="n"/>
      <c r="BX23" s="1160" t="n"/>
      <c r="BY23" s="1163" t="n"/>
    </row>
    <row r="24" ht="16.5" customHeight="1" s="838">
      <c r="B24" s="756" t="n"/>
      <c r="C24" s="738" t="n"/>
      <c r="D24" s="834" t="inlineStr">
        <is>
          <t>`26 목표</t>
        </is>
      </c>
      <c r="E24" s="1036">
        <f>E27/E7</f>
        <v/>
      </c>
      <c r="F24" s="931">
        <f>F27/F7</f>
        <v/>
      </c>
      <c r="G24" s="931">
        <f>G27/G7</f>
        <v/>
      </c>
      <c r="H24" s="931">
        <f>H27/H7</f>
        <v/>
      </c>
      <c r="I24" s="931">
        <f>I27/I7</f>
        <v/>
      </c>
      <c r="J24" s="931">
        <f>J27/J7</f>
        <v/>
      </c>
      <c r="K24" s="1036">
        <f>K27/K7</f>
        <v/>
      </c>
      <c r="L24" s="931">
        <f>L27/L7</f>
        <v/>
      </c>
      <c r="M24" s="931">
        <f>M27/M7</f>
        <v/>
      </c>
      <c r="N24" s="931">
        <f>N27/N7</f>
        <v/>
      </c>
      <c r="O24" s="938">
        <f>O27/O7</f>
        <v/>
      </c>
      <c r="P24" s="1036">
        <f>P27/P7</f>
        <v/>
      </c>
      <c r="Q24" s="931">
        <f>Q27/Q7</f>
        <v/>
      </c>
      <c r="R24" s="931">
        <f>R27/R7</f>
        <v/>
      </c>
      <c r="S24" s="931">
        <f>S27/S7</f>
        <v/>
      </c>
      <c r="T24" s="931">
        <f>T27/T7</f>
        <v/>
      </c>
      <c r="U24" s="931">
        <f>U27/U7</f>
        <v/>
      </c>
      <c r="V24" s="1036">
        <f>V27/V7</f>
        <v/>
      </c>
      <c r="W24" s="931">
        <f>W27/W7</f>
        <v/>
      </c>
      <c r="X24" s="931">
        <f>X27/X7</f>
        <v/>
      </c>
      <c r="Y24" s="931">
        <f>Y27/Y7</f>
        <v/>
      </c>
      <c r="Z24" s="931">
        <f>Z27/Z7</f>
        <v/>
      </c>
      <c r="AA24" s="938">
        <f>AA27/AA7</f>
        <v/>
      </c>
      <c r="AB24" s="1036" t="n"/>
      <c r="AC24" s="931" t="n"/>
      <c r="AD24" s="931" t="n"/>
      <c r="AE24" s="931" t="n"/>
      <c r="AF24" s="931" t="n"/>
      <c r="AG24" s="931" t="n"/>
      <c r="AH24" s="938" t="n"/>
      <c r="AI24" s="1036" t="n"/>
      <c r="AJ24" s="931" t="n"/>
      <c r="AK24" s="931" t="n"/>
      <c r="AL24" s="931" t="n"/>
      <c r="AM24" s="931" t="n"/>
      <c r="AN24" s="931" t="n"/>
      <c r="AO24" s="929" t="n"/>
      <c r="AP24" s="931" t="n"/>
      <c r="AQ24" s="931" t="n"/>
      <c r="AR24" s="931" t="n"/>
      <c r="AS24" s="931" t="n"/>
      <c r="AT24" s="938" t="n"/>
      <c r="AU24" s="929" t="n"/>
      <c r="AV24" s="931" t="n"/>
      <c r="AW24" s="931" t="n"/>
      <c r="AX24" s="931" t="n"/>
      <c r="AY24" s="931" t="n"/>
      <c r="AZ24" s="931" t="n"/>
      <c r="BA24" s="938" t="n"/>
      <c r="BB24" s="929" t="n"/>
      <c r="BC24" s="931" t="n"/>
      <c r="BD24" s="931" t="n"/>
      <c r="BE24" s="931" t="n"/>
      <c r="BF24" s="931" t="n"/>
      <c r="BG24" s="938" t="n"/>
      <c r="BH24" s="929" t="n"/>
      <c r="BI24" s="931" t="n"/>
      <c r="BJ24" s="931" t="n"/>
      <c r="BK24" s="931" t="n"/>
      <c r="BL24" s="931" t="n"/>
      <c r="BM24" s="938" t="n"/>
      <c r="BN24" s="929" t="n"/>
      <c r="BO24" s="931" t="n"/>
      <c r="BP24" s="931" t="n"/>
      <c r="BQ24" s="931" t="n"/>
      <c r="BR24" s="931" t="n"/>
      <c r="BS24" s="938" t="n"/>
      <c r="BT24" s="929" t="n"/>
      <c r="BU24" s="931" t="n"/>
      <c r="BV24" s="931" t="n"/>
      <c r="BW24" s="931" t="n"/>
      <c r="BX24" s="931" t="n"/>
      <c r="BY24" s="939" t="n"/>
    </row>
    <row r="25" ht="16.5" customHeight="1" s="838">
      <c r="B25" s="756" t="n"/>
      <c r="C25" s="739" t="n"/>
      <c r="D25" s="407" t="inlineStr">
        <is>
          <t>`26 실적</t>
        </is>
      </c>
      <c r="E25" s="1075">
        <f>E28/E8</f>
        <v/>
      </c>
      <c r="F25" s="922">
        <f>F28/F8</f>
        <v/>
      </c>
      <c r="G25" s="922">
        <f>G28/G8</f>
        <v/>
      </c>
      <c r="H25" s="922">
        <f>H28/H8</f>
        <v/>
      </c>
      <c r="I25" s="922">
        <f>I28/I8</f>
        <v/>
      </c>
      <c r="J25" s="922">
        <f>J28/J8</f>
        <v/>
      </c>
      <c r="K25" s="1075">
        <f>K28/K8</f>
        <v/>
      </c>
      <c r="L25" s="922">
        <f>L28/L8</f>
        <v/>
      </c>
      <c r="M25" s="922">
        <f>M28/M8</f>
        <v/>
      </c>
      <c r="N25" s="922">
        <f>N28/N8</f>
        <v/>
      </c>
      <c r="O25" s="923">
        <f>O28/O8</f>
        <v/>
      </c>
      <c r="P25" s="1075">
        <f>P28/P8</f>
        <v/>
      </c>
      <c r="Q25" s="922">
        <f>Q28/Q8</f>
        <v/>
      </c>
      <c r="R25" s="922">
        <f>R28/R8</f>
        <v/>
      </c>
      <c r="S25" s="922">
        <f>S28/S8</f>
        <v/>
      </c>
      <c r="T25" s="922">
        <f>T28/T8</f>
        <v/>
      </c>
      <c r="U25" s="922">
        <f>U28/U8</f>
        <v/>
      </c>
      <c r="V25" s="1075">
        <f>V28/V8</f>
        <v/>
      </c>
      <c r="W25" s="922">
        <f>W28/W8</f>
        <v/>
      </c>
      <c r="X25" s="922">
        <f>X28/X8</f>
        <v/>
      </c>
      <c r="Y25" s="922">
        <f>Y28/Y8</f>
        <v/>
      </c>
      <c r="Z25" s="922">
        <f>Z28/Z8</f>
        <v/>
      </c>
      <c r="AA25" s="923">
        <f>AA28/AA8</f>
        <v/>
      </c>
      <c r="AB25" s="1075" t="n"/>
      <c r="AC25" s="922" t="n"/>
      <c r="AD25" s="922" t="n"/>
      <c r="AE25" s="922" t="n"/>
      <c r="AF25" s="922" t="n"/>
      <c r="AG25" s="922" t="n"/>
      <c r="AH25" s="923" t="n"/>
      <c r="AI25" s="1075" t="n"/>
      <c r="AJ25" s="922" t="n"/>
      <c r="AK25" s="922" t="n"/>
      <c r="AL25" s="922" t="n"/>
      <c r="AM25" s="922" t="n"/>
      <c r="AN25" s="922" t="n"/>
      <c r="AO25" s="921" t="n"/>
      <c r="AP25" s="922" t="n"/>
      <c r="AQ25" s="922" t="n"/>
      <c r="AR25" s="922" t="n"/>
      <c r="AS25" s="922" t="n"/>
      <c r="AT25" s="923" t="n"/>
      <c r="AU25" s="921" t="n"/>
      <c r="AV25" s="922" t="n"/>
      <c r="AW25" s="922" t="n"/>
      <c r="AX25" s="922" t="n"/>
      <c r="AY25" s="922" t="n"/>
      <c r="AZ25" s="922" t="n"/>
      <c r="BA25" s="923" t="n"/>
      <c r="BB25" s="921" t="n"/>
      <c r="BC25" s="922" t="n"/>
      <c r="BD25" s="922" t="n"/>
      <c r="BE25" s="922" t="n"/>
      <c r="BF25" s="922" t="n"/>
      <c r="BG25" s="923" t="n"/>
      <c r="BH25" s="921" t="n"/>
      <c r="BI25" s="922" t="n"/>
      <c r="BJ25" s="922" t="n"/>
      <c r="BK25" s="922" t="n"/>
      <c r="BL25" s="922" t="n"/>
      <c r="BM25" s="134" t="n"/>
      <c r="BN25" s="132" t="n"/>
      <c r="BO25" s="133" t="n"/>
      <c r="BP25" s="133" t="n"/>
      <c r="BQ25" s="133" t="n"/>
      <c r="BR25" s="133" t="n"/>
      <c r="BS25" s="134" t="n"/>
      <c r="BT25" s="132" t="n"/>
      <c r="BU25" s="133" t="n"/>
      <c r="BV25" s="133" t="n"/>
      <c r="BW25" s="133" t="n"/>
      <c r="BX25" s="133" t="n"/>
      <c r="BY25" s="135" t="n"/>
    </row>
    <row r="26" ht="16.5" customHeight="1" s="838">
      <c r="B26" s="756" t="n"/>
      <c r="C26" s="781" t="inlineStr">
        <is>
          <t>물류비</t>
        </is>
      </c>
      <c r="D26" s="834" t="inlineStr">
        <is>
          <t>`25 실적</t>
        </is>
      </c>
      <c r="E26" s="1169" t="n">
        <v>34.317279</v>
      </c>
      <c r="F26" s="1170" t="n">
        <v>34.317279</v>
      </c>
      <c r="G26" s="1170" t="n">
        <v>34.317279</v>
      </c>
      <c r="H26" s="1170" t="n">
        <v>34.317279</v>
      </c>
      <c r="I26" s="1170" t="n">
        <v>34.317279</v>
      </c>
      <c r="J26" s="1170" t="n">
        <v>34.317279</v>
      </c>
      <c r="K26" s="1169" t="n">
        <v>27.16303</v>
      </c>
      <c r="L26" s="1170" t="n">
        <v>27.16303</v>
      </c>
      <c r="M26" s="1170" t="n">
        <v>27.16303</v>
      </c>
      <c r="N26" s="1170" t="n">
        <v>27.16303</v>
      </c>
      <c r="O26" s="1171" t="n">
        <v>27.16303</v>
      </c>
      <c r="P26" s="1169" t="n">
        <v>46.170446</v>
      </c>
      <c r="Q26" s="1170" t="n">
        <v>46.170446</v>
      </c>
      <c r="R26" s="1170" t="n">
        <v>46.170446</v>
      </c>
      <c r="S26" s="1170" t="n">
        <v>46.170446</v>
      </c>
      <c r="T26" s="1170" t="n">
        <v>46.170446</v>
      </c>
      <c r="U26" s="1170" t="n">
        <v>46.170446</v>
      </c>
      <c r="V26" s="1169" t="n">
        <v>22.07982</v>
      </c>
      <c r="W26" s="1170" t="n">
        <v>22.07982</v>
      </c>
      <c r="X26" s="1170" t="n">
        <v>22.07982</v>
      </c>
      <c r="Y26" s="1170" t="n">
        <v>22.07982</v>
      </c>
      <c r="Z26" s="1170" t="n">
        <v>22.07982</v>
      </c>
      <c r="AA26" s="1171" t="n">
        <v>22.07982</v>
      </c>
      <c r="AB26" s="1169" t="n"/>
      <c r="AC26" s="1170" t="n"/>
      <c r="AD26" s="1170" t="n"/>
      <c r="AE26" s="1170" t="n"/>
      <c r="AF26" s="1170" t="n"/>
      <c r="AG26" s="1170" t="n"/>
      <c r="AH26" s="1171" t="n"/>
      <c r="AI26" s="1169" t="n"/>
      <c r="AJ26" s="1170" t="n"/>
      <c r="AK26" s="1170" t="n"/>
      <c r="AL26" s="1170" t="n"/>
      <c r="AM26" s="1170" t="n"/>
      <c r="AN26" s="1170" t="n"/>
      <c r="AO26" s="1172" t="n"/>
      <c r="AP26" s="1170" t="n"/>
      <c r="AQ26" s="1170" t="n"/>
      <c r="AR26" s="1170" t="n"/>
      <c r="AS26" s="1170" t="n"/>
      <c r="AT26" s="1171" t="n"/>
      <c r="AU26" s="1172" t="n"/>
      <c r="AV26" s="1170" t="n"/>
      <c r="AW26" s="1170" t="n"/>
      <c r="AX26" s="1170" t="n"/>
      <c r="AY26" s="1170" t="n"/>
      <c r="AZ26" s="1170" t="n"/>
      <c r="BA26" s="1171" t="n"/>
      <c r="BB26" s="1172" t="n"/>
      <c r="BC26" s="1170" t="n"/>
      <c r="BD26" s="1170" t="n"/>
      <c r="BE26" s="1170" t="n"/>
      <c r="BF26" s="1170" t="n"/>
      <c r="BG26" s="1171" t="n"/>
      <c r="BH26" s="1172" t="n"/>
      <c r="BI26" s="1170" t="n"/>
      <c r="BJ26" s="1170" t="n"/>
      <c r="BK26" s="1170" t="n"/>
      <c r="BL26" s="1170" t="n"/>
      <c r="BM26" s="1171" t="n"/>
      <c r="BN26" s="1172" t="n"/>
      <c r="BO26" s="1170" t="n"/>
      <c r="BP26" s="1170" t="n"/>
      <c r="BQ26" s="1170" t="n"/>
      <c r="BR26" s="1170" t="n"/>
      <c r="BS26" s="1171" t="n"/>
      <c r="BT26" s="1172" t="n"/>
      <c r="BU26" s="1170" t="n"/>
      <c r="BV26" s="1170" t="n"/>
      <c r="BW26" s="1170" t="n"/>
      <c r="BX26" s="1170" t="n"/>
      <c r="BY26" s="1173" t="n"/>
    </row>
    <row r="27" ht="16.5" customHeight="1" s="838">
      <c r="B27" s="756" t="n"/>
      <c r="C27" s="738" t="n"/>
      <c r="D27" s="834" t="inlineStr">
        <is>
          <t>`26 목표</t>
        </is>
      </c>
      <c r="E27" s="1169" t="n">
        <v>35.525401</v>
      </c>
      <c r="F27" s="1170" t="n">
        <v>35.525401</v>
      </c>
      <c r="G27" s="1170" t="n">
        <v>35.525401</v>
      </c>
      <c r="H27" s="1170" t="n">
        <v>35.525401</v>
      </c>
      <c r="I27" s="1170" t="n">
        <v>35.525401</v>
      </c>
      <c r="J27" s="1170" t="n">
        <v>35.525401</v>
      </c>
      <c r="K27" s="1169" t="n">
        <v>15.68777</v>
      </c>
      <c r="L27" s="1170" t="n">
        <v>15.68777</v>
      </c>
      <c r="M27" s="1170" t="n">
        <v>15.68777</v>
      </c>
      <c r="N27" s="1170" t="n">
        <v>15.68777</v>
      </c>
      <c r="O27" s="1171" t="n">
        <v>15.68777</v>
      </c>
      <c r="P27" s="1169" t="n">
        <v>23.234671</v>
      </c>
      <c r="Q27" s="1170" t="n">
        <v>23.234671</v>
      </c>
      <c r="R27" s="1170" t="n">
        <v>23.234671</v>
      </c>
      <c r="S27" s="1170" t="n">
        <v>23.234671</v>
      </c>
      <c r="T27" s="1170" t="n">
        <v>23.234671</v>
      </c>
      <c r="U27" s="1170" t="n">
        <v>23.234671</v>
      </c>
      <c r="V27" s="1169" t="n">
        <v>27.821701</v>
      </c>
      <c r="W27" s="1170" t="n">
        <v>27.821701</v>
      </c>
      <c r="X27" s="1170" t="n">
        <v>27.821701</v>
      </c>
      <c r="Y27" s="1170" t="n">
        <v>27.821701</v>
      </c>
      <c r="Z27" s="1170" t="n">
        <v>27.821701</v>
      </c>
      <c r="AA27" s="1171" t="n">
        <v>27.821701</v>
      </c>
      <c r="AB27" s="1169" t="n"/>
      <c r="AC27" s="1170" t="n"/>
      <c r="AD27" s="1170" t="n"/>
      <c r="AE27" s="1170" t="n"/>
      <c r="AF27" s="1170" t="n"/>
      <c r="AG27" s="1170" t="n"/>
      <c r="AH27" s="1171" t="n"/>
      <c r="AI27" s="1169" t="n"/>
      <c r="AJ27" s="1170" t="n"/>
      <c r="AK27" s="1170" t="n"/>
      <c r="AL27" s="1170" t="n"/>
      <c r="AM27" s="1170" t="n"/>
      <c r="AN27" s="1170" t="n"/>
      <c r="AO27" s="1172" t="n"/>
      <c r="AP27" s="1170" t="n"/>
      <c r="AQ27" s="1170" t="n"/>
      <c r="AR27" s="1170" t="n"/>
      <c r="AS27" s="1170" t="n"/>
      <c r="AT27" s="1171" t="n"/>
      <c r="AU27" s="1172" t="n"/>
      <c r="AV27" s="1170" t="n"/>
      <c r="AW27" s="1170" t="n"/>
      <c r="AX27" s="1170" t="n"/>
      <c r="AY27" s="1170" t="n"/>
      <c r="AZ27" s="1170" t="n"/>
      <c r="BA27" s="1171" t="n"/>
      <c r="BB27" s="1172" t="n"/>
      <c r="BC27" s="1170" t="n"/>
      <c r="BD27" s="1170" t="n"/>
      <c r="BE27" s="1170" t="n"/>
      <c r="BF27" s="1170" t="n"/>
      <c r="BG27" s="1171" t="n"/>
      <c r="BH27" s="1172" t="n"/>
      <c r="BI27" s="1170" t="n"/>
      <c r="BJ27" s="1170" t="n"/>
      <c r="BK27" s="1170" t="n"/>
      <c r="BL27" s="1170" t="n"/>
      <c r="BM27" s="1171" t="n"/>
      <c r="BN27" s="1172" t="n"/>
      <c r="BO27" s="1170" t="n"/>
      <c r="BP27" s="1170" t="n"/>
      <c r="BQ27" s="1170" t="n"/>
      <c r="BR27" s="1170" t="n"/>
      <c r="BS27" s="1171" t="n"/>
      <c r="BT27" s="1172" t="n"/>
      <c r="BU27" s="1170" t="n"/>
      <c r="BV27" s="1170" t="n"/>
      <c r="BW27" s="1170" t="n"/>
      <c r="BX27" s="1170" t="n"/>
      <c r="BY27" s="1173" t="n"/>
    </row>
    <row r="28" ht="17.25" customHeight="1" s="838" thickBot="1">
      <c r="B28" s="770" t="n"/>
      <c r="C28" s="753" t="n"/>
      <c r="D28" s="413" t="inlineStr">
        <is>
          <t>`26 실적</t>
        </is>
      </c>
      <c r="E28" s="1174" t="n">
        <v>43.308148</v>
      </c>
      <c r="F28" s="1175" t="n">
        <v>37.380411</v>
      </c>
      <c r="G28" s="1175" t="n">
        <v>37.380411</v>
      </c>
      <c r="H28" s="1175" t="n">
        <v>37.380411</v>
      </c>
      <c r="I28" s="1175" t="n">
        <v>37.380411</v>
      </c>
      <c r="J28" s="1175" t="n">
        <v>37.380411</v>
      </c>
      <c r="K28" s="1174" t="n">
        <v>29.27355</v>
      </c>
      <c r="L28" s="1175" t="n">
        <v>22.461225</v>
      </c>
      <c r="M28" s="1175" t="n">
        <v>29.665054</v>
      </c>
      <c r="N28" s="1175" t="n">
        <v>31.663867</v>
      </c>
      <c r="O28" s="1176" t="n">
        <v>18.419</v>
      </c>
      <c r="P28" s="1174" t="n">
        <v>35.610924</v>
      </c>
      <c r="Q28" s="1175" t="n">
        <v>35.566277</v>
      </c>
      <c r="R28" s="1175" t="n">
        <v>35.566277</v>
      </c>
      <c r="S28" s="1175" t="n">
        <v>35.566277</v>
      </c>
      <c r="T28" s="1175" t="n">
        <v>34.547537</v>
      </c>
      <c r="U28" s="1175" t="n">
        <v>35.566277</v>
      </c>
      <c r="V28" s="1174" t="n">
        <v>22.042961</v>
      </c>
      <c r="W28" s="1175" t="n">
        <v>39.653132</v>
      </c>
      <c r="X28" s="1175" t="n">
        <v>39.653132</v>
      </c>
      <c r="Y28" s="1175" t="n">
        <v>39.653132</v>
      </c>
      <c r="Z28" s="1175" t="n">
        <v>39.653132</v>
      </c>
      <c r="AA28" s="1176" t="n">
        <v>40.567816</v>
      </c>
      <c r="AB28" s="1174" t="n"/>
      <c r="AC28" s="1175" t="n"/>
      <c r="AD28" s="1175" t="n"/>
      <c r="AE28" s="1175" t="n"/>
      <c r="AF28" s="1175" t="n"/>
      <c r="AG28" s="1175" t="n"/>
      <c r="AH28" s="1176" t="n"/>
      <c r="AI28" s="1174" t="n"/>
      <c r="AJ28" s="1175" t="n"/>
      <c r="AK28" s="1175" t="n"/>
      <c r="AL28" s="1175" t="n"/>
      <c r="AM28" s="1175" t="n"/>
      <c r="AN28" s="1175" t="n"/>
      <c r="AO28" s="1177" t="n"/>
      <c r="AP28" s="1175" t="n"/>
      <c r="AQ28" s="1175" t="n"/>
      <c r="AR28" s="1175" t="n"/>
      <c r="AS28" s="1175" t="n"/>
      <c r="AT28" s="1176" t="n"/>
      <c r="AU28" s="1177" t="n"/>
      <c r="AV28" s="1175" t="n"/>
      <c r="AW28" s="1175" t="n"/>
      <c r="AX28" s="1175" t="n"/>
      <c r="AY28" s="1175" t="n"/>
      <c r="AZ28" s="1175" t="n"/>
      <c r="BA28" s="1176" t="n"/>
      <c r="BB28" s="1177" t="n"/>
      <c r="BC28" s="1175" t="n"/>
      <c r="BD28" s="1175" t="n"/>
      <c r="BE28" s="1175" t="n"/>
      <c r="BF28" s="1175" t="n"/>
      <c r="BG28" s="1176" t="n"/>
      <c r="BH28" s="1177" t="n"/>
      <c r="BI28" s="1175" t="n"/>
      <c r="BJ28" s="1175" t="n"/>
      <c r="BK28" s="1175" t="n"/>
      <c r="BL28" s="1175" t="n"/>
      <c r="BM28" s="1166" t="n"/>
      <c r="BN28" s="1167" t="n"/>
      <c r="BO28" s="1165" t="n"/>
      <c r="BP28" s="1165" t="n"/>
      <c r="BQ28" s="1165" t="n"/>
      <c r="BR28" s="1165" t="n"/>
      <c r="BS28" s="1166" t="n"/>
      <c r="BT28" s="1167" t="n"/>
      <c r="BU28" s="1165" t="n"/>
      <c r="BV28" s="1165" t="n"/>
      <c r="BW28" s="1165" t="n"/>
      <c r="BX28" s="1165" t="n"/>
      <c r="BY28" s="1168" t="n"/>
    </row>
    <row r="29" ht="16.5" customHeight="1" s="838">
      <c r="B29" s="779" t="inlineStr">
        <is>
          <t>트럭</t>
        </is>
      </c>
      <c r="C29" s="832" t="inlineStr">
        <is>
          <t>개선금액(원)</t>
        </is>
      </c>
      <c r="D29" s="419" t="inlineStr">
        <is>
          <t>`26 목표</t>
        </is>
      </c>
      <c r="E29" s="960">
        <f>E31*E$1/10^2</f>
        <v/>
      </c>
      <c r="F29" s="961">
        <f>F31*F$1/10^2</f>
        <v/>
      </c>
      <c r="G29" s="961">
        <f>G31*G$1/10^2</f>
        <v/>
      </c>
      <c r="H29" s="961">
        <f>H31*H$1/10^2</f>
        <v/>
      </c>
      <c r="I29" s="961">
        <f>I31*I$1/10^2</f>
        <v/>
      </c>
      <c r="J29" s="961">
        <f>J31*J$1/10^2</f>
        <v/>
      </c>
      <c r="K29" s="960">
        <f>K31*K$1/10^2</f>
        <v/>
      </c>
      <c r="L29" s="961">
        <f>L31*L$1/10^2</f>
        <v/>
      </c>
      <c r="M29" s="961">
        <f>M31*M$1/10^2</f>
        <v/>
      </c>
      <c r="N29" s="961">
        <f>N31*N$1/10^2</f>
        <v/>
      </c>
      <c r="O29" s="967">
        <f>O31*O$1/10^2</f>
        <v/>
      </c>
      <c r="P29" s="960">
        <f>P31*P$1/10^2</f>
        <v/>
      </c>
      <c r="Q29" s="961">
        <f>Q31*Q$1/10^2</f>
        <v/>
      </c>
      <c r="R29" s="961">
        <f>R31*R$1/10^2</f>
        <v/>
      </c>
      <c r="S29" s="961">
        <f>S31*S$1/10^2</f>
        <v/>
      </c>
      <c r="T29" s="961">
        <f>T31*T$1/10^2</f>
        <v/>
      </c>
      <c r="U29" s="961">
        <f>U31*U$1/10^2</f>
        <v/>
      </c>
      <c r="V29" s="960">
        <f>V31*V$1/10^2</f>
        <v/>
      </c>
      <c r="W29" s="961">
        <f>W31*W$1/10^2</f>
        <v/>
      </c>
      <c r="X29" s="961">
        <f>X31*X$1/10^2</f>
        <v/>
      </c>
      <c r="Y29" s="961">
        <f>Y31*Y$1/10^2</f>
        <v/>
      </c>
      <c r="Z29" s="961">
        <f>Z31*Z$1/10^2</f>
        <v/>
      </c>
      <c r="AA29" s="967">
        <f>AA31*AA$1/10^2</f>
        <v/>
      </c>
      <c r="AB29" s="960" t="n"/>
      <c r="AC29" s="961" t="n"/>
      <c r="AD29" s="961" t="n"/>
      <c r="AE29" s="961" t="n"/>
      <c r="AF29" s="961" t="n"/>
      <c r="AG29" s="961" t="n"/>
      <c r="AH29" s="967" t="n"/>
      <c r="AI29" s="960" t="n"/>
      <c r="AJ29" s="961" t="n"/>
      <c r="AK29" s="961" t="n"/>
      <c r="AL29" s="961" t="n"/>
      <c r="AM29" s="961" t="n"/>
      <c r="AN29" s="961" t="n"/>
      <c r="AO29" s="968" t="n"/>
      <c r="AP29" s="961" t="n"/>
      <c r="AQ29" s="961" t="n"/>
      <c r="AR29" s="961" t="n"/>
      <c r="AS29" s="961" t="n"/>
      <c r="AT29" s="967" t="n"/>
      <c r="AU29" s="968" t="n"/>
      <c r="AV29" s="961" t="n"/>
      <c r="AW29" s="961" t="n"/>
      <c r="AX29" s="961" t="n"/>
      <c r="AY29" s="961" t="n"/>
      <c r="AZ29" s="961" t="n"/>
      <c r="BA29" s="967" t="n"/>
      <c r="BB29" s="968" t="n"/>
      <c r="BC29" s="961" t="n"/>
      <c r="BD29" s="961" t="n"/>
      <c r="BE29" s="961" t="n"/>
      <c r="BF29" s="961" t="n"/>
      <c r="BG29" s="967" t="n"/>
      <c r="BH29" s="968" t="n"/>
      <c r="BI29" s="961" t="n"/>
      <c r="BJ29" s="961" t="n"/>
      <c r="BK29" s="961" t="n"/>
      <c r="BL29" s="961" t="n"/>
      <c r="BM29" s="967" t="n"/>
      <c r="BN29" s="968" t="n"/>
      <c r="BO29" s="961" t="n"/>
      <c r="BP29" s="961" t="n"/>
      <c r="BQ29" s="961" t="n"/>
      <c r="BR29" s="961" t="n"/>
      <c r="BS29" s="967" t="n"/>
      <c r="BT29" s="968" t="n"/>
      <c r="BU29" s="961" t="n"/>
      <c r="BV29" s="961" t="n"/>
      <c r="BW29" s="961" t="n"/>
      <c r="BX29" s="961" t="n"/>
      <c r="BY29" s="972" t="n"/>
    </row>
    <row r="30" ht="16.5" customHeight="1" s="838">
      <c r="B30" s="756" t="n"/>
      <c r="C30" s="738" t="n"/>
      <c r="D30" s="834" t="inlineStr">
        <is>
          <t>`26 실적</t>
        </is>
      </c>
      <c r="E30" s="962">
        <f>E32*E$2/10^2</f>
        <v/>
      </c>
      <c r="F30" s="963">
        <f>F32*F$2/10^2</f>
        <v/>
      </c>
      <c r="G30" s="963">
        <f>G32*G$2/10^2</f>
        <v/>
      </c>
      <c r="H30" s="963">
        <f>H32*H$2/10^2</f>
        <v/>
      </c>
      <c r="I30" s="963">
        <f>I32*I$2/10^2</f>
        <v/>
      </c>
      <c r="J30" s="963">
        <f>J32*J$2/10^2</f>
        <v/>
      </c>
      <c r="K30" s="962">
        <f>K32*K$2/10^2</f>
        <v/>
      </c>
      <c r="L30" s="963">
        <f>L32*L$2/10^2</f>
        <v/>
      </c>
      <c r="M30" s="963">
        <f>M32*M$2/10^2</f>
        <v/>
      </c>
      <c r="N30" s="963">
        <f>N32*N$2/10^2</f>
        <v/>
      </c>
      <c r="O30" s="964">
        <f>O32*O$2/10^2</f>
        <v/>
      </c>
      <c r="P30" s="962">
        <f>P32*P$2/10^2</f>
        <v/>
      </c>
      <c r="Q30" s="963">
        <f>Q32*Q$2/10^2</f>
        <v/>
      </c>
      <c r="R30" s="963">
        <f>R32*R$2/10^2</f>
        <v/>
      </c>
      <c r="S30" s="963">
        <f>S32*S$2/10^2</f>
        <v/>
      </c>
      <c r="T30" s="963">
        <f>T32*T$2/10^2</f>
        <v/>
      </c>
      <c r="U30" s="963">
        <f>U32*U$2/10^2</f>
        <v/>
      </c>
      <c r="V30" s="962">
        <f>V32*V$2/10^2</f>
        <v/>
      </c>
      <c r="W30" s="963">
        <f>W32*W$2/10^2</f>
        <v/>
      </c>
      <c r="X30" s="963">
        <f>X32*X$2/10^2</f>
        <v/>
      </c>
      <c r="Y30" s="963">
        <f>Y32*Y$2/10^2</f>
        <v/>
      </c>
      <c r="Z30" s="963">
        <f>Z32*Z$2/10^2</f>
        <v/>
      </c>
      <c r="AA30" s="964">
        <f>AA32*AA$2/10^2</f>
        <v/>
      </c>
      <c r="AB30" s="962" t="n"/>
      <c r="AC30" s="963" t="n"/>
      <c r="AD30" s="963" t="n"/>
      <c r="AE30" s="963" t="n"/>
      <c r="AF30" s="963" t="n"/>
      <c r="AG30" s="963" t="n"/>
      <c r="AH30" s="964" t="n"/>
      <c r="AI30" s="962" t="n"/>
      <c r="AJ30" s="963" t="n"/>
      <c r="AK30" s="963" t="n"/>
      <c r="AL30" s="963" t="n"/>
      <c r="AM30" s="963" t="n"/>
      <c r="AN30" s="963" t="n"/>
      <c r="AO30" s="977" t="n"/>
      <c r="AP30" s="963" t="n"/>
      <c r="AQ30" s="963" t="n"/>
      <c r="AR30" s="963" t="n"/>
      <c r="AS30" s="963" t="n"/>
      <c r="AT30" s="964" t="n"/>
      <c r="AU30" s="977" t="n"/>
      <c r="AV30" s="963" t="n"/>
      <c r="AW30" s="963" t="n"/>
      <c r="AX30" s="963" t="n"/>
      <c r="AY30" s="963" t="n"/>
      <c r="AZ30" s="963" t="n"/>
      <c r="BA30" s="964" t="n"/>
      <c r="BB30" s="977" t="n"/>
      <c r="BC30" s="963" t="n"/>
      <c r="BD30" s="963" t="n"/>
      <c r="BE30" s="963" t="n"/>
      <c r="BF30" s="963" t="n"/>
      <c r="BG30" s="964" t="n"/>
      <c r="BH30" s="977" t="n"/>
      <c r="BI30" s="963" t="n"/>
      <c r="BJ30" s="963" t="n"/>
      <c r="BK30" s="963" t="n"/>
      <c r="BL30" s="963" t="n"/>
      <c r="BM30" s="964" t="n"/>
      <c r="BN30" s="977" t="n"/>
      <c r="BO30" s="963" t="n"/>
      <c r="BP30" s="963" t="n"/>
      <c r="BQ30" s="963" t="n"/>
      <c r="BR30" s="963" t="n"/>
      <c r="BS30" s="964" t="n"/>
      <c r="BT30" s="977" t="n"/>
      <c r="BU30" s="963" t="n"/>
      <c r="BV30" s="963" t="n"/>
      <c r="BW30" s="963" t="n"/>
      <c r="BX30" s="963" t="n"/>
      <c r="BY30" s="981" t="n"/>
    </row>
    <row r="31" ht="16.5" customHeight="1" s="838">
      <c r="B31" s="756" t="n"/>
      <c r="C31" s="827" t="inlineStr">
        <is>
          <t>개선금액($)</t>
        </is>
      </c>
      <c r="D31" s="406" t="inlineStr">
        <is>
          <t>`26 목표</t>
        </is>
      </c>
      <c r="E31" s="982">
        <f>(E33-E34)*E7</f>
        <v/>
      </c>
      <c r="F31" s="983">
        <f>(F33-F34)*F7</f>
        <v/>
      </c>
      <c r="G31" s="983">
        <f>(G33-G34)*G7</f>
        <v/>
      </c>
      <c r="H31" s="983">
        <f>(H33-H34)*H7</f>
        <v/>
      </c>
      <c r="I31" s="983">
        <f>(I33-I34)*I7</f>
        <v/>
      </c>
      <c r="J31" s="983">
        <f>(J33-J34)*J7</f>
        <v/>
      </c>
      <c r="K31" s="982">
        <f>(K33-K34)*K7</f>
        <v/>
      </c>
      <c r="L31" s="983">
        <f>(L33-L34)*L7</f>
        <v/>
      </c>
      <c r="M31" s="983">
        <f>(M33-M34)*M7</f>
        <v/>
      </c>
      <c r="N31" s="983">
        <f>(N33-N34)*N7</f>
        <v/>
      </c>
      <c r="O31" s="984">
        <f>(O33-O34)*O7</f>
        <v/>
      </c>
      <c r="P31" s="982">
        <f>(P33-P34)*P7</f>
        <v/>
      </c>
      <c r="Q31" s="983">
        <f>(Q33-Q34)*Q7</f>
        <v/>
      </c>
      <c r="R31" s="983">
        <f>(R33-R34)*R7</f>
        <v/>
      </c>
      <c r="S31" s="983">
        <f>(S33-S34)*S7</f>
        <v/>
      </c>
      <c r="T31" s="983">
        <f>(T33-T34)*T7</f>
        <v/>
      </c>
      <c r="U31" s="983">
        <f>(U33-U34)*U7</f>
        <v/>
      </c>
      <c r="V31" s="982">
        <f>(V33-V34)*V7</f>
        <v/>
      </c>
      <c r="W31" s="983">
        <f>(W33-W34)*W7</f>
        <v/>
      </c>
      <c r="X31" s="983">
        <f>(X33-X34)*X7</f>
        <v/>
      </c>
      <c r="Y31" s="983">
        <f>(Y33-Y34)*Y7</f>
        <v/>
      </c>
      <c r="Z31" s="983">
        <f>(Z33-Z34)*Z7</f>
        <v/>
      </c>
      <c r="AA31" s="984">
        <f>(AA33-AA34)*AA7</f>
        <v/>
      </c>
      <c r="AB31" s="982" t="n"/>
      <c r="AC31" s="983" t="n"/>
      <c r="AD31" s="983" t="n"/>
      <c r="AE31" s="983" t="n"/>
      <c r="AF31" s="983" t="n"/>
      <c r="AG31" s="983" t="n"/>
      <c r="AH31" s="984" t="n"/>
      <c r="AI31" s="982" t="n"/>
      <c r="AJ31" s="983" t="n"/>
      <c r="AK31" s="983" t="n"/>
      <c r="AL31" s="983" t="n"/>
      <c r="AM31" s="983" t="n"/>
      <c r="AN31" s="983" t="n"/>
      <c r="AO31" s="987" t="n"/>
      <c r="AP31" s="983" t="n"/>
      <c r="AQ31" s="983" t="n"/>
      <c r="AR31" s="983" t="n"/>
      <c r="AS31" s="983" t="n"/>
      <c r="AT31" s="984" t="n"/>
      <c r="AU31" s="987" t="n"/>
      <c r="AV31" s="983" t="n"/>
      <c r="AW31" s="983" t="n"/>
      <c r="AX31" s="983" t="n"/>
      <c r="AY31" s="983" t="n"/>
      <c r="AZ31" s="983" t="n"/>
      <c r="BA31" s="984" t="n"/>
      <c r="BB31" s="987" t="n"/>
      <c r="BC31" s="983" t="n"/>
      <c r="BD31" s="983" t="n"/>
      <c r="BE31" s="983" t="n"/>
      <c r="BF31" s="983" t="n"/>
      <c r="BG31" s="984" t="n"/>
      <c r="BH31" s="987" t="n"/>
      <c r="BI31" s="983" t="n"/>
      <c r="BJ31" s="983" t="n"/>
      <c r="BK31" s="983" t="n"/>
      <c r="BL31" s="983" t="n"/>
      <c r="BM31" s="984" t="n"/>
      <c r="BN31" s="987" t="n"/>
      <c r="BO31" s="983" t="n"/>
      <c r="BP31" s="983" t="n"/>
      <c r="BQ31" s="983" t="n"/>
      <c r="BR31" s="983" t="n"/>
      <c r="BS31" s="984" t="n"/>
      <c r="BT31" s="987" t="n"/>
      <c r="BU31" s="983" t="n"/>
      <c r="BV31" s="983" t="n"/>
      <c r="BW31" s="983" t="n"/>
      <c r="BX31" s="983" t="n"/>
      <c r="BY31" s="991" t="n"/>
    </row>
    <row r="32" ht="16.5" customHeight="1" s="838">
      <c r="B32" s="756" t="n"/>
      <c r="C32" s="739" t="n"/>
      <c r="D32" s="407" t="inlineStr">
        <is>
          <t>`26 실적</t>
        </is>
      </c>
      <c r="E32" s="973">
        <f>(E33-E35)*E8</f>
        <v/>
      </c>
      <c r="F32" s="974">
        <f>(F33-F35)*F8</f>
        <v/>
      </c>
      <c r="G32" s="974">
        <f>(G33-G35)*G8</f>
        <v/>
      </c>
      <c r="H32" s="974">
        <f>(H33-H35)*H8</f>
        <v/>
      </c>
      <c r="I32" s="974">
        <f>(I33-I35)*I8</f>
        <v/>
      </c>
      <c r="J32" s="974">
        <f>(J33-J35)*J8</f>
        <v/>
      </c>
      <c r="K32" s="973">
        <f>(K33-K35)*K8</f>
        <v/>
      </c>
      <c r="L32" s="974">
        <f>(L33-L35)*L8</f>
        <v/>
      </c>
      <c r="M32" s="974">
        <f>(M33-M35)*M8</f>
        <v/>
      </c>
      <c r="N32" s="974">
        <f>(N33-N35)*N8</f>
        <v/>
      </c>
      <c r="O32" s="975">
        <f>(O33-O35)*O8</f>
        <v/>
      </c>
      <c r="P32" s="973">
        <f>(P33-P35)*P8</f>
        <v/>
      </c>
      <c r="Q32" s="974">
        <f>(Q33-Q35)*Q8</f>
        <v/>
      </c>
      <c r="R32" s="974">
        <f>(R33-R35)*R8</f>
        <v/>
      </c>
      <c r="S32" s="974">
        <f>(S33-S35)*S8</f>
        <v/>
      </c>
      <c r="T32" s="974">
        <f>(T33-T35)*T8</f>
        <v/>
      </c>
      <c r="U32" s="974">
        <f>(U33-U35)*U8</f>
        <v/>
      </c>
      <c r="V32" s="973">
        <f>(V33-V35)*V8</f>
        <v/>
      </c>
      <c r="W32" s="974">
        <f>(W33-W35)*W8</f>
        <v/>
      </c>
      <c r="X32" s="974">
        <f>(X33-X35)*X8</f>
        <v/>
      </c>
      <c r="Y32" s="974">
        <f>(Y33-Y35)*Y8</f>
        <v/>
      </c>
      <c r="Z32" s="974">
        <f>(Z33-Z35)*Z8</f>
        <v/>
      </c>
      <c r="AA32" s="975">
        <f>(AA33-AA35)*AA8</f>
        <v/>
      </c>
      <c r="AB32" s="973" t="n"/>
      <c r="AC32" s="974" t="n"/>
      <c r="AD32" s="974" t="n"/>
      <c r="AE32" s="974" t="n"/>
      <c r="AF32" s="974" t="n"/>
      <c r="AG32" s="974" t="n"/>
      <c r="AH32" s="975" t="n"/>
      <c r="AI32" s="973" t="n"/>
      <c r="AJ32" s="974" t="n"/>
      <c r="AK32" s="974" t="n"/>
      <c r="AL32" s="974" t="n"/>
      <c r="AM32" s="974" t="n"/>
      <c r="AN32" s="974" t="n"/>
      <c r="AO32" s="994" t="n"/>
      <c r="AP32" s="974" t="n"/>
      <c r="AQ32" s="974" t="n"/>
      <c r="AR32" s="974" t="n"/>
      <c r="AS32" s="974" t="n"/>
      <c r="AT32" s="975" t="n"/>
      <c r="AU32" s="994" t="n"/>
      <c r="AV32" s="974" t="n"/>
      <c r="AW32" s="974" t="n"/>
      <c r="AX32" s="974" t="n"/>
      <c r="AY32" s="974" t="n"/>
      <c r="AZ32" s="974" t="n"/>
      <c r="BA32" s="975" t="n"/>
      <c r="BB32" s="994" t="n"/>
      <c r="BC32" s="974" t="n"/>
      <c r="BD32" s="974" t="n"/>
      <c r="BE32" s="974" t="n"/>
      <c r="BF32" s="974" t="n"/>
      <c r="BG32" s="975" t="n"/>
      <c r="BH32" s="994" t="n"/>
      <c r="BI32" s="974" t="n"/>
      <c r="BJ32" s="974" t="n"/>
      <c r="BK32" s="974" t="n"/>
      <c r="BL32" s="974" t="n"/>
      <c r="BM32" s="975" t="n"/>
      <c r="BN32" s="994" t="n"/>
      <c r="BO32" s="974" t="n"/>
      <c r="BP32" s="974" t="n"/>
      <c r="BQ32" s="974" t="n"/>
      <c r="BR32" s="974" t="n"/>
      <c r="BS32" s="975" t="n"/>
      <c r="BT32" s="994" t="n"/>
      <c r="BU32" s="974" t="n"/>
      <c r="BV32" s="974" t="n"/>
      <c r="BW32" s="974" t="n"/>
      <c r="BX32" s="974" t="n"/>
      <c r="BY32" s="998" t="n"/>
    </row>
    <row r="33" ht="16.5" customHeight="1" s="838">
      <c r="B33" s="756" t="n"/>
      <c r="C33" s="737" t="inlineStr">
        <is>
          <t>물류비율</t>
        </is>
      </c>
      <c r="D33" s="406" t="inlineStr">
        <is>
          <t>`25 실적</t>
        </is>
      </c>
      <c r="E33" s="1159">
        <f>E36/E6</f>
        <v/>
      </c>
      <c r="F33" s="1160">
        <f>F36/F6</f>
        <v/>
      </c>
      <c r="G33" s="1160">
        <f>G36/G6</f>
        <v/>
      </c>
      <c r="H33" s="1160">
        <f>H36/H6</f>
        <v/>
      </c>
      <c r="I33" s="1160">
        <f>I36/I6</f>
        <v/>
      </c>
      <c r="J33" s="1160">
        <f>J36/J6</f>
        <v/>
      </c>
      <c r="K33" s="1159">
        <f>K36/K6</f>
        <v/>
      </c>
      <c r="L33" s="1160">
        <f>L36/L6</f>
        <v/>
      </c>
      <c r="M33" s="1160">
        <f>M36/M6</f>
        <v/>
      </c>
      <c r="N33" s="1160">
        <f>N36/N6</f>
        <v/>
      </c>
      <c r="O33" s="1161">
        <f>O36/O6</f>
        <v/>
      </c>
      <c r="P33" s="1159">
        <f>P36/P6</f>
        <v/>
      </c>
      <c r="Q33" s="1160">
        <f>Q36/Q6</f>
        <v/>
      </c>
      <c r="R33" s="1160">
        <f>R36/R6</f>
        <v/>
      </c>
      <c r="S33" s="1160">
        <f>S36/S6</f>
        <v/>
      </c>
      <c r="T33" s="1160">
        <f>T36/T6</f>
        <v/>
      </c>
      <c r="U33" s="1160">
        <f>U36/U6</f>
        <v/>
      </c>
      <c r="V33" s="1159">
        <f>V36/V6</f>
        <v/>
      </c>
      <c r="W33" s="1160">
        <f>W36/W6</f>
        <v/>
      </c>
      <c r="X33" s="1160">
        <f>X36/X6</f>
        <v/>
      </c>
      <c r="Y33" s="1160">
        <f>Y36/Y6</f>
        <v/>
      </c>
      <c r="Z33" s="1160">
        <f>Z36/Z6</f>
        <v/>
      </c>
      <c r="AA33" s="1161">
        <f>AA36/AA6</f>
        <v/>
      </c>
      <c r="AB33" s="1159" t="n"/>
      <c r="AC33" s="1160" t="n"/>
      <c r="AD33" s="1160" t="n"/>
      <c r="AE33" s="1160" t="n"/>
      <c r="AF33" s="1160" t="n"/>
      <c r="AG33" s="1160" t="n"/>
      <c r="AH33" s="1161" t="n"/>
      <c r="AI33" s="1159" t="n"/>
      <c r="AJ33" s="1160" t="n"/>
      <c r="AK33" s="1160" t="n"/>
      <c r="AL33" s="1160" t="n"/>
      <c r="AM33" s="1160" t="n"/>
      <c r="AN33" s="1160" t="n"/>
      <c r="AO33" s="1162" t="n"/>
      <c r="AP33" s="1160" t="n"/>
      <c r="AQ33" s="1160" t="n"/>
      <c r="AR33" s="1160" t="n"/>
      <c r="AS33" s="1160" t="n"/>
      <c r="AT33" s="1161" t="n"/>
      <c r="AU33" s="1162" t="n"/>
      <c r="AV33" s="1160" t="n"/>
      <c r="AW33" s="1160" t="n"/>
      <c r="AX33" s="1160" t="n"/>
      <c r="AY33" s="1160" t="n"/>
      <c r="AZ33" s="1160" t="n"/>
      <c r="BA33" s="1161" t="n"/>
      <c r="BB33" s="1162" t="n"/>
      <c r="BC33" s="1160" t="n"/>
      <c r="BD33" s="1160" t="n"/>
      <c r="BE33" s="1160" t="n"/>
      <c r="BF33" s="1160" t="n"/>
      <c r="BG33" s="1161" t="n"/>
      <c r="BH33" s="1162" t="n"/>
      <c r="BI33" s="1160" t="n"/>
      <c r="BJ33" s="1160" t="n"/>
      <c r="BK33" s="1160" t="n"/>
      <c r="BL33" s="1160" t="n"/>
      <c r="BM33" s="1161" t="n"/>
      <c r="BN33" s="1162" t="n"/>
      <c r="BO33" s="1160" t="n"/>
      <c r="BP33" s="1160" t="n"/>
      <c r="BQ33" s="1160" t="n"/>
      <c r="BR33" s="1160" t="n"/>
      <c r="BS33" s="1161" t="n"/>
      <c r="BT33" s="1162" t="n"/>
      <c r="BU33" s="1160" t="n"/>
      <c r="BV33" s="1160" t="n"/>
      <c r="BW33" s="1160" t="n"/>
      <c r="BX33" s="1160" t="n"/>
      <c r="BY33" s="1163" t="n"/>
    </row>
    <row r="34" ht="16.5" customHeight="1" s="838">
      <c r="B34" s="756" t="n"/>
      <c r="C34" s="738" t="n"/>
      <c r="D34" s="834" t="inlineStr">
        <is>
          <t>`26 목표</t>
        </is>
      </c>
      <c r="E34" s="1036">
        <f>E37/E7</f>
        <v/>
      </c>
      <c r="F34" s="931">
        <f>F37/F7</f>
        <v/>
      </c>
      <c r="G34" s="931">
        <f>G37/G7</f>
        <v/>
      </c>
      <c r="H34" s="931">
        <f>H37/H7</f>
        <v/>
      </c>
      <c r="I34" s="931">
        <f>I37/I7</f>
        <v/>
      </c>
      <c r="J34" s="931">
        <f>J37/J7</f>
        <v/>
      </c>
      <c r="K34" s="1036">
        <f>K37/K7</f>
        <v/>
      </c>
      <c r="L34" s="931">
        <f>L37/L7</f>
        <v/>
      </c>
      <c r="M34" s="931">
        <f>M37/M7</f>
        <v/>
      </c>
      <c r="N34" s="931">
        <f>N37/N7</f>
        <v/>
      </c>
      <c r="O34" s="938">
        <f>O37/O7</f>
        <v/>
      </c>
      <c r="P34" s="1036">
        <f>P37/P7</f>
        <v/>
      </c>
      <c r="Q34" s="931">
        <f>Q37/Q7</f>
        <v/>
      </c>
      <c r="R34" s="931">
        <f>R37/R7</f>
        <v/>
      </c>
      <c r="S34" s="931">
        <f>S37/S7</f>
        <v/>
      </c>
      <c r="T34" s="931">
        <f>T37/T7</f>
        <v/>
      </c>
      <c r="U34" s="931">
        <f>U37/U7</f>
        <v/>
      </c>
      <c r="V34" s="1036">
        <f>V37/V7</f>
        <v/>
      </c>
      <c r="W34" s="931">
        <f>W37/W7</f>
        <v/>
      </c>
      <c r="X34" s="931">
        <f>X37/X7</f>
        <v/>
      </c>
      <c r="Y34" s="931">
        <f>Y37/Y7</f>
        <v/>
      </c>
      <c r="Z34" s="931">
        <f>Z37/Z7</f>
        <v/>
      </c>
      <c r="AA34" s="938">
        <f>AA37/AA7</f>
        <v/>
      </c>
      <c r="AB34" s="1036" t="n"/>
      <c r="AC34" s="931" t="n"/>
      <c r="AD34" s="931" t="n"/>
      <c r="AE34" s="931" t="n"/>
      <c r="AF34" s="931" t="n"/>
      <c r="AG34" s="931" t="n"/>
      <c r="AH34" s="938" t="n"/>
      <c r="AI34" s="1036" t="n"/>
      <c r="AJ34" s="931" t="n"/>
      <c r="AK34" s="931" t="n"/>
      <c r="AL34" s="931" t="n"/>
      <c r="AM34" s="931" t="n"/>
      <c r="AN34" s="931" t="n"/>
      <c r="AO34" s="929" t="n"/>
      <c r="AP34" s="931" t="n"/>
      <c r="AQ34" s="931" t="n"/>
      <c r="AR34" s="931" t="n"/>
      <c r="AS34" s="931" t="n"/>
      <c r="AT34" s="938" t="n"/>
      <c r="AU34" s="929" t="n"/>
      <c r="AV34" s="931" t="n"/>
      <c r="AW34" s="931" t="n"/>
      <c r="AX34" s="931" t="n"/>
      <c r="AY34" s="931" t="n"/>
      <c r="AZ34" s="931" t="n"/>
      <c r="BA34" s="938" t="n"/>
      <c r="BB34" s="929" t="n"/>
      <c r="BC34" s="931" t="n"/>
      <c r="BD34" s="931" t="n"/>
      <c r="BE34" s="931" t="n"/>
      <c r="BF34" s="931" t="n"/>
      <c r="BG34" s="938" t="n"/>
      <c r="BH34" s="929" t="n"/>
      <c r="BI34" s="931" t="n"/>
      <c r="BJ34" s="931" t="n"/>
      <c r="BK34" s="931" t="n"/>
      <c r="BL34" s="931" t="n"/>
      <c r="BM34" s="938" t="n"/>
      <c r="BN34" s="929" t="n"/>
      <c r="BO34" s="931" t="n"/>
      <c r="BP34" s="931" t="n"/>
      <c r="BQ34" s="931" t="n"/>
      <c r="BR34" s="931" t="n"/>
      <c r="BS34" s="938" t="n"/>
      <c r="BT34" s="929" t="n"/>
      <c r="BU34" s="931" t="n"/>
      <c r="BV34" s="931" t="n"/>
      <c r="BW34" s="931" t="n"/>
      <c r="BX34" s="931" t="n"/>
      <c r="BY34" s="939" t="n"/>
    </row>
    <row r="35" ht="16.5" customHeight="1" s="838">
      <c r="B35" s="756" t="n"/>
      <c r="C35" s="739" t="n"/>
      <c r="D35" s="407" t="inlineStr">
        <is>
          <t>`26 실적</t>
        </is>
      </c>
      <c r="E35" s="1075">
        <f>E38/E8</f>
        <v/>
      </c>
      <c r="F35" s="922">
        <f>F38/F8</f>
        <v/>
      </c>
      <c r="G35" s="922">
        <f>G38/G8</f>
        <v/>
      </c>
      <c r="H35" s="922">
        <f>H38/H8</f>
        <v/>
      </c>
      <c r="I35" s="922">
        <f>I38/I8</f>
        <v/>
      </c>
      <c r="J35" s="922">
        <f>J38/J8</f>
        <v/>
      </c>
      <c r="K35" s="1075">
        <f>K38/K8</f>
        <v/>
      </c>
      <c r="L35" s="922">
        <f>L38/L8</f>
        <v/>
      </c>
      <c r="M35" s="922">
        <f>M38/M8</f>
        <v/>
      </c>
      <c r="N35" s="922">
        <f>N38/N8</f>
        <v/>
      </c>
      <c r="O35" s="923">
        <f>O38/O8</f>
        <v/>
      </c>
      <c r="P35" s="1075">
        <f>P38/P8</f>
        <v/>
      </c>
      <c r="Q35" s="922">
        <f>Q38/Q8</f>
        <v/>
      </c>
      <c r="R35" s="922">
        <f>R38/R8</f>
        <v/>
      </c>
      <c r="S35" s="922">
        <f>S38/S8</f>
        <v/>
      </c>
      <c r="T35" s="922">
        <f>T38/T8</f>
        <v/>
      </c>
      <c r="U35" s="922">
        <f>U38/U8</f>
        <v/>
      </c>
      <c r="V35" s="1075">
        <f>V38/V8</f>
        <v/>
      </c>
      <c r="W35" s="922">
        <f>W38/W8</f>
        <v/>
      </c>
      <c r="X35" s="922">
        <f>X38/X8</f>
        <v/>
      </c>
      <c r="Y35" s="922">
        <f>Y38/Y8</f>
        <v/>
      </c>
      <c r="Z35" s="922">
        <f>Z38/Z8</f>
        <v/>
      </c>
      <c r="AA35" s="923">
        <f>AA38/AA8</f>
        <v/>
      </c>
      <c r="AB35" s="1075" t="n"/>
      <c r="AC35" s="922" t="n"/>
      <c r="AD35" s="922" t="n"/>
      <c r="AE35" s="922" t="n"/>
      <c r="AF35" s="922" t="n"/>
      <c r="AG35" s="922" t="n"/>
      <c r="AH35" s="923" t="n"/>
      <c r="AI35" s="1075" t="n"/>
      <c r="AJ35" s="922" t="n"/>
      <c r="AK35" s="922" t="n"/>
      <c r="AL35" s="922" t="n"/>
      <c r="AM35" s="922" t="n"/>
      <c r="AN35" s="922" t="n"/>
      <c r="AO35" s="921" t="n"/>
      <c r="AP35" s="922" t="n"/>
      <c r="AQ35" s="922" t="n"/>
      <c r="AR35" s="922" t="n"/>
      <c r="AS35" s="922" t="n"/>
      <c r="AT35" s="923" t="n"/>
      <c r="AU35" s="921" t="n"/>
      <c r="AV35" s="922" t="n"/>
      <c r="AW35" s="922" t="n"/>
      <c r="AX35" s="922" t="n"/>
      <c r="AY35" s="922" t="n"/>
      <c r="AZ35" s="922" t="n"/>
      <c r="BA35" s="923" t="n"/>
      <c r="BB35" s="921" t="n"/>
      <c r="BC35" s="922" t="n"/>
      <c r="BD35" s="922" t="n"/>
      <c r="BE35" s="922" t="n"/>
      <c r="BF35" s="922" t="n"/>
      <c r="BG35" s="923" t="n"/>
      <c r="BH35" s="921" t="n"/>
      <c r="BI35" s="922" t="n"/>
      <c r="BJ35" s="922" t="n"/>
      <c r="BK35" s="922" t="n"/>
      <c r="BL35" s="922" t="n"/>
      <c r="BM35" s="134" t="n"/>
      <c r="BN35" s="132" t="n"/>
      <c r="BO35" s="133" t="n"/>
      <c r="BP35" s="133" t="n"/>
      <c r="BQ35" s="133" t="n"/>
      <c r="BR35" s="133" t="n"/>
      <c r="BS35" s="134" t="n"/>
      <c r="BT35" s="132" t="n"/>
      <c r="BU35" s="133" t="n"/>
      <c r="BV35" s="133" t="n"/>
      <c r="BW35" s="133" t="n"/>
      <c r="BX35" s="133" t="n"/>
      <c r="BY35" s="135" t="n"/>
    </row>
    <row r="36" ht="16.5" customHeight="1" s="838">
      <c r="B36" s="756" t="n"/>
      <c r="C36" s="781" t="inlineStr">
        <is>
          <t>물류비</t>
        </is>
      </c>
      <c r="D36" s="834" t="inlineStr">
        <is>
          <t>`25 실적</t>
        </is>
      </c>
      <c r="E36" s="1169" t="n">
        <v>29.56399</v>
      </c>
      <c r="F36" s="1170" t="n">
        <v>29.56399</v>
      </c>
      <c r="G36" s="1170" t="n">
        <v>29.56399</v>
      </c>
      <c r="H36" s="1170" t="n">
        <v>29.56399</v>
      </c>
      <c r="I36" s="1170" t="n">
        <v>29.56399</v>
      </c>
      <c r="J36" s="1170" t="n">
        <v>29.56399</v>
      </c>
      <c r="K36" s="1169" t="n">
        <v>32.273222</v>
      </c>
      <c r="L36" s="1170" t="n">
        <v>32.273222</v>
      </c>
      <c r="M36" s="1170" t="n">
        <v>32.273222</v>
      </c>
      <c r="N36" s="1170" t="n">
        <v>32.273222</v>
      </c>
      <c r="O36" s="1171" t="n">
        <v>32.273222</v>
      </c>
      <c r="P36" s="1169" t="n">
        <v>49.74129</v>
      </c>
      <c r="Q36" s="1170" t="n">
        <v>49.74129</v>
      </c>
      <c r="R36" s="1170" t="n">
        <v>49.74129</v>
      </c>
      <c r="S36" s="1170" t="n">
        <v>49.74129</v>
      </c>
      <c r="T36" s="1170" t="n">
        <v>49.74129</v>
      </c>
      <c r="U36" s="1170" t="n">
        <v>49.74129</v>
      </c>
      <c r="V36" s="1169" t="n">
        <v>56.000082</v>
      </c>
      <c r="W36" s="1170" t="n">
        <v>56.000082</v>
      </c>
      <c r="X36" s="1170" t="n">
        <v>56.000082</v>
      </c>
      <c r="Y36" s="1170" t="n">
        <v>56.000082</v>
      </c>
      <c r="Z36" s="1170" t="n">
        <v>56.000082</v>
      </c>
      <c r="AA36" s="1171" t="n">
        <v>56.000082</v>
      </c>
      <c r="AB36" s="1169" t="n"/>
      <c r="AC36" s="1170" t="n"/>
      <c r="AD36" s="1170" t="n"/>
      <c r="AE36" s="1170" t="n"/>
      <c r="AF36" s="1170" t="n"/>
      <c r="AG36" s="1170" t="n"/>
      <c r="AH36" s="1171" t="n"/>
      <c r="AI36" s="1169" t="n"/>
      <c r="AJ36" s="1170" t="n"/>
      <c r="AK36" s="1170" t="n"/>
      <c r="AL36" s="1170" t="n"/>
      <c r="AM36" s="1170" t="n"/>
      <c r="AN36" s="1170" t="n"/>
      <c r="AO36" s="1172" t="n"/>
      <c r="AP36" s="1170" t="n"/>
      <c r="AQ36" s="1170" t="n"/>
      <c r="AR36" s="1170" t="n"/>
      <c r="AS36" s="1170" t="n"/>
      <c r="AT36" s="1171" t="n"/>
      <c r="AU36" s="1172" t="n"/>
      <c r="AV36" s="1170" t="n"/>
      <c r="AW36" s="1170" t="n"/>
      <c r="AX36" s="1170" t="n"/>
      <c r="AY36" s="1170" t="n"/>
      <c r="AZ36" s="1170" t="n"/>
      <c r="BA36" s="1171" t="n"/>
      <c r="BB36" s="1172" t="n"/>
      <c r="BC36" s="1170" t="n"/>
      <c r="BD36" s="1170" t="n"/>
      <c r="BE36" s="1170" t="n"/>
      <c r="BF36" s="1170" t="n"/>
      <c r="BG36" s="1171" t="n"/>
      <c r="BH36" s="1172" t="n"/>
      <c r="BI36" s="1170" t="n"/>
      <c r="BJ36" s="1170" t="n"/>
      <c r="BK36" s="1170" t="n"/>
      <c r="BL36" s="1170" t="n"/>
      <c r="BM36" s="1171" t="n"/>
      <c r="BN36" s="1172" t="n"/>
      <c r="BO36" s="1170" t="n"/>
      <c r="BP36" s="1170" t="n"/>
      <c r="BQ36" s="1170" t="n"/>
      <c r="BR36" s="1170" t="n"/>
      <c r="BS36" s="1171" t="n"/>
      <c r="BT36" s="1172" t="n"/>
      <c r="BU36" s="1170" t="n"/>
      <c r="BV36" s="1170" t="n"/>
      <c r="BW36" s="1170" t="n"/>
      <c r="BX36" s="1170" t="n"/>
      <c r="BY36" s="1173" t="n"/>
    </row>
    <row r="37" ht="16.5" customHeight="1" s="838">
      <c r="B37" s="756" t="n"/>
      <c r="C37" s="738" t="n"/>
      <c r="D37" s="834" t="inlineStr">
        <is>
          <t>`26 목표</t>
        </is>
      </c>
      <c r="E37" s="1169" t="n">
        <v>50.457532</v>
      </c>
      <c r="F37" s="1170" t="n">
        <v>50.457532</v>
      </c>
      <c r="G37" s="1170" t="n">
        <v>50.457532</v>
      </c>
      <c r="H37" s="1170" t="n">
        <v>50.457532</v>
      </c>
      <c r="I37" s="1170" t="n">
        <v>50.457532</v>
      </c>
      <c r="J37" s="1170" t="n">
        <v>50.457532</v>
      </c>
      <c r="K37" s="1169" t="n">
        <v>34.586825</v>
      </c>
      <c r="L37" s="1170" t="n">
        <v>34.586825</v>
      </c>
      <c r="M37" s="1170" t="n">
        <v>34.586825</v>
      </c>
      <c r="N37" s="1170" t="n">
        <v>34.586825</v>
      </c>
      <c r="O37" s="1171" t="n">
        <v>34.586825</v>
      </c>
      <c r="P37" s="1169" t="n">
        <v>41.257073</v>
      </c>
      <c r="Q37" s="1170" t="n">
        <v>41.257073</v>
      </c>
      <c r="R37" s="1170" t="n">
        <v>41.257073</v>
      </c>
      <c r="S37" s="1170" t="n">
        <v>41.257073</v>
      </c>
      <c r="T37" s="1170" t="n">
        <v>41.257073</v>
      </c>
      <c r="U37" s="1170" t="n">
        <v>41.257073</v>
      </c>
      <c r="V37" s="1169" t="n">
        <v>44.346318</v>
      </c>
      <c r="W37" s="1170" t="n">
        <v>44.346318</v>
      </c>
      <c r="X37" s="1170" t="n">
        <v>44.346318</v>
      </c>
      <c r="Y37" s="1170" t="n">
        <v>44.346318</v>
      </c>
      <c r="Z37" s="1170" t="n">
        <v>44.346318</v>
      </c>
      <c r="AA37" s="1171" t="n">
        <v>44.346318</v>
      </c>
      <c r="AB37" s="1169" t="n"/>
      <c r="AC37" s="1170" t="n"/>
      <c r="AD37" s="1170" t="n"/>
      <c r="AE37" s="1170" t="n"/>
      <c r="AF37" s="1170" t="n"/>
      <c r="AG37" s="1170" t="n"/>
      <c r="AH37" s="1171" t="n"/>
      <c r="AI37" s="1169" t="n"/>
      <c r="AJ37" s="1170" t="n"/>
      <c r="AK37" s="1170" t="n"/>
      <c r="AL37" s="1170" t="n"/>
      <c r="AM37" s="1170" t="n"/>
      <c r="AN37" s="1170" t="n"/>
      <c r="AO37" s="1172" t="n"/>
      <c r="AP37" s="1170" t="n"/>
      <c r="AQ37" s="1170" t="n"/>
      <c r="AR37" s="1170" t="n"/>
      <c r="AS37" s="1170" t="n"/>
      <c r="AT37" s="1171" t="n"/>
      <c r="AU37" s="1172" t="n"/>
      <c r="AV37" s="1170" t="n"/>
      <c r="AW37" s="1170" t="n"/>
      <c r="AX37" s="1170" t="n"/>
      <c r="AY37" s="1170" t="n"/>
      <c r="AZ37" s="1170" t="n"/>
      <c r="BA37" s="1171" t="n"/>
      <c r="BB37" s="1172" t="n"/>
      <c r="BC37" s="1170" t="n"/>
      <c r="BD37" s="1170" t="n"/>
      <c r="BE37" s="1170" t="n"/>
      <c r="BF37" s="1170" t="n"/>
      <c r="BG37" s="1171" t="n"/>
      <c r="BH37" s="1172" t="n"/>
      <c r="BI37" s="1170" t="n"/>
      <c r="BJ37" s="1170" t="n"/>
      <c r="BK37" s="1170" t="n"/>
      <c r="BL37" s="1170" t="n"/>
      <c r="BM37" s="1171" t="n"/>
      <c r="BN37" s="1172" t="n"/>
      <c r="BO37" s="1170" t="n"/>
      <c r="BP37" s="1170" t="n"/>
      <c r="BQ37" s="1170" t="n"/>
      <c r="BR37" s="1170" t="n"/>
      <c r="BS37" s="1171" t="n"/>
      <c r="BT37" s="1172" t="n"/>
      <c r="BU37" s="1170" t="n"/>
      <c r="BV37" s="1170" t="n"/>
      <c r="BW37" s="1170" t="n"/>
      <c r="BX37" s="1170" t="n"/>
      <c r="BY37" s="1173" t="n"/>
    </row>
    <row r="38" ht="17.25" customHeight="1" s="838" thickBot="1">
      <c r="B38" s="770" t="n"/>
      <c r="C38" s="753" t="n"/>
      <c r="D38" s="413" t="inlineStr">
        <is>
          <t>`26 실적</t>
        </is>
      </c>
      <c r="E38" s="1174" t="n">
        <v>40.079517</v>
      </c>
      <c r="F38" s="1175" t="n">
        <v>20.164111</v>
      </c>
      <c r="G38" s="1175" t="n">
        <v>20.164111</v>
      </c>
      <c r="H38" s="1175" t="n">
        <v>20.164111</v>
      </c>
      <c r="I38" s="1175" t="n">
        <v>20.164111</v>
      </c>
      <c r="J38" s="1175" t="n">
        <v>20.164111</v>
      </c>
      <c r="K38" s="1174" t="n">
        <v>38.774181</v>
      </c>
      <c r="L38" s="1175" t="n">
        <v>40.362321</v>
      </c>
      <c r="M38" s="1175" t="n">
        <v>25.642278</v>
      </c>
      <c r="N38" s="1175" t="n">
        <v>40.622388</v>
      </c>
      <c r="O38" s="1176" t="n">
        <v>21.676166</v>
      </c>
      <c r="P38" s="1174" t="n">
        <v>43.010166</v>
      </c>
      <c r="Q38" s="1175" t="n">
        <v>32.181512</v>
      </c>
      <c r="R38" s="1175" t="n">
        <v>32.181512</v>
      </c>
      <c r="S38" s="1175" t="n">
        <v>32.181512</v>
      </c>
      <c r="T38" s="1175" t="n">
        <v>50.646334</v>
      </c>
      <c r="U38" s="1175" t="n">
        <v>32.181512</v>
      </c>
      <c r="V38" s="1174" t="n">
        <v>27.65919</v>
      </c>
      <c r="W38" s="1175" t="n">
        <v>43.03636</v>
      </c>
      <c r="X38" s="1175" t="n">
        <v>43.03636</v>
      </c>
      <c r="Y38" s="1175" t="n">
        <v>43.03636</v>
      </c>
      <c r="Z38" s="1175" t="n">
        <v>43.03636</v>
      </c>
      <c r="AA38" s="1176" t="n">
        <v>52.945092</v>
      </c>
      <c r="AB38" s="1174" t="n"/>
      <c r="AC38" s="1175" t="n"/>
      <c r="AD38" s="1175" t="n"/>
      <c r="AE38" s="1175" t="n"/>
      <c r="AF38" s="1175" t="n"/>
      <c r="AG38" s="1175" t="n"/>
      <c r="AH38" s="1176" t="n"/>
      <c r="AI38" s="1174" t="n"/>
      <c r="AJ38" s="1175" t="n"/>
      <c r="AK38" s="1175" t="n"/>
      <c r="AL38" s="1175" t="n"/>
      <c r="AM38" s="1175" t="n"/>
      <c r="AN38" s="1175" t="n"/>
      <c r="AO38" s="1177" t="n"/>
      <c r="AP38" s="1175" t="n"/>
      <c r="AQ38" s="1175" t="n"/>
      <c r="AR38" s="1175" t="n"/>
      <c r="AS38" s="1175" t="n"/>
      <c r="AT38" s="1176" t="n"/>
      <c r="AU38" s="1177" t="n"/>
      <c r="AV38" s="1175" t="n"/>
      <c r="AW38" s="1175" t="n"/>
      <c r="AX38" s="1175" t="n"/>
      <c r="AY38" s="1175" t="n"/>
      <c r="AZ38" s="1175" t="n"/>
      <c r="BA38" s="1176" t="n"/>
      <c r="BB38" s="1177" t="n"/>
      <c r="BC38" s="1175" t="n"/>
      <c r="BD38" s="1175" t="n"/>
      <c r="BE38" s="1175" t="n"/>
      <c r="BF38" s="1175" t="n"/>
      <c r="BG38" s="1176" t="n"/>
      <c r="BH38" s="1177" t="n"/>
      <c r="BI38" s="1175" t="n"/>
      <c r="BJ38" s="1175" t="n"/>
      <c r="BK38" s="1175" t="n"/>
      <c r="BL38" s="1175" t="n"/>
      <c r="BM38" s="1166" t="n"/>
      <c r="BN38" s="1167" t="n"/>
      <c r="BO38" s="1165" t="n"/>
      <c r="BP38" s="1165" t="n"/>
      <c r="BQ38" s="1165" t="n"/>
      <c r="BR38" s="1165" t="n"/>
      <c r="BS38" s="1166" t="n"/>
      <c r="BT38" s="1167" t="n"/>
      <c r="BU38" s="1165" t="n"/>
      <c r="BV38" s="1165" t="n"/>
      <c r="BW38" s="1165" t="n"/>
      <c r="BX38" s="1165" t="n"/>
      <c r="BY38" s="1168" t="n"/>
    </row>
    <row r="39" ht="16.5" customHeight="1" s="838">
      <c r="B39" s="779" t="inlineStr">
        <is>
          <t>철송</t>
        </is>
      </c>
      <c r="C39" s="832" t="inlineStr">
        <is>
          <t>개선금액(원)</t>
        </is>
      </c>
      <c r="D39" s="419" t="inlineStr">
        <is>
          <t>`26 목표</t>
        </is>
      </c>
      <c r="E39" s="960">
        <f>E41*E$1/10^2</f>
        <v/>
      </c>
      <c r="F39" s="961">
        <f>F41*F$1/10^2</f>
        <v/>
      </c>
      <c r="G39" s="961">
        <f>G41*G$1/10^2</f>
        <v/>
      </c>
      <c r="H39" s="961">
        <f>H41*H$1/10^2</f>
        <v/>
      </c>
      <c r="I39" s="961">
        <f>I41*I$1/10^2</f>
        <v/>
      </c>
      <c r="J39" s="961">
        <f>J41*J$1/10^2</f>
        <v/>
      </c>
      <c r="K39" s="960">
        <f>K41*K$1/10^2</f>
        <v/>
      </c>
      <c r="L39" s="961">
        <f>L41*L$1/10^2</f>
        <v/>
      </c>
      <c r="M39" s="961">
        <f>M41*M$1/10^2</f>
        <v/>
      </c>
      <c r="N39" s="961">
        <f>N41*N$1/10^2</f>
        <v/>
      </c>
      <c r="O39" s="967">
        <f>O41*O$1/10^2</f>
        <v/>
      </c>
      <c r="P39" s="960">
        <f>P41*P$1/10^2</f>
        <v/>
      </c>
      <c r="Q39" s="961">
        <f>Q41*Q$1/10^2</f>
        <v/>
      </c>
      <c r="R39" s="961">
        <f>R41*R$1/10^2</f>
        <v/>
      </c>
      <c r="S39" s="961">
        <f>S41*S$1/10^2</f>
        <v/>
      </c>
      <c r="T39" s="961">
        <f>T41*T$1/10^2</f>
        <v/>
      </c>
      <c r="U39" s="961">
        <f>U41*U$1/10^2</f>
        <v/>
      </c>
      <c r="V39" s="960">
        <f>V41*V$1/10^2</f>
        <v/>
      </c>
      <c r="W39" s="961">
        <f>W41*W$1/10^2</f>
        <v/>
      </c>
      <c r="X39" s="961">
        <f>X41*X$1/10^2</f>
        <v/>
      </c>
      <c r="Y39" s="961">
        <f>Y41*Y$1/10^2</f>
        <v/>
      </c>
      <c r="Z39" s="961">
        <f>Z41*Z$1/10^2</f>
        <v/>
      </c>
      <c r="AA39" s="967">
        <f>AA41*AA$1/10^2</f>
        <v/>
      </c>
      <c r="AB39" s="960" t="n"/>
      <c r="AC39" s="961" t="n"/>
      <c r="AD39" s="961" t="n"/>
      <c r="AE39" s="961" t="n"/>
      <c r="AF39" s="961" t="n"/>
      <c r="AG39" s="961" t="n"/>
      <c r="AH39" s="967" t="n"/>
      <c r="AI39" s="960" t="n"/>
      <c r="AJ39" s="961" t="n"/>
      <c r="AK39" s="961" t="n"/>
      <c r="AL39" s="961" t="n"/>
      <c r="AM39" s="961" t="n"/>
      <c r="AN39" s="961" t="n"/>
      <c r="AO39" s="968" t="n"/>
      <c r="AP39" s="961" t="n"/>
      <c r="AQ39" s="961" t="n"/>
      <c r="AR39" s="961" t="n"/>
      <c r="AS39" s="961" t="n"/>
      <c r="AT39" s="967" t="n"/>
      <c r="AU39" s="968" t="n"/>
      <c r="AV39" s="961" t="n"/>
      <c r="AW39" s="961" t="n"/>
      <c r="AX39" s="961" t="n"/>
      <c r="AY39" s="961" t="n"/>
      <c r="AZ39" s="961" t="n"/>
      <c r="BA39" s="967" t="n"/>
      <c r="BB39" s="968" t="n"/>
      <c r="BC39" s="961" t="n"/>
      <c r="BD39" s="961" t="n"/>
      <c r="BE39" s="961" t="n"/>
      <c r="BF39" s="961" t="n"/>
      <c r="BG39" s="967" t="n"/>
      <c r="BH39" s="968" t="n"/>
      <c r="BI39" s="961" t="n"/>
      <c r="BJ39" s="961" t="n"/>
      <c r="BK39" s="961" t="n"/>
      <c r="BL39" s="961" t="n"/>
      <c r="BM39" s="967" t="n"/>
      <c r="BN39" s="968" t="n"/>
      <c r="BO39" s="961" t="n"/>
      <c r="BP39" s="961" t="n"/>
      <c r="BQ39" s="961" t="n"/>
      <c r="BR39" s="961" t="n"/>
      <c r="BS39" s="967" t="n"/>
      <c r="BT39" s="968" t="n"/>
      <c r="BU39" s="961" t="n"/>
      <c r="BV39" s="961" t="n"/>
      <c r="BW39" s="961" t="n"/>
      <c r="BX39" s="961" t="n"/>
      <c r="BY39" s="972" t="n"/>
    </row>
    <row r="40" ht="16.5" customHeight="1" s="838">
      <c r="B40" s="756" t="n"/>
      <c r="C40" s="738" t="n"/>
      <c r="D40" s="834" t="inlineStr">
        <is>
          <t>`26 실적</t>
        </is>
      </c>
      <c r="E40" s="962">
        <f>E42*E$2/10^2</f>
        <v/>
      </c>
      <c r="F40" s="963">
        <f>F42*F$2/10^2</f>
        <v/>
      </c>
      <c r="G40" s="963">
        <f>G42*G$2/10^2</f>
        <v/>
      </c>
      <c r="H40" s="963">
        <f>H42*H$2/10^2</f>
        <v/>
      </c>
      <c r="I40" s="963">
        <f>I42*I$2/10^2</f>
        <v/>
      </c>
      <c r="J40" s="963">
        <f>J42*J$2/10^2</f>
        <v/>
      </c>
      <c r="K40" s="962">
        <f>K42*K$2/10^2</f>
        <v/>
      </c>
      <c r="L40" s="963">
        <f>L42*L$2/10^2</f>
        <v/>
      </c>
      <c r="M40" s="963">
        <f>M42*M$2/10^2</f>
        <v/>
      </c>
      <c r="N40" s="963">
        <f>N42*N$2/10^2</f>
        <v/>
      </c>
      <c r="O40" s="964">
        <f>O42*O$2/10^2</f>
        <v/>
      </c>
      <c r="P40" s="962">
        <f>P42*P$2/10^2</f>
        <v/>
      </c>
      <c r="Q40" s="963">
        <f>Q42*Q$2/10^2</f>
        <v/>
      </c>
      <c r="R40" s="963">
        <f>R42*R$2/10^2</f>
        <v/>
      </c>
      <c r="S40" s="963">
        <f>S42*S$2/10^2</f>
        <v/>
      </c>
      <c r="T40" s="963">
        <f>T42*T$2/10^2</f>
        <v/>
      </c>
      <c r="U40" s="963">
        <f>U42*U$2/10^2</f>
        <v/>
      </c>
      <c r="V40" s="962">
        <f>V42*V$2/10^2</f>
        <v/>
      </c>
      <c r="W40" s="963">
        <f>W42*W$2/10^2</f>
        <v/>
      </c>
      <c r="X40" s="963">
        <f>X42*X$2/10^2</f>
        <v/>
      </c>
      <c r="Y40" s="963">
        <f>Y42*Y$2/10^2</f>
        <v/>
      </c>
      <c r="Z40" s="963">
        <f>Z42*Z$2/10^2</f>
        <v/>
      </c>
      <c r="AA40" s="964">
        <f>AA42*AA$2/10^2</f>
        <v/>
      </c>
      <c r="AB40" s="962" t="n"/>
      <c r="AC40" s="963" t="n"/>
      <c r="AD40" s="963" t="n"/>
      <c r="AE40" s="963" t="n"/>
      <c r="AF40" s="963" t="n"/>
      <c r="AG40" s="963" t="n"/>
      <c r="AH40" s="964" t="n"/>
      <c r="AI40" s="962" t="n"/>
      <c r="AJ40" s="963" t="n"/>
      <c r="AK40" s="963" t="n"/>
      <c r="AL40" s="963" t="n"/>
      <c r="AM40" s="963" t="n"/>
      <c r="AN40" s="963" t="n"/>
      <c r="AO40" s="977" t="n"/>
      <c r="AP40" s="963" t="n"/>
      <c r="AQ40" s="963" t="n"/>
      <c r="AR40" s="963" t="n"/>
      <c r="AS40" s="963" t="n"/>
      <c r="AT40" s="964" t="n"/>
      <c r="AU40" s="977" t="n"/>
      <c r="AV40" s="963" t="n"/>
      <c r="AW40" s="963" t="n"/>
      <c r="AX40" s="963" t="n"/>
      <c r="AY40" s="963" t="n"/>
      <c r="AZ40" s="963" t="n"/>
      <c r="BA40" s="964" t="n"/>
      <c r="BB40" s="977" t="n"/>
      <c r="BC40" s="963" t="n"/>
      <c r="BD40" s="963" t="n"/>
      <c r="BE40" s="963" t="n"/>
      <c r="BF40" s="963" t="n"/>
      <c r="BG40" s="964" t="n"/>
      <c r="BH40" s="977" t="n"/>
      <c r="BI40" s="963" t="n"/>
      <c r="BJ40" s="963" t="n"/>
      <c r="BK40" s="963" t="n"/>
      <c r="BL40" s="963" t="n"/>
      <c r="BM40" s="964" t="n"/>
      <c r="BN40" s="977" t="n"/>
      <c r="BO40" s="963" t="n"/>
      <c r="BP40" s="963" t="n"/>
      <c r="BQ40" s="963" t="n"/>
      <c r="BR40" s="963" t="n"/>
      <c r="BS40" s="964" t="n"/>
      <c r="BT40" s="977" t="n"/>
      <c r="BU40" s="963" t="n"/>
      <c r="BV40" s="963" t="n"/>
      <c r="BW40" s="963" t="n"/>
      <c r="BX40" s="963" t="n"/>
      <c r="BY40" s="981" t="n"/>
    </row>
    <row r="41" ht="16.5" customHeight="1" s="838">
      <c r="B41" s="756" t="n"/>
      <c r="C41" s="827" t="inlineStr">
        <is>
          <t>개선금액($)</t>
        </is>
      </c>
      <c r="D41" s="406" t="inlineStr">
        <is>
          <t>`26 목표</t>
        </is>
      </c>
      <c r="E41" s="982">
        <f>(E43-E44)*E7</f>
        <v/>
      </c>
      <c r="F41" s="983">
        <f>(F43-F44)*F7</f>
        <v/>
      </c>
      <c r="G41" s="983">
        <f>(G43-G44)*G7</f>
        <v/>
      </c>
      <c r="H41" s="983">
        <f>(H43-H44)*H7</f>
        <v/>
      </c>
      <c r="I41" s="983">
        <f>(I43-I44)*I7</f>
        <v/>
      </c>
      <c r="J41" s="983">
        <f>(J43-J44)*J7</f>
        <v/>
      </c>
      <c r="K41" s="982">
        <f>(K43-K44)*K7</f>
        <v/>
      </c>
      <c r="L41" s="983">
        <f>(L43-L44)*L7</f>
        <v/>
      </c>
      <c r="M41" s="983">
        <f>(M43-M44)*M7</f>
        <v/>
      </c>
      <c r="N41" s="983">
        <f>(N43-N44)*N7</f>
        <v/>
      </c>
      <c r="O41" s="984">
        <f>(O43-O44)*O7</f>
        <v/>
      </c>
      <c r="P41" s="982">
        <f>(P43-P44)*P7</f>
        <v/>
      </c>
      <c r="Q41" s="983">
        <f>(Q43-Q44)*Q7</f>
        <v/>
      </c>
      <c r="R41" s="983">
        <f>(R43-R44)*R7</f>
        <v/>
      </c>
      <c r="S41" s="983">
        <f>(S43-S44)*S7</f>
        <v/>
      </c>
      <c r="T41" s="983">
        <f>(T43-T44)*T7</f>
        <v/>
      </c>
      <c r="U41" s="983">
        <f>(U43-U44)*U7</f>
        <v/>
      </c>
      <c r="V41" s="982">
        <f>(V43-V44)*V7</f>
        <v/>
      </c>
      <c r="W41" s="983">
        <f>(W43-W44)*W7</f>
        <v/>
      </c>
      <c r="X41" s="983">
        <f>(X43-X44)*X7</f>
        <v/>
      </c>
      <c r="Y41" s="983">
        <f>(Y43-Y44)*Y7</f>
        <v/>
      </c>
      <c r="Z41" s="983">
        <f>(Z43-Z44)*Z7</f>
        <v/>
      </c>
      <c r="AA41" s="984">
        <f>(AA43-AA44)*AA7</f>
        <v/>
      </c>
      <c r="AB41" s="982" t="n"/>
      <c r="AC41" s="983" t="n"/>
      <c r="AD41" s="983" t="n"/>
      <c r="AE41" s="983" t="n"/>
      <c r="AF41" s="983" t="n"/>
      <c r="AG41" s="983" t="n"/>
      <c r="AH41" s="984" t="n"/>
      <c r="AI41" s="982" t="n"/>
      <c r="AJ41" s="983" t="n"/>
      <c r="AK41" s="983" t="n"/>
      <c r="AL41" s="983" t="n"/>
      <c r="AM41" s="983" t="n"/>
      <c r="AN41" s="983" t="n"/>
      <c r="AO41" s="987" t="n"/>
      <c r="AP41" s="983" t="n"/>
      <c r="AQ41" s="983" t="n"/>
      <c r="AR41" s="983" t="n"/>
      <c r="AS41" s="983" t="n"/>
      <c r="AT41" s="984" t="n"/>
      <c r="AU41" s="987" t="n"/>
      <c r="AV41" s="983" t="n"/>
      <c r="AW41" s="983" t="n"/>
      <c r="AX41" s="983" t="n"/>
      <c r="AY41" s="983" t="n"/>
      <c r="AZ41" s="983" t="n"/>
      <c r="BA41" s="984" t="n"/>
      <c r="BB41" s="987" t="n"/>
      <c r="BC41" s="983" t="n"/>
      <c r="BD41" s="983" t="n"/>
      <c r="BE41" s="983" t="n"/>
      <c r="BF41" s="983" t="n"/>
      <c r="BG41" s="984" t="n"/>
      <c r="BH41" s="987" t="n"/>
      <c r="BI41" s="983" t="n"/>
      <c r="BJ41" s="983" t="n"/>
      <c r="BK41" s="983" t="n"/>
      <c r="BL41" s="983" t="n"/>
      <c r="BM41" s="984" t="n"/>
      <c r="BN41" s="987" t="n"/>
      <c r="BO41" s="983" t="n"/>
      <c r="BP41" s="983" t="n"/>
      <c r="BQ41" s="983" t="n"/>
      <c r="BR41" s="983" t="n"/>
      <c r="BS41" s="984" t="n"/>
      <c r="BT41" s="987" t="n"/>
      <c r="BU41" s="983" t="n"/>
      <c r="BV41" s="983" t="n"/>
      <c r="BW41" s="983" t="n"/>
      <c r="BX41" s="983" t="n"/>
      <c r="BY41" s="991" t="n"/>
    </row>
    <row r="42" ht="16.5" customHeight="1" s="838">
      <c r="B42" s="756" t="n"/>
      <c r="C42" s="739" t="n"/>
      <c r="D42" s="407" t="inlineStr">
        <is>
          <t>`26 실적</t>
        </is>
      </c>
      <c r="E42" s="973">
        <f>(E43-E45)*E8</f>
        <v/>
      </c>
      <c r="F42" s="974">
        <f>(F43-F45)*F8</f>
        <v/>
      </c>
      <c r="G42" s="974">
        <f>(G43-G45)*G8</f>
        <v/>
      </c>
      <c r="H42" s="974">
        <f>(H43-H45)*H8</f>
        <v/>
      </c>
      <c r="I42" s="974">
        <f>(I43-I45)*I8</f>
        <v/>
      </c>
      <c r="J42" s="974">
        <f>(J43-J45)*J8</f>
        <v/>
      </c>
      <c r="K42" s="973">
        <f>(K43-K45)*K8</f>
        <v/>
      </c>
      <c r="L42" s="974">
        <f>(L43-L45)*L8</f>
        <v/>
      </c>
      <c r="M42" s="974">
        <f>(M43-M45)*M8</f>
        <v/>
      </c>
      <c r="N42" s="974">
        <f>(N43-N45)*N8</f>
        <v/>
      </c>
      <c r="O42" s="975">
        <f>(O43-O45)*O8</f>
        <v/>
      </c>
      <c r="P42" s="973">
        <f>(P43-P45)*P8</f>
        <v/>
      </c>
      <c r="Q42" s="974">
        <f>(Q43-Q45)*Q8</f>
        <v/>
      </c>
      <c r="R42" s="974">
        <f>(R43-R45)*R8</f>
        <v/>
      </c>
      <c r="S42" s="974">
        <f>(S43-S45)*S8</f>
        <v/>
      </c>
      <c r="T42" s="974">
        <f>(T43-T45)*T8</f>
        <v/>
      </c>
      <c r="U42" s="974">
        <f>(U43-U45)*U8</f>
        <v/>
      </c>
      <c r="V42" s="973">
        <f>(V43-V45)*V8</f>
        <v/>
      </c>
      <c r="W42" s="974">
        <f>(W43-W45)*W8</f>
        <v/>
      </c>
      <c r="X42" s="974">
        <f>(X43-X45)*X8</f>
        <v/>
      </c>
      <c r="Y42" s="974">
        <f>(Y43-Y45)*Y8</f>
        <v/>
      </c>
      <c r="Z42" s="974">
        <f>(Z43-Z45)*Z8</f>
        <v/>
      </c>
      <c r="AA42" s="975">
        <f>(AA43-AA45)*AA8</f>
        <v/>
      </c>
      <c r="AB42" s="973" t="n"/>
      <c r="AC42" s="974" t="n"/>
      <c r="AD42" s="974" t="n"/>
      <c r="AE42" s="974" t="n"/>
      <c r="AF42" s="974" t="n"/>
      <c r="AG42" s="974" t="n"/>
      <c r="AH42" s="975" t="n"/>
      <c r="AI42" s="973" t="n"/>
      <c r="AJ42" s="974" t="n"/>
      <c r="AK42" s="974" t="n"/>
      <c r="AL42" s="974" t="n"/>
      <c r="AM42" s="974" t="n"/>
      <c r="AN42" s="974" t="n"/>
      <c r="AO42" s="994" t="n"/>
      <c r="AP42" s="974" t="n"/>
      <c r="AQ42" s="974" t="n"/>
      <c r="AR42" s="974" t="n"/>
      <c r="AS42" s="974" t="n"/>
      <c r="AT42" s="975" t="n"/>
      <c r="AU42" s="994" t="n"/>
      <c r="AV42" s="974" t="n"/>
      <c r="AW42" s="974" t="n"/>
      <c r="AX42" s="974" t="n"/>
      <c r="AY42" s="974" t="n"/>
      <c r="AZ42" s="974" t="n"/>
      <c r="BA42" s="975" t="n"/>
      <c r="BB42" s="994" t="n"/>
      <c r="BC42" s="974" t="n"/>
      <c r="BD42" s="974" t="n"/>
      <c r="BE42" s="974" t="n"/>
      <c r="BF42" s="974" t="n"/>
      <c r="BG42" s="975" t="n"/>
      <c r="BH42" s="994" t="n"/>
      <c r="BI42" s="974" t="n"/>
      <c r="BJ42" s="974" t="n"/>
      <c r="BK42" s="974" t="n"/>
      <c r="BL42" s="974" t="n"/>
      <c r="BM42" s="975" t="n"/>
      <c r="BN42" s="994" t="n"/>
      <c r="BO42" s="974" t="n"/>
      <c r="BP42" s="974" t="n"/>
      <c r="BQ42" s="974" t="n"/>
      <c r="BR42" s="974" t="n"/>
      <c r="BS42" s="975" t="n"/>
      <c r="BT42" s="994" t="n"/>
      <c r="BU42" s="974" t="n"/>
      <c r="BV42" s="974" t="n"/>
      <c r="BW42" s="974" t="n"/>
      <c r="BX42" s="974" t="n"/>
      <c r="BY42" s="998" t="n"/>
    </row>
    <row r="43" ht="16.5" customHeight="1" s="838">
      <c r="B43" s="756" t="n"/>
      <c r="C43" s="737" t="inlineStr">
        <is>
          <t>물류비율</t>
        </is>
      </c>
      <c r="D43" s="406" t="inlineStr">
        <is>
          <t>`25 실적</t>
        </is>
      </c>
      <c r="E43" s="1159">
        <f>E46/E6</f>
        <v/>
      </c>
      <c r="F43" s="1160">
        <f>F46/F6</f>
        <v/>
      </c>
      <c r="G43" s="1160">
        <f>G46/G6</f>
        <v/>
      </c>
      <c r="H43" s="1160">
        <f>H46/H6</f>
        <v/>
      </c>
      <c r="I43" s="1160">
        <f>I46/I6</f>
        <v/>
      </c>
      <c r="J43" s="1160">
        <f>J46/J6</f>
        <v/>
      </c>
      <c r="K43" s="1159">
        <f>K46/K6</f>
        <v/>
      </c>
      <c r="L43" s="1160">
        <f>L46/L6</f>
        <v/>
      </c>
      <c r="M43" s="1160">
        <f>M46/M6</f>
        <v/>
      </c>
      <c r="N43" s="1160">
        <f>N46/N6</f>
        <v/>
      </c>
      <c r="O43" s="1161">
        <f>O46/O6</f>
        <v/>
      </c>
      <c r="P43" s="1159">
        <f>P46/P6</f>
        <v/>
      </c>
      <c r="Q43" s="1160">
        <f>Q46/Q6</f>
        <v/>
      </c>
      <c r="R43" s="1160">
        <f>R46/R6</f>
        <v/>
      </c>
      <c r="S43" s="1160">
        <f>S46/S6</f>
        <v/>
      </c>
      <c r="T43" s="1160">
        <f>T46/T6</f>
        <v/>
      </c>
      <c r="U43" s="1160">
        <f>U46/U6</f>
        <v/>
      </c>
      <c r="V43" s="1159">
        <f>V46/V6</f>
        <v/>
      </c>
      <c r="W43" s="1160">
        <f>W46/W6</f>
        <v/>
      </c>
      <c r="X43" s="1160">
        <f>X46/X6</f>
        <v/>
      </c>
      <c r="Y43" s="1160">
        <f>Y46/Y6</f>
        <v/>
      </c>
      <c r="Z43" s="1160">
        <f>Z46/Z6</f>
        <v/>
      </c>
      <c r="AA43" s="1161">
        <f>AA46/AA6</f>
        <v/>
      </c>
      <c r="AB43" s="1159" t="n"/>
      <c r="AC43" s="1160" t="n"/>
      <c r="AD43" s="1160" t="n"/>
      <c r="AE43" s="1160" t="n"/>
      <c r="AF43" s="1160" t="n"/>
      <c r="AG43" s="1160" t="n"/>
      <c r="AH43" s="1161" t="n"/>
      <c r="AI43" s="1159" t="n"/>
      <c r="AJ43" s="1160" t="n"/>
      <c r="AK43" s="1160" t="n"/>
      <c r="AL43" s="1160" t="n"/>
      <c r="AM43" s="1160" t="n"/>
      <c r="AN43" s="1160" t="n"/>
      <c r="AO43" s="1162" t="n"/>
      <c r="AP43" s="1160" t="n"/>
      <c r="AQ43" s="1160" t="n"/>
      <c r="AR43" s="1160" t="n"/>
      <c r="AS43" s="1160" t="n"/>
      <c r="AT43" s="1161" t="n"/>
      <c r="AU43" s="1162" t="n"/>
      <c r="AV43" s="1160" t="n"/>
      <c r="AW43" s="1160" t="n"/>
      <c r="AX43" s="1160" t="n"/>
      <c r="AY43" s="1160" t="n"/>
      <c r="AZ43" s="1160" t="n"/>
      <c r="BA43" s="1161" t="n"/>
      <c r="BB43" s="1162" t="n"/>
      <c r="BC43" s="1160" t="n"/>
      <c r="BD43" s="1160" t="n"/>
      <c r="BE43" s="1160" t="n"/>
      <c r="BF43" s="1160" t="n"/>
      <c r="BG43" s="1161" t="n"/>
      <c r="BH43" s="1162" t="n"/>
      <c r="BI43" s="1160" t="n"/>
      <c r="BJ43" s="1160" t="n"/>
      <c r="BK43" s="1160" t="n"/>
      <c r="BL43" s="1160" t="n"/>
      <c r="BM43" s="1161" t="n"/>
      <c r="BN43" s="1162" t="n"/>
      <c r="BO43" s="1160" t="n"/>
      <c r="BP43" s="1160" t="n"/>
      <c r="BQ43" s="1160" t="n"/>
      <c r="BR43" s="1160" t="n"/>
      <c r="BS43" s="1161" t="n"/>
      <c r="BT43" s="1162" t="n"/>
      <c r="BU43" s="1160" t="n"/>
      <c r="BV43" s="1160" t="n"/>
      <c r="BW43" s="1160" t="n"/>
      <c r="BX43" s="1160" t="n"/>
      <c r="BY43" s="1163" t="n"/>
    </row>
    <row r="44" ht="16.5" customHeight="1" s="838">
      <c r="B44" s="756" t="n"/>
      <c r="C44" s="738" t="n"/>
      <c r="D44" s="834" t="inlineStr">
        <is>
          <t>`26 목표</t>
        </is>
      </c>
      <c r="E44" s="1036">
        <f>E47/E7</f>
        <v/>
      </c>
      <c r="F44" s="931">
        <f>F47/F7</f>
        <v/>
      </c>
      <c r="G44" s="931">
        <f>G47/G7</f>
        <v/>
      </c>
      <c r="H44" s="931">
        <f>H47/H7</f>
        <v/>
      </c>
      <c r="I44" s="931">
        <f>I47/I7</f>
        <v/>
      </c>
      <c r="J44" s="931">
        <f>J47/J7</f>
        <v/>
      </c>
      <c r="K44" s="1036">
        <f>K47/K7</f>
        <v/>
      </c>
      <c r="L44" s="931">
        <f>L47/L7</f>
        <v/>
      </c>
      <c r="M44" s="931">
        <f>M47/M7</f>
        <v/>
      </c>
      <c r="N44" s="931">
        <f>N47/N7</f>
        <v/>
      </c>
      <c r="O44" s="938">
        <f>O47/O7</f>
        <v/>
      </c>
      <c r="P44" s="1036">
        <f>P47/P7</f>
        <v/>
      </c>
      <c r="Q44" s="931">
        <f>Q47/Q7</f>
        <v/>
      </c>
      <c r="R44" s="931">
        <f>R47/R7</f>
        <v/>
      </c>
      <c r="S44" s="931">
        <f>S47/S7</f>
        <v/>
      </c>
      <c r="T44" s="931">
        <f>T47/T7</f>
        <v/>
      </c>
      <c r="U44" s="931">
        <f>U47/U7</f>
        <v/>
      </c>
      <c r="V44" s="1036">
        <f>V47/V7</f>
        <v/>
      </c>
      <c r="W44" s="931">
        <f>W47/W7</f>
        <v/>
      </c>
      <c r="X44" s="931">
        <f>X47/X7</f>
        <v/>
      </c>
      <c r="Y44" s="931">
        <f>Y47/Y7</f>
        <v/>
      </c>
      <c r="Z44" s="931">
        <f>Z47/Z7</f>
        <v/>
      </c>
      <c r="AA44" s="938">
        <f>AA47/AA7</f>
        <v/>
      </c>
      <c r="AB44" s="1036" t="n"/>
      <c r="AC44" s="931" t="n"/>
      <c r="AD44" s="931" t="n"/>
      <c r="AE44" s="931" t="n"/>
      <c r="AF44" s="931" t="n"/>
      <c r="AG44" s="931" t="n"/>
      <c r="AH44" s="938" t="n"/>
      <c r="AI44" s="1036" t="n"/>
      <c r="AJ44" s="931" t="n"/>
      <c r="AK44" s="931" t="n"/>
      <c r="AL44" s="931" t="n"/>
      <c r="AM44" s="931" t="n"/>
      <c r="AN44" s="931" t="n"/>
      <c r="AO44" s="929" t="n"/>
      <c r="AP44" s="931" t="n"/>
      <c r="AQ44" s="931" t="n"/>
      <c r="AR44" s="931" t="n"/>
      <c r="AS44" s="931" t="n"/>
      <c r="AT44" s="938" t="n"/>
      <c r="AU44" s="929" t="n"/>
      <c r="AV44" s="931" t="n"/>
      <c r="AW44" s="931" t="n"/>
      <c r="AX44" s="931" t="n"/>
      <c r="AY44" s="931" t="n"/>
      <c r="AZ44" s="931" t="n"/>
      <c r="BA44" s="938" t="n"/>
      <c r="BB44" s="929" t="n"/>
      <c r="BC44" s="931" t="n"/>
      <c r="BD44" s="931" t="n"/>
      <c r="BE44" s="931" t="n"/>
      <c r="BF44" s="931" t="n"/>
      <c r="BG44" s="938" t="n"/>
      <c r="BH44" s="929" t="n"/>
      <c r="BI44" s="931" t="n"/>
      <c r="BJ44" s="931" t="n"/>
      <c r="BK44" s="931" t="n"/>
      <c r="BL44" s="931" t="n"/>
      <c r="BM44" s="938" t="n"/>
      <c r="BN44" s="929" t="n"/>
      <c r="BO44" s="931" t="n"/>
      <c r="BP44" s="931" t="n"/>
      <c r="BQ44" s="931" t="n"/>
      <c r="BR44" s="931" t="n"/>
      <c r="BS44" s="938" t="n"/>
      <c r="BT44" s="929" t="n"/>
      <c r="BU44" s="931" t="n"/>
      <c r="BV44" s="931" t="n"/>
      <c r="BW44" s="931" t="n"/>
      <c r="BX44" s="931" t="n"/>
      <c r="BY44" s="939" t="n"/>
    </row>
    <row r="45" ht="16.5" customHeight="1" s="838">
      <c r="B45" s="756" t="n"/>
      <c r="C45" s="739" t="n"/>
      <c r="D45" s="407" t="inlineStr">
        <is>
          <t>`26 실적</t>
        </is>
      </c>
      <c r="E45" s="1075">
        <f>E48/E8</f>
        <v/>
      </c>
      <c r="F45" s="922">
        <f>F48/F8</f>
        <v/>
      </c>
      <c r="G45" s="922">
        <f>G48/G8</f>
        <v/>
      </c>
      <c r="H45" s="922">
        <f>H48/H8</f>
        <v/>
      </c>
      <c r="I45" s="922">
        <f>I48/I8</f>
        <v/>
      </c>
      <c r="J45" s="922">
        <f>J48/J8</f>
        <v/>
      </c>
      <c r="K45" s="1075">
        <f>K48/K8</f>
        <v/>
      </c>
      <c r="L45" s="922">
        <f>L48/L8</f>
        <v/>
      </c>
      <c r="M45" s="922">
        <f>M48/M8</f>
        <v/>
      </c>
      <c r="N45" s="922">
        <f>N48/N8</f>
        <v/>
      </c>
      <c r="O45" s="923">
        <f>O48/O8</f>
        <v/>
      </c>
      <c r="P45" s="1075">
        <f>P48/P8</f>
        <v/>
      </c>
      <c r="Q45" s="922">
        <f>Q48/Q8</f>
        <v/>
      </c>
      <c r="R45" s="922">
        <f>R48/R8</f>
        <v/>
      </c>
      <c r="S45" s="922">
        <f>S48/S8</f>
        <v/>
      </c>
      <c r="T45" s="922">
        <f>T48/T8</f>
        <v/>
      </c>
      <c r="U45" s="922">
        <f>U48/U8</f>
        <v/>
      </c>
      <c r="V45" s="1075">
        <f>V48/V8</f>
        <v/>
      </c>
      <c r="W45" s="922">
        <f>W48/W8</f>
        <v/>
      </c>
      <c r="X45" s="922">
        <f>X48/X8</f>
        <v/>
      </c>
      <c r="Y45" s="922">
        <f>Y48/Y8</f>
        <v/>
      </c>
      <c r="Z45" s="922">
        <f>Z48/Z8</f>
        <v/>
      </c>
      <c r="AA45" s="923">
        <f>AA48/AA8</f>
        <v/>
      </c>
      <c r="AB45" s="1075" t="n"/>
      <c r="AC45" s="922" t="n"/>
      <c r="AD45" s="922" t="n"/>
      <c r="AE45" s="922" t="n"/>
      <c r="AF45" s="922" t="n"/>
      <c r="AG45" s="922" t="n"/>
      <c r="AH45" s="923" t="n"/>
      <c r="AI45" s="1075" t="n"/>
      <c r="AJ45" s="922" t="n"/>
      <c r="AK45" s="922" t="n"/>
      <c r="AL45" s="922" t="n"/>
      <c r="AM45" s="922" t="n"/>
      <c r="AN45" s="922" t="n"/>
      <c r="AO45" s="921" t="n"/>
      <c r="AP45" s="922" t="n"/>
      <c r="AQ45" s="922" t="n"/>
      <c r="AR45" s="922" t="n"/>
      <c r="AS45" s="922" t="n"/>
      <c r="AT45" s="923" t="n"/>
      <c r="AU45" s="921" t="n"/>
      <c r="AV45" s="922" t="n"/>
      <c r="AW45" s="922" t="n"/>
      <c r="AX45" s="922" t="n"/>
      <c r="AY45" s="922" t="n"/>
      <c r="AZ45" s="922" t="n"/>
      <c r="BA45" s="923" t="n"/>
      <c r="BB45" s="921" t="n"/>
      <c r="BC45" s="922" t="n"/>
      <c r="BD45" s="922" t="n"/>
      <c r="BE45" s="922" t="n"/>
      <c r="BF45" s="922" t="n"/>
      <c r="BG45" s="923" t="n"/>
      <c r="BH45" s="921" t="n"/>
      <c r="BI45" s="922" t="n"/>
      <c r="BJ45" s="922" t="n"/>
      <c r="BK45" s="922" t="n"/>
      <c r="BL45" s="922" t="n"/>
      <c r="BM45" s="134" t="n"/>
      <c r="BN45" s="132" t="n"/>
      <c r="BO45" s="133" t="n"/>
      <c r="BP45" s="133" t="n"/>
      <c r="BQ45" s="133" t="n"/>
      <c r="BR45" s="133" t="n"/>
      <c r="BS45" s="134" t="n"/>
      <c r="BT45" s="132" t="n"/>
      <c r="BU45" s="133" t="n"/>
      <c r="BV45" s="133" t="n"/>
      <c r="BW45" s="133" t="n"/>
      <c r="BX45" s="133" t="n"/>
      <c r="BY45" s="135" t="n"/>
    </row>
    <row r="46" ht="16.5" customHeight="1" s="838">
      <c r="B46" s="756" t="n"/>
      <c r="C46" s="781" t="inlineStr">
        <is>
          <t>물류비</t>
        </is>
      </c>
      <c r="D46" s="834" t="inlineStr">
        <is>
          <t>`25 실적</t>
        </is>
      </c>
      <c r="E46" s="1169" t="n">
        <v>2.84385142</v>
      </c>
      <c r="F46" s="1170" t="n">
        <v>2.84385142</v>
      </c>
      <c r="G46" s="1170" t="n">
        <v>2.84385142</v>
      </c>
      <c r="H46" s="1170" t="n">
        <v>2.84385142</v>
      </c>
      <c r="I46" s="1170" t="n">
        <v>2.84385142</v>
      </c>
      <c r="J46" s="1170" t="n">
        <v>2.84385142</v>
      </c>
      <c r="K46" s="1169" t="n">
        <v>1.94996617</v>
      </c>
      <c r="L46" s="1170" t="n">
        <v>1.94996617</v>
      </c>
      <c r="M46" s="1170" t="n">
        <v>1.94996617</v>
      </c>
      <c r="N46" s="1170" t="n">
        <v>1.94996617</v>
      </c>
      <c r="O46" s="1171" t="n">
        <v>1.94996617</v>
      </c>
      <c r="P46" s="1169" t="n">
        <v>1.47539129</v>
      </c>
      <c r="Q46" s="1170" t="n">
        <v>1.47539129</v>
      </c>
      <c r="R46" s="1170" t="n">
        <v>1.47539129</v>
      </c>
      <c r="S46" s="1170" t="n">
        <v>1.47539129</v>
      </c>
      <c r="T46" s="1170" t="n">
        <v>1.47539129</v>
      </c>
      <c r="U46" s="1170" t="n">
        <v>1.47539129</v>
      </c>
      <c r="V46" s="1169" t="n">
        <v>1.08344909</v>
      </c>
      <c r="W46" s="1170" t="n">
        <v>1.08344909</v>
      </c>
      <c r="X46" s="1170" t="n">
        <v>1.08344909</v>
      </c>
      <c r="Y46" s="1170" t="n">
        <v>1.08344909</v>
      </c>
      <c r="Z46" s="1170" t="n">
        <v>1.08344909</v>
      </c>
      <c r="AA46" s="1171" t="n">
        <v>1.08344909</v>
      </c>
      <c r="AB46" s="1169" t="n"/>
      <c r="AC46" s="1170" t="n"/>
      <c r="AD46" s="1170" t="n"/>
      <c r="AE46" s="1170" t="n"/>
      <c r="AF46" s="1170" t="n"/>
      <c r="AG46" s="1170" t="n"/>
      <c r="AH46" s="1171" t="n"/>
      <c r="AI46" s="1169" t="n"/>
      <c r="AJ46" s="1170" t="n"/>
      <c r="AK46" s="1170" t="n"/>
      <c r="AL46" s="1170" t="n"/>
      <c r="AM46" s="1170" t="n"/>
      <c r="AN46" s="1170" t="n"/>
      <c r="AO46" s="1172" t="n"/>
      <c r="AP46" s="1170" t="n"/>
      <c r="AQ46" s="1170" t="n"/>
      <c r="AR46" s="1170" t="n"/>
      <c r="AS46" s="1170" t="n"/>
      <c r="AT46" s="1171" t="n"/>
      <c r="AU46" s="1172" t="n"/>
      <c r="AV46" s="1170" t="n"/>
      <c r="AW46" s="1170" t="n"/>
      <c r="AX46" s="1170" t="n"/>
      <c r="AY46" s="1170" t="n"/>
      <c r="AZ46" s="1170" t="n"/>
      <c r="BA46" s="1171" t="n"/>
      <c r="BB46" s="1172" t="n"/>
      <c r="BC46" s="1170" t="n"/>
      <c r="BD46" s="1170" t="n"/>
      <c r="BE46" s="1170" t="n"/>
      <c r="BF46" s="1170" t="n"/>
      <c r="BG46" s="1171" t="n"/>
      <c r="BH46" s="1172" t="n"/>
      <c r="BI46" s="1170" t="n"/>
      <c r="BJ46" s="1170" t="n"/>
      <c r="BK46" s="1170" t="n"/>
      <c r="BL46" s="1170" t="n"/>
      <c r="BM46" s="1171" t="n"/>
      <c r="BN46" s="1172" t="n"/>
      <c r="BO46" s="1170" t="n"/>
      <c r="BP46" s="1170" t="n"/>
      <c r="BQ46" s="1170" t="n"/>
      <c r="BR46" s="1170" t="n"/>
      <c r="BS46" s="1171" t="n"/>
      <c r="BT46" s="1172" t="n"/>
      <c r="BU46" s="1170" t="n"/>
      <c r="BV46" s="1170" t="n"/>
      <c r="BW46" s="1170" t="n"/>
      <c r="BX46" s="1170" t="n"/>
      <c r="BY46" s="1173" t="n"/>
    </row>
    <row r="47" ht="16.5" customHeight="1" s="838">
      <c r="B47" s="756" t="n"/>
      <c r="C47" s="738" t="n"/>
      <c r="D47" s="834" t="inlineStr">
        <is>
          <t>`26 목표</t>
        </is>
      </c>
      <c r="E47" s="1169" t="n">
        <v>0.8991083</v>
      </c>
      <c r="F47" s="1170" t="n">
        <v>0.8991083</v>
      </c>
      <c r="G47" s="1170" t="n">
        <v>0.8991083</v>
      </c>
      <c r="H47" s="1170" t="n">
        <v>0.8991083</v>
      </c>
      <c r="I47" s="1170" t="n">
        <v>0.8991083</v>
      </c>
      <c r="J47" s="1170" t="n">
        <v>0.8991083</v>
      </c>
      <c r="K47" s="1169" t="n">
        <v>0.71870461</v>
      </c>
      <c r="L47" s="1170" t="n">
        <v>0.71870461</v>
      </c>
      <c r="M47" s="1170" t="n">
        <v>0.71870461</v>
      </c>
      <c r="N47" s="1170" t="n">
        <v>0.71870461</v>
      </c>
      <c r="O47" s="1171" t="n">
        <v>0.71870461</v>
      </c>
      <c r="P47" s="1169" t="n">
        <v>0.91386733</v>
      </c>
      <c r="Q47" s="1170" t="n">
        <v>0.91386733</v>
      </c>
      <c r="R47" s="1170" t="n">
        <v>0.91386733</v>
      </c>
      <c r="S47" s="1170" t="n">
        <v>0.91386733</v>
      </c>
      <c r="T47" s="1170" t="n">
        <v>0.91386733</v>
      </c>
      <c r="U47" s="1170" t="n">
        <v>0.91386733</v>
      </c>
      <c r="V47" s="1169" t="n">
        <v>2.38919055</v>
      </c>
      <c r="W47" s="1170" t="n">
        <v>2.38919055</v>
      </c>
      <c r="X47" s="1170" t="n">
        <v>2.38919055</v>
      </c>
      <c r="Y47" s="1170" t="n">
        <v>2.38919055</v>
      </c>
      <c r="Z47" s="1170" t="n">
        <v>2.38919055</v>
      </c>
      <c r="AA47" s="1171" t="n">
        <v>2.38919055</v>
      </c>
      <c r="AB47" s="1169" t="n"/>
      <c r="AC47" s="1170" t="n"/>
      <c r="AD47" s="1170" t="n"/>
      <c r="AE47" s="1170" t="n"/>
      <c r="AF47" s="1170" t="n"/>
      <c r="AG47" s="1170" t="n"/>
      <c r="AH47" s="1171" t="n"/>
      <c r="AI47" s="1169" t="n"/>
      <c r="AJ47" s="1170" t="n"/>
      <c r="AK47" s="1170" t="n"/>
      <c r="AL47" s="1170" t="n"/>
      <c r="AM47" s="1170" t="n"/>
      <c r="AN47" s="1170" t="n"/>
      <c r="AO47" s="1172" t="n"/>
      <c r="AP47" s="1170" t="n"/>
      <c r="AQ47" s="1170" t="n"/>
      <c r="AR47" s="1170" t="n"/>
      <c r="AS47" s="1170" t="n"/>
      <c r="AT47" s="1171" t="n"/>
      <c r="AU47" s="1172" t="n"/>
      <c r="AV47" s="1170" t="n"/>
      <c r="AW47" s="1170" t="n"/>
      <c r="AX47" s="1170" t="n"/>
      <c r="AY47" s="1170" t="n"/>
      <c r="AZ47" s="1170" t="n"/>
      <c r="BA47" s="1171" t="n"/>
      <c r="BB47" s="1172" t="n"/>
      <c r="BC47" s="1170" t="n"/>
      <c r="BD47" s="1170" t="n"/>
      <c r="BE47" s="1170" t="n"/>
      <c r="BF47" s="1170" t="n"/>
      <c r="BG47" s="1171" t="n"/>
      <c r="BH47" s="1172" t="n"/>
      <c r="BI47" s="1170" t="n"/>
      <c r="BJ47" s="1170" t="n"/>
      <c r="BK47" s="1170" t="n"/>
      <c r="BL47" s="1170" t="n"/>
      <c r="BM47" s="1171" t="n"/>
      <c r="BN47" s="1172" t="n"/>
      <c r="BO47" s="1170" t="n"/>
      <c r="BP47" s="1170" t="n"/>
      <c r="BQ47" s="1170" t="n"/>
      <c r="BR47" s="1170" t="n"/>
      <c r="BS47" s="1171" t="n"/>
      <c r="BT47" s="1172" t="n"/>
      <c r="BU47" s="1170" t="n"/>
      <c r="BV47" s="1170" t="n"/>
      <c r="BW47" s="1170" t="n"/>
      <c r="BX47" s="1170" t="n"/>
      <c r="BY47" s="1173" t="n"/>
    </row>
    <row r="48" ht="17.25" customHeight="1" s="838" thickBot="1">
      <c r="B48" s="770" t="n"/>
      <c r="C48" s="753" t="n"/>
      <c r="D48" s="413" t="inlineStr">
        <is>
          <t>`26 실적</t>
        </is>
      </c>
      <c r="E48" s="1174" t="n">
        <v>0.94547835</v>
      </c>
      <c r="F48" s="1175" t="n">
        <v>0.7939517</v>
      </c>
      <c r="G48" s="1175" t="n">
        <v>0.7939517</v>
      </c>
      <c r="H48" s="1175" t="n">
        <v>0.7939517</v>
      </c>
      <c r="I48" s="1175" t="n">
        <v>0.7939517</v>
      </c>
      <c r="J48" s="1175" t="n">
        <v>0.7939517</v>
      </c>
      <c r="K48" s="1174" t="n">
        <v>0.95</v>
      </c>
      <c r="L48" s="1175" t="n">
        <v>0.95</v>
      </c>
      <c r="M48" s="1175" t="n">
        <v>0.95</v>
      </c>
      <c r="N48" s="1175" t="n">
        <v>2.13065015</v>
      </c>
      <c r="O48" s="1176" t="n">
        <v>1.10485655</v>
      </c>
      <c r="P48" s="1174" t="n">
        <v>0.76347474</v>
      </c>
      <c r="Q48" s="1175" t="n">
        <v>1.84384121</v>
      </c>
      <c r="R48" s="1175" t="n">
        <v>1.84384121</v>
      </c>
      <c r="S48" s="1175" t="n">
        <v>1.84384121</v>
      </c>
      <c r="T48" s="1175" t="n">
        <v>1.18475051</v>
      </c>
      <c r="U48" s="1175" t="n">
        <v>1.84384121</v>
      </c>
      <c r="V48" s="1174" t="n">
        <v>0.72885805</v>
      </c>
      <c r="W48" s="1175" t="n">
        <v>1.55143574</v>
      </c>
      <c r="X48" s="1175" t="n">
        <v>1.55143574</v>
      </c>
      <c r="Y48" s="1175" t="n">
        <v>1.55143574</v>
      </c>
      <c r="Z48" s="1175" t="n">
        <v>1.55143574</v>
      </c>
      <c r="AA48" s="1176" t="n">
        <v>2.07556078</v>
      </c>
      <c r="AB48" s="1174" t="n"/>
      <c r="AC48" s="1175" t="n"/>
      <c r="AD48" s="1175" t="n"/>
      <c r="AE48" s="1175" t="n"/>
      <c r="AF48" s="1175" t="n"/>
      <c r="AG48" s="1175" t="n"/>
      <c r="AH48" s="1176" t="n"/>
      <c r="AI48" s="1174" t="n"/>
      <c r="AJ48" s="1175" t="n"/>
      <c r="AK48" s="1175" t="n"/>
      <c r="AL48" s="1175" t="n"/>
      <c r="AM48" s="1175" t="n"/>
      <c r="AN48" s="1175" t="n"/>
      <c r="AO48" s="1177" t="n"/>
      <c r="AP48" s="1175" t="n"/>
      <c r="AQ48" s="1175" t="n"/>
      <c r="AR48" s="1175" t="n"/>
      <c r="AS48" s="1175" t="n"/>
      <c r="AT48" s="1176" t="n"/>
      <c r="AU48" s="1177" t="n"/>
      <c r="AV48" s="1175" t="n"/>
      <c r="AW48" s="1175" t="n"/>
      <c r="AX48" s="1175" t="n"/>
      <c r="AY48" s="1175" t="n"/>
      <c r="AZ48" s="1175" t="n"/>
      <c r="BA48" s="1176" t="n"/>
      <c r="BB48" s="1177" t="n"/>
      <c r="BC48" s="1175" t="n"/>
      <c r="BD48" s="1175" t="n"/>
      <c r="BE48" s="1175" t="n"/>
      <c r="BF48" s="1175" t="n"/>
      <c r="BG48" s="1176" t="n"/>
      <c r="BH48" s="1177" t="n"/>
      <c r="BI48" s="1175" t="n"/>
      <c r="BJ48" s="1175" t="n"/>
      <c r="BK48" s="1175" t="n"/>
      <c r="BL48" s="1175" t="n"/>
      <c r="BM48" s="1166" t="n"/>
      <c r="BN48" s="1167" t="n"/>
      <c r="BO48" s="1165" t="n"/>
      <c r="BP48" s="1165" t="n"/>
      <c r="BQ48" s="1165" t="n"/>
      <c r="BR48" s="1165" t="n"/>
      <c r="BS48" s="1166" t="n"/>
      <c r="BT48" s="1167" t="n"/>
      <c r="BU48" s="1165" t="n"/>
      <c r="BV48" s="1165" t="n"/>
      <c r="BW48" s="1165" t="n"/>
      <c r="BX48" s="1165" t="n"/>
      <c r="BY48" s="1168" t="n"/>
    </row>
    <row r="49" ht="16.5" customHeight="1" s="838">
      <c r="B49" s="779" t="inlineStr">
        <is>
          <t>창고</t>
        </is>
      </c>
      <c r="C49" s="832" t="inlineStr">
        <is>
          <t>개선금액(원)</t>
        </is>
      </c>
      <c r="D49" s="419" t="inlineStr">
        <is>
          <t>`26 목표</t>
        </is>
      </c>
      <c r="E49" s="960">
        <f>E51*E$1/10^2</f>
        <v/>
      </c>
      <c r="F49" s="961">
        <f>F51*F$1/10^2</f>
        <v/>
      </c>
      <c r="G49" s="961">
        <f>G51*G$1/10^2</f>
        <v/>
      </c>
      <c r="H49" s="961">
        <f>H51*H$1/10^2</f>
        <v/>
      </c>
      <c r="I49" s="961">
        <f>I51*I$1/10^2</f>
        <v/>
      </c>
      <c r="J49" s="961">
        <f>J51*J$1/10^2</f>
        <v/>
      </c>
      <c r="K49" s="960">
        <f>K51*K$1/10^2</f>
        <v/>
      </c>
      <c r="L49" s="961">
        <f>L51*L$1/10^2</f>
        <v/>
      </c>
      <c r="M49" s="961">
        <f>M51*M$1/10^2</f>
        <v/>
      </c>
      <c r="N49" s="961">
        <f>N51*N$1/10^2</f>
        <v/>
      </c>
      <c r="O49" s="967">
        <f>O51*O$1/10^2</f>
        <v/>
      </c>
      <c r="P49" s="960">
        <f>P51*P$1/10^2</f>
        <v/>
      </c>
      <c r="Q49" s="961">
        <f>Q51*Q$1/10^2</f>
        <v/>
      </c>
      <c r="R49" s="961">
        <f>R51*R$1/10^2</f>
        <v/>
      </c>
      <c r="S49" s="961">
        <f>S51*S$1/10^2</f>
        <v/>
      </c>
      <c r="T49" s="961">
        <f>T51*T$1/10^2</f>
        <v/>
      </c>
      <c r="U49" s="961">
        <f>U51*U$1/10^2</f>
        <v/>
      </c>
      <c r="V49" s="960">
        <f>V51*V$1/10^2</f>
        <v/>
      </c>
      <c r="W49" s="961">
        <f>W51*W$1/10^2</f>
        <v/>
      </c>
      <c r="X49" s="961">
        <f>X51*X$1/10^2</f>
        <v/>
      </c>
      <c r="Y49" s="961">
        <f>Y51*Y$1/10^2</f>
        <v/>
      </c>
      <c r="Z49" s="961">
        <f>Z51*Z$1/10^2</f>
        <v/>
      </c>
      <c r="AA49" s="967">
        <f>AA51*AA$1/10^2</f>
        <v/>
      </c>
      <c r="AB49" s="960" t="n"/>
      <c r="AC49" s="961" t="n"/>
      <c r="AD49" s="961" t="n"/>
      <c r="AE49" s="961" t="n"/>
      <c r="AF49" s="961" t="n"/>
      <c r="AG49" s="961" t="n"/>
      <c r="AH49" s="967" t="n"/>
      <c r="AI49" s="960" t="n"/>
      <c r="AJ49" s="961" t="n"/>
      <c r="AK49" s="961" t="n"/>
      <c r="AL49" s="961" t="n"/>
      <c r="AM49" s="961" t="n"/>
      <c r="AN49" s="961" t="n"/>
      <c r="AO49" s="968" t="n"/>
      <c r="AP49" s="961" t="n"/>
      <c r="AQ49" s="961" t="n"/>
      <c r="AR49" s="961" t="n"/>
      <c r="AS49" s="961" t="n"/>
      <c r="AT49" s="967" t="n"/>
      <c r="AU49" s="968" t="n"/>
      <c r="AV49" s="961" t="n"/>
      <c r="AW49" s="961" t="n"/>
      <c r="AX49" s="961" t="n"/>
      <c r="AY49" s="961" t="n"/>
      <c r="AZ49" s="961" t="n"/>
      <c r="BA49" s="967" t="n"/>
      <c r="BB49" s="968" t="n"/>
      <c r="BC49" s="961" t="n"/>
      <c r="BD49" s="961" t="n"/>
      <c r="BE49" s="961" t="n"/>
      <c r="BF49" s="961" t="n"/>
      <c r="BG49" s="967" t="n"/>
      <c r="BH49" s="968" t="n"/>
      <c r="BI49" s="961" t="n"/>
      <c r="BJ49" s="961" t="n"/>
      <c r="BK49" s="961" t="n"/>
      <c r="BL49" s="961" t="n"/>
      <c r="BM49" s="967" t="n"/>
      <c r="BN49" s="968" t="n"/>
      <c r="BO49" s="961" t="n"/>
      <c r="BP49" s="961" t="n"/>
      <c r="BQ49" s="961" t="n"/>
      <c r="BR49" s="961" t="n"/>
      <c r="BS49" s="967" t="n"/>
      <c r="BT49" s="968" t="n"/>
      <c r="BU49" s="961" t="n"/>
      <c r="BV49" s="961" t="n"/>
      <c r="BW49" s="961" t="n"/>
      <c r="BX49" s="961" t="n"/>
      <c r="BY49" s="972" t="n"/>
    </row>
    <row r="50" ht="16.5" customHeight="1" s="838">
      <c r="B50" s="756" t="n"/>
      <c r="C50" s="738" t="n"/>
      <c r="D50" s="834" t="inlineStr">
        <is>
          <t>`26 실적</t>
        </is>
      </c>
      <c r="E50" s="962">
        <f>E52*E$2/10^2</f>
        <v/>
      </c>
      <c r="F50" s="963">
        <f>F52*F$2/10^2</f>
        <v/>
      </c>
      <c r="G50" s="963">
        <f>G52*G$2/10^2</f>
        <v/>
      </c>
      <c r="H50" s="963">
        <f>H52*H$2/10^2</f>
        <v/>
      </c>
      <c r="I50" s="963">
        <f>I52*I$2/10^2</f>
        <v/>
      </c>
      <c r="J50" s="963">
        <f>J52*J$2/10^2</f>
        <v/>
      </c>
      <c r="K50" s="962">
        <f>K52*K$2/10^2</f>
        <v/>
      </c>
      <c r="L50" s="963">
        <f>L52*L$2/10^2</f>
        <v/>
      </c>
      <c r="M50" s="963">
        <f>M52*M$2/10^2</f>
        <v/>
      </c>
      <c r="N50" s="963">
        <f>N52*N$2/10^2</f>
        <v/>
      </c>
      <c r="O50" s="964">
        <f>O52*O$2/10^2</f>
        <v/>
      </c>
      <c r="P50" s="962">
        <f>P52*P$2/10^2</f>
        <v/>
      </c>
      <c r="Q50" s="963">
        <f>Q52*Q$2/10^2</f>
        <v/>
      </c>
      <c r="R50" s="963">
        <f>R52*R$2/10^2</f>
        <v/>
      </c>
      <c r="S50" s="963">
        <f>S52*S$2/10^2</f>
        <v/>
      </c>
      <c r="T50" s="963">
        <f>T52*T$2/10^2</f>
        <v/>
      </c>
      <c r="U50" s="963">
        <f>U52*U$2/10^2</f>
        <v/>
      </c>
      <c r="V50" s="962">
        <f>V52*V$2/10^2</f>
        <v/>
      </c>
      <c r="W50" s="963">
        <f>W52*W$2/10^2</f>
        <v/>
      </c>
      <c r="X50" s="963">
        <f>X52*X$2/10^2</f>
        <v/>
      </c>
      <c r="Y50" s="963">
        <f>Y52*Y$2/10^2</f>
        <v/>
      </c>
      <c r="Z50" s="963">
        <f>Z52*Z$2/10^2</f>
        <v/>
      </c>
      <c r="AA50" s="964">
        <f>AA52*AA$2/10^2</f>
        <v/>
      </c>
      <c r="AB50" s="962" t="n"/>
      <c r="AC50" s="963" t="n"/>
      <c r="AD50" s="963" t="n"/>
      <c r="AE50" s="963" t="n"/>
      <c r="AF50" s="963" t="n"/>
      <c r="AG50" s="963" t="n"/>
      <c r="AH50" s="964" t="n"/>
      <c r="AI50" s="962" t="n"/>
      <c r="AJ50" s="963" t="n"/>
      <c r="AK50" s="963" t="n"/>
      <c r="AL50" s="963" t="n"/>
      <c r="AM50" s="963" t="n"/>
      <c r="AN50" s="963" t="n"/>
      <c r="AO50" s="977" t="n"/>
      <c r="AP50" s="963" t="n"/>
      <c r="AQ50" s="963" t="n"/>
      <c r="AR50" s="963" t="n"/>
      <c r="AS50" s="963" t="n"/>
      <c r="AT50" s="964" t="n"/>
      <c r="AU50" s="977" t="n"/>
      <c r="AV50" s="963" t="n"/>
      <c r="AW50" s="963" t="n"/>
      <c r="AX50" s="963" t="n"/>
      <c r="AY50" s="963" t="n"/>
      <c r="AZ50" s="963" t="n"/>
      <c r="BA50" s="964" t="n"/>
      <c r="BB50" s="977" t="n"/>
      <c r="BC50" s="963" t="n"/>
      <c r="BD50" s="963" t="n"/>
      <c r="BE50" s="963" t="n"/>
      <c r="BF50" s="963" t="n"/>
      <c r="BG50" s="964" t="n"/>
      <c r="BH50" s="977" t="n"/>
      <c r="BI50" s="963" t="n"/>
      <c r="BJ50" s="963" t="n"/>
      <c r="BK50" s="963" t="n"/>
      <c r="BL50" s="963" t="n"/>
      <c r="BM50" s="964" t="n"/>
      <c r="BN50" s="977" t="n"/>
      <c r="BO50" s="963" t="n"/>
      <c r="BP50" s="963" t="n"/>
      <c r="BQ50" s="963" t="n"/>
      <c r="BR50" s="963" t="n"/>
      <c r="BS50" s="964" t="n"/>
      <c r="BT50" s="977" t="n"/>
      <c r="BU50" s="963" t="n"/>
      <c r="BV50" s="963" t="n"/>
      <c r="BW50" s="963" t="n"/>
      <c r="BX50" s="963" t="n"/>
      <c r="BY50" s="981" t="n"/>
    </row>
    <row r="51" ht="16.5" customHeight="1" s="838">
      <c r="B51" s="756" t="n"/>
      <c r="C51" s="827" t="inlineStr">
        <is>
          <t>개선금액($)</t>
        </is>
      </c>
      <c r="D51" s="406" t="inlineStr">
        <is>
          <t>`26 목표</t>
        </is>
      </c>
      <c r="E51" s="982">
        <f>(E53-E54)*E7</f>
        <v/>
      </c>
      <c r="F51" s="983">
        <f>(F53-F54)*F7</f>
        <v/>
      </c>
      <c r="G51" s="983">
        <f>(G53-G54)*G7</f>
        <v/>
      </c>
      <c r="H51" s="983">
        <f>(H53-H54)*H7</f>
        <v/>
      </c>
      <c r="I51" s="983">
        <f>(I53-I54)*I7</f>
        <v/>
      </c>
      <c r="J51" s="983">
        <f>(J53-J54)*J7</f>
        <v/>
      </c>
      <c r="K51" s="982">
        <f>(K53-K54)*K7</f>
        <v/>
      </c>
      <c r="L51" s="983">
        <f>(L53-L54)*L7</f>
        <v/>
      </c>
      <c r="M51" s="983">
        <f>(M53-M54)*M7</f>
        <v/>
      </c>
      <c r="N51" s="983">
        <f>(N53-N54)*N7</f>
        <v/>
      </c>
      <c r="O51" s="984">
        <f>(O53-O54)*O7</f>
        <v/>
      </c>
      <c r="P51" s="982">
        <f>(P53-P54)*P7</f>
        <v/>
      </c>
      <c r="Q51" s="983">
        <f>(Q53-Q54)*Q7</f>
        <v/>
      </c>
      <c r="R51" s="983">
        <f>(R53-R54)*R7</f>
        <v/>
      </c>
      <c r="S51" s="983">
        <f>(S53-S54)*S7</f>
        <v/>
      </c>
      <c r="T51" s="983">
        <f>(T53-T54)*T7</f>
        <v/>
      </c>
      <c r="U51" s="983">
        <f>(U53-U54)*U7</f>
        <v/>
      </c>
      <c r="V51" s="982">
        <f>(V53-V54)*V7</f>
        <v/>
      </c>
      <c r="W51" s="983">
        <f>(W53-W54)*W7</f>
        <v/>
      </c>
      <c r="X51" s="983">
        <f>(X53-X54)*X7</f>
        <v/>
      </c>
      <c r="Y51" s="983">
        <f>(Y53-Y54)*Y7</f>
        <v/>
      </c>
      <c r="Z51" s="983">
        <f>(Z53-Z54)*Z7</f>
        <v/>
      </c>
      <c r="AA51" s="984">
        <f>(AA53-AA54)*AA7</f>
        <v/>
      </c>
      <c r="AB51" s="982" t="n"/>
      <c r="AC51" s="983" t="n"/>
      <c r="AD51" s="983" t="n"/>
      <c r="AE51" s="983" t="n"/>
      <c r="AF51" s="983" t="n"/>
      <c r="AG51" s="983" t="n"/>
      <c r="AH51" s="984" t="n"/>
      <c r="AI51" s="982" t="n"/>
      <c r="AJ51" s="983" t="n"/>
      <c r="AK51" s="983" t="n"/>
      <c r="AL51" s="983" t="n"/>
      <c r="AM51" s="983" t="n"/>
      <c r="AN51" s="983" t="n"/>
      <c r="AO51" s="987" t="n"/>
      <c r="AP51" s="983" t="n"/>
      <c r="AQ51" s="983" t="n"/>
      <c r="AR51" s="983" t="n"/>
      <c r="AS51" s="983" t="n"/>
      <c r="AT51" s="984" t="n"/>
      <c r="AU51" s="987" t="n"/>
      <c r="AV51" s="983" t="n"/>
      <c r="AW51" s="983" t="n"/>
      <c r="AX51" s="983" t="n"/>
      <c r="AY51" s="983" t="n"/>
      <c r="AZ51" s="983" t="n"/>
      <c r="BA51" s="984" t="n"/>
      <c r="BB51" s="987" t="n"/>
      <c r="BC51" s="983" t="n"/>
      <c r="BD51" s="983" t="n"/>
      <c r="BE51" s="983" t="n"/>
      <c r="BF51" s="983" t="n"/>
      <c r="BG51" s="984" t="n"/>
      <c r="BH51" s="987" t="n"/>
      <c r="BI51" s="983" t="n"/>
      <c r="BJ51" s="983" t="n"/>
      <c r="BK51" s="983" t="n"/>
      <c r="BL51" s="983" t="n"/>
      <c r="BM51" s="984" t="n"/>
      <c r="BN51" s="987" t="n"/>
      <c r="BO51" s="983" t="n"/>
      <c r="BP51" s="983" t="n"/>
      <c r="BQ51" s="983" t="n"/>
      <c r="BR51" s="983" t="n"/>
      <c r="BS51" s="984" t="n"/>
      <c r="BT51" s="987" t="n"/>
      <c r="BU51" s="983" t="n"/>
      <c r="BV51" s="983" t="n"/>
      <c r="BW51" s="983" t="n"/>
      <c r="BX51" s="983" t="n"/>
      <c r="BY51" s="991" t="n"/>
    </row>
    <row r="52" ht="16.5" customHeight="1" s="838">
      <c r="B52" s="756" t="n"/>
      <c r="C52" s="739" t="n"/>
      <c r="D52" s="407" t="inlineStr">
        <is>
          <t>`26 실적</t>
        </is>
      </c>
      <c r="E52" s="973">
        <f>(E53-E55)*E8</f>
        <v/>
      </c>
      <c r="F52" s="974">
        <f>(F53-F55)*F8</f>
        <v/>
      </c>
      <c r="G52" s="974">
        <f>(G53-G55)*G8</f>
        <v/>
      </c>
      <c r="H52" s="974">
        <f>(H53-H55)*H8</f>
        <v/>
      </c>
      <c r="I52" s="974">
        <f>(I53-I55)*I8</f>
        <v/>
      </c>
      <c r="J52" s="974">
        <f>(J53-J55)*J8</f>
        <v/>
      </c>
      <c r="K52" s="973">
        <f>(K53-K55)*K8</f>
        <v/>
      </c>
      <c r="L52" s="974">
        <f>(L53-L55)*L8</f>
        <v/>
      </c>
      <c r="M52" s="974">
        <f>(M53-M55)*M8</f>
        <v/>
      </c>
      <c r="N52" s="974">
        <f>(N53-N55)*N8</f>
        <v/>
      </c>
      <c r="O52" s="975">
        <f>(O53-O55)*O8</f>
        <v/>
      </c>
      <c r="P52" s="973">
        <f>(P53-P55)*P8</f>
        <v/>
      </c>
      <c r="Q52" s="974">
        <f>(Q53-Q55)*Q8</f>
        <v/>
      </c>
      <c r="R52" s="974">
        <f>(R53-R55)*R8</f>
        <v/>
      </c>
      <c r="S52" s="974">
        <f>(S53-S55)*S8</f>
        <v/>
      </c>
      <c r="T52" s="974">
        <f>(T53-T55)*T8</f>
        <v/>
      </c>
      <c r="U52" s="974">
        <f>(U53-U55)*U8</f>
        <v/>
      </c>
      <c r="V52" s="973">
        <f>(V53-V55)*V8</f>
        <v/>
      </c>
      <c r="W52" s="974">
        <f>(W53-W55)*W8</f>
        <v/>
      </c>
      <c r="X52" s="974">
        <f>(X53-X55)*X8</f>
        <v/>
      </c>
      <c r="Y52" s="974">
        <f>(Y53-Y55)*Y8</f>
        <v/>
      </c>
      <c r="Z52" s="974">
        <f>(Z53-Z55)*Z8</f>
        <v/>
      </c>
      <c r="AA52" s="975">
        <f>(AA53-AA55)*AA8</f>
        <v/>
      </c>
      <c r="AB52" s="973" t="n"/>
      <c r="AC52" s="974" t="n"/>
      <c r="AD52" s="974" t="n"/>
      <c r="AE52" s="974" t="n"/>
      <c r="AF52" s="974" t="n"/>
      <c r="AG52" s="974" t="n"/>
      <c r="AH52" s="975" t="n"/>
      <c r="AI52" s="973" t="n"/>
      <c r="AJ52" s="974" t="n"/>
      <c r="AK52" s="974" t="n"/>
      <c r="AL52" s="974" t="n"/>
      <c r="AM52" s="974" t="n"/>
      <c r="AN52" s="974" t="n"/>
      <c r="AO52" s="994" t="n"/>
      <c r="AP52" s="974" t="n"/>
      <c r="AQ52" s="974" t="n"/>
      <c r="AR52" s="974" t="n"/>
      <c r="AS52" s="974" t="n"/>
      <c r="AT52" s="975" t="n"/>
      <c r="AU52" s="994" t="n"/>
      <c r="AV52" s="974" t="n"/>
      <c r="AW52" s="974" t="n"/>
      <c r="AX52" s="974" t="n"/>
      <c r="AY52" s="974" t="n"/>
      <c r="AZ52" s="974" t="n"/>
      <c r="BA52" s="975" t="n"/>
      <c r="BB52" s="994" t="n"/>
      <c r="BC52" s="974" t="n"/>
      <c r="BD52" s="974" t="n"/>
      <c r="BE52" s="974" t="n"/>
      <c r="BF52" s="974" t="n"/>
      <c r="BG52" s="975" t="n"/>
      <c r="BH52" s="994" t="n"/>
      <c r="BI52" s="974" t="n"/>
      <c r="BJ52" s="974" t="n"/>
      <c r="BK52" s="974" t="n"/>
      <c r="BL52" s="974" t="n"/>
      <c r="BM52" s="975" t="n"/>
      <c r="BN52" s="994" t="n"/>
      <c r="BO52" s="974" t="n"/>
      <c r="BP52" s="974" t="n"/>
      <c r="BQ52" s="974" t="n"/>
      <c r="BR52" s="974" t="n"/>
      <c r="BS52" s="975" t="n"/>
      <c r="BT52" s="994" t="n"/>
      <c r="BU52" s="974" t="n"/>
      <c r="BV52" s="974" t="n"/>
      <c r="BW52" s="974" t="n"/>
      <c r="BX52" s="974" t="n"/>
      <c r="BY52" s="998" t="n"/>
    </row>
    <row r="53" ht="16.5" customHeight="1" s="838">
      <c r="B53" s="756" t="n"/>
      <c r="C53" s="737" t="inlineStr">
        <is>
          <t>물류비율</t>
        </is>
      </c>
      <c r="D53" s="406" t="inlineStr">
        <is>
          <t>`25 실적</t>
        </is>
      </c>
      <c r="E53" s="1159">
        <f>E56/E6</f>
        <v/>
      </c>
      <c r="F53" s="1160">
        <f>F56/F6</f>
        <v/>
      </c>
      <c r="G53" s="1160">
        <f>G56/G6</f>
        <v/>
      </c>
      <c r="H53" s="1160">
        <f>H56/H6</f>
        <v/>
      </c>
      <c r="I53" s="1160">
        <f>I56/I6</f>
        <v/>
      </c>
      <c r="J53" s="1160">
        <f>J56/J6</f>
        <v/>
      </c>
      <c r="K53" s="1159">
        <f>K56/K6</f>
        <v/>
      </c>
      <c r="L53" s="1160">
        <f>L56/L6</f>
        <v/>
      </c>
      <c r="M53" s="1160">
        <f>M56/M6</f>
        <v/>
      </c>
      <c r="N53" s="1160">
        <f>N56/N6</f>
        <v/>
      </c>
      <c r="O53" s="1161">
        <f>O56/O6</f>
        <v/>
      </c>
      <c r="P53" s="1159">
        <f>P56/P6</f>
        <v/>
      </c>
      <c r="Q53" s="1160">
        <f>Q56/Q6</f>
        <v/>
      </c>
      <c r="R53" s="1160">
        <f>R56/R6</f>
        <v/>
      </c>
      <c r="S53" s="1160">
        <f>S56/S6</f>
        <v/>
      </c>
      <c r="T53" s="1160">
        <f>T56/T6</f>
        <v/>
      </c>
      <c r="U53" s="1160">
        <f>U56/U6</f>
        <v/>
      </c>
      <c r="V53" s="1159">
        <f>V56/V6</f>
        <v/>
      </c>
      <c r="W53" s="1160">
        <f>W56/W6</f>
        <v/>
      </c>
      <c r="X53" s="1160">
        <f>X56/X6</f>
        <v/>
      </c>
      <c r="Y53" s="1160">
        <f>Y56/Y6</f>
        <v/>
      </c>
      <c r="Z53" s="1160">
        <f>Z56/Z6</f>
        <v/>
      </c>
      <c r="AA53" s="1161">
        <f>AA56/AA6</f>
        <v/>
      </c>
      <c r="AB53" s="1159" t="n"/>
      <c r="AC53" s="1160" t="n"/>
      <c r="AD53" s="1160" t="n"/>
      <c r="AE53" s="1160" t="n"/>
      <c r="AF53" s="1160" t="n"/>
      <c r="AG53" s="1160" t="n"/>
      <c r="AH53" s="1161" t="n"/>
      <c r="AI53" s="1159" t="n"/>
      <c r="AJ53" s="1160" t="n"/>
      <c r="AK53" s="1160" t="n"/>
      <c r="AL53" s="1160" t="n"/>
      <c r="AM53" s="1160" t="n"/>
      <c r="AN53" s="1160" t="n"/>
      <c r="AO53" s="1162" t="n"/>
      <c r="AP53" s="1160" t="n"/>
      <c r="AQ53" s="1160" t="n"/>
      <c r="AR53" s="1160" t="n"/>
      <c r="AS53" s="1160" t="n"/>
      <c r="AT53" s="1161" t="n"/>
      <c r="AU53" s="1162" t="n"/>
      <c r="AV53" s="1160" t="n"/>
      <c r="AW53" s="1160" t="n"/>
      <c r="AX53" s="1160" t="n"/>
      <c r="AY53" s="1160" t="n"/>
      <c r="AZ53" s="1160" t="n"/>
      <c r="BA53" s="1161" t="n"/>
      <c r="BB53" s="1162" t="n"/>
      <c r="BC53" s="1160" t="n"/>
      <c r="BD53" s="1160" t="n"/>
      <c r="BE53" s="1160" t="n"/>
      <c r="BF53" s="1160" t="n"/>
      <c r="BG53" s="1161" t="n"/>
      <c r="BH53" s="1162" t="n"/>
      <c r="BI53" s="1160" t="n"/>
      <c r="BJ53" s="1160" t="n"/>
      <c r="BK53" s="1160" t="n"/>
      <c r="BL53" s="1160" t="n"/>
      <c r="BM53" s="1161" t="n"/>
      <c r="BN53" s="1162" t="n"/>
      <c r="BO53" s="1160" t="n"/>
      <c r="BP53" s="1160" t="n"/>
      <c r="BQ53" s="1160" t="n"/>
      <c r="BR53" s="1160" t="n"/>
      <c r="BS53" s="1161" t="n"/>
      <c r="BT53" s="1162" t="n"/>
      <c r="BU53" s="1160" t="n"/>
      <c r="BV53" s="1160" t="n"/>
      <c r="BW53" s="1160" t="n"/>
      <c r="BX53" s="1160" t="n"/>
      <c r="BY53" s="1163" t="n"/>
    </row>
    <row r="54" ht="16.5" customHeight="1" s="838">
      <c r="B54" s="756" t="n"/>
      <c r="C54" s="738" t="n"/>
      <c r="D54" s="834" t="inlineStr">
        <is>
          <t>`26 목표</t>
        </is>
      </c>
      <c r="E54" s="1036">
        <f>E57/E7</f>
        <v/>
      </c>
      <c r="F54" s="931">
        <f>F57/F7</f>
        <v/>
      </c>
      <c r="G54" s="931">
        <f>G57/G7</f>
        <v/>
      </c>
      <c r="H54" s="931">
        <f>H57/H7</f>
        <v/>
      </c>
      <c r="I54" s="931">
        <f>I57/I7</f>
        <v/>
      </c>
      <c r="J54" s="931">
        <f>J57/J7</f>
        <v/>
      </c>
      <c r="K54" s="1036">
        <f>K57/K7</f>
        <v/>
      </c>
      <c r="L54" s="931">
        <f>L57/L7</f>
        <v/>
      </c>
      <c r="M54" s="931">
        <f>M57/M7</f>
        <v/>
      </c>
      <c r="N54" s="931">
        <f>N57/N7</f>
        <v/>
      </c>
      <c r="O54" s="938">
        <f>O57/O7</f>
        <v/>
      </c>
      <c r="P54" s="1036">
        <f>P57/P7</f>
        <v/>
      </c>
      <c r="Q54" s="931">
        <f>Q57/Q7</f>
        <v/>
      </c>
      <c r="R54" s="931">
        <f>R57/R7</f>
        <v/>
      </c>
      <c r="S54" s="931">
        <f>S57/S7</f>
        <v/>
      </c>
      <c r="T54" s="931">
        <f>T57/T7</f>
        <v/>
      </c>
      <c r="U54" s="931">
        <f>U57/U7</f>
        <v/>
      </c>
      <c r="V54" s="1036">
        <f>V57/V7</f>
        <v/>
      </c>
      <c r="W54" s="931">
        <f>W57/W7</f>
        <v/>
      </c>
      <c r="X54" s="931">
        <f>X57/X7</f>
        <v/>
      </c>
      <c r="Y54" s="931">
        <f>Y57/Y7</f>
        <v/>
      </c>
      <c r="Z54" s="931">
        <f>Z57/Z7</f>
        <v/>
      </c>
      <c r="AA54" s="938">
        <f>AA57/AA7</f>
        <v/>
      </c>
      <c r="AB54" s="1036" t="n"/>
      <c r="AC54" s="931" t="n"/>
      <c r="AD54" s="931" t="n"/>
      <c r="AE54" s="931" t="n"/>
      <c r="AF54" s="931" t="n"/>
      <c r="AG54" s="931" t="n"/>
      <c r="AH54" s="938" t="n"/>
      <c r="AI54" s="1036" t="n"/>
      <c r="AJ54" s="931" t="n"/>
      <c r="AK54" s="931" t="n"/>
      <c r="AL54" s="931" t="n"/>
      <c r="AM54" s="931" t="n"/>
      <c r="AN54" s="931" t="n"/>
      <c r="AO54" s="929" t="n"/>
      <c r="AP54" s="931" t="n"/>
      <c r="AQ54" s="931" t="n"/>
      <c r="AR54" s="931" t="n"/>
      <c r="AS54" s="931" t="n"/>
      <c r="AT54" s="938" t="n"/>
      <c r="AU54" s="929" t="n"/>
      <c r="AV54" s="931" t="n"/>
      <c r="AW54" s="931" t="n"/>
      <c r="AX54" s="931" t="n"/>
      <c r="AY54" s="931" t="n"/>
      <c r="AZ54" s="931" t="n"/>
      <c r="BA54" s="938" t="n"/>
      <c r="BB54" s="929" t="n"/>
      <c r="BC54" s="931" t="n"/>
      <c r="BD54" s="931" t="n"/>
      <c r="BE54" s="931" t="n"/>
      <c r="BF54" s="931" t="n"/>
      <c r="BG54" s="938" t="n"/>
      <c r="BH54" s="929" t="n"/>
      <c r="BI54" s="931" t="n"/>
      <c r="BJ54" s="931" t="n"/>
      <c r="BK54" s="931" t="n"/>
      <c r="BL54" s="931" t="n"/>
      <c r="BM54" s="938" t="n"/>
      <c r="BN54" s="929" t="n"/>
      <c r="BO54" s="931" t="n"/>
      <c r="BP54" s="931" t="n"/>
      <c r="BQ54" s="931" t="n"/>
      <c r="BR54" s="931" t="n"/>
      <c r="BS54" s="938" t="n"/>
      <c r="BT54" s="929" t="n"/>
      <c r="BU54" s="931" t="n"/>
      <c r="BV54" s="931" t="n"/>
      <c r="BW54" s="931" t="n"/>
      <c r="BX54" s="931" t="n"/>
      <c r="BY54" s="939" t="n"/>
    </row>
    <row r="55" ht="16.5" customHeight="1" s="838">
      <c r="B55" s="756" t="n"/>
      <c r="C55" s="739" t="n"/>
      <c r="D55" s="407" t="inlineStr">
        <is>
          <t>`26 실적</t>
        </is>
      </c>
      <c r="E55" s="1075">
        <f>E58/E8</f>
        <v/>
      </c>
      <c r="F55" s="922">
        <f>F58/F8</f>
        <v/>
      </c>
      <c r="G55" s="922">
        <f>G58/G8</f>
        <v/>
      </c>
      <c r="H55" s="922">
        <f>H58/H8</f>
        <v/>
      </c>
      <c r="I55" s="922">
        <f>I58/I8</f>
        <v/>
      </c>
      <c r="J55" s="922">
        <f>J58/J8</f>
        <v/>
      </c>
      <c r="K55" s="1075">
        <f>K58/K8</f>
        <v/>
      </c>
      <c r="L55" s="922">
        <f>L58/L8</f>
        <v/>
      </c>
      <c r="M55" s="922">
        <f>M58/M8</f>
        <v/>
      </c>
      <c r="N55" s="922">
        <f>N58/N8</f>
        <v/>
      </c>
      <c r="O55" s="923">
        <f>O58/O8</f>
        <v/>
      </c>
      <c r="P55" s="1075">
        <f>P58/P8</f>
        <v/>
      </c>
      <c r="Q55" s="922">
        <f>Q58/Q8</f>
        <v/>
      </c>
      <c r="R55" s="922">
        <f>R58/R8</f>
        <v/>
      </c>
      <c r="S55" s="922">
        <f>S58/S8</f>
        <v/>
      </c>
      <c r="T55" s="922">
        <f>T58/T8</f>
        <v/>
      </c>
      <c r="U55" s="922">
        <f>U58/U8</f>
        <v/>
      </c>
      <c r="V55" s="1075">
        <f>V58/V8</f>
        <v/>
      </c>
      <c r="W55" s="922">
        <f>W58/W8</f>
        <v/>
      </c>
      <c r="X55" s="922">
        <f>X58/X8</f>
        <v/>
      </c>
      <c r="Y55" s="922">
        <f>Y58/Y8</f>
        <v/>
      </c>
      <c r="Z55" s="922">
        <f>Z58/Z8</f>
        <v/>
      </c>
      <c r="AA55" s="923">
        <f>AA58/AA8</f>
        <v/>
      </c>
      <c r="AB55" s="1075" t="n"/>
      <c r="AC55" s="922" t="n"/>
      <c r="AD55" s="922" t="n"/>
      <c r="AE55" s="922" t="n"/>
      <c r="AF55" s="922" t="n"/>
      <c r="AG55" s="922" t="n"/>
      <c r="AH55" s="923" t="n"/>
      <c r="AI55" s="1075" t="n"/>
      <c r="AJ55" s="922" t="n"/>
      <c r="AK55" s="922" t="n"/>
      <c r="AL55" s="922" t="n"/>
      <c r="AM55" s="922" t="n"/>
      <c r="AN55" s="922" t="n"/>
      <c r="AO55" s="921" t="n"/>
      <c r="AP55" s="922" t="n"/>
      <c r="AQ55" s="922" t="n"/>
      <c r="AR55" s="922" t="n"/>
      <c r="AS55" s="922" t="n"/>
      <c r="AT55" s="923" t="n"/>
      <c r="AU55" s="921" t="n"/>
      <c r="AV55" s="922" t="n"/>
      <c r="AW55" s="922" t="n"/>
      <c r="AX55" s="922" t="n"/>
      <c r="AY55" s="922" t="n"/>
      <c r="AZ55" s="922" t="n"/>
      <c r="BA55" s="923" t="n"/>
      <c r="BB55" s="921" t="n"/>
      <c r="BC55" s="922" t="n"/>
      <c r="BD55" s="922" t="n"/>
      <c r="BE55" s="922" t="n"/>
      <c r="BF55" s="922" t="n"/>
      <c r="BG55" s="923" t="n"/>
      <c r="BH55" s="921" t="n"/>
      <c r="BI55" s="922" t="n"/>
      <c r="BJ55" s="922" t="n"/>
      <c r="BK55" s="922" t="n"/>
      <c r="BL55" s="922" t="n"/>
      <c r="BM55" s="134" t="n"/>
      <c r="BN55" s="132" t="n"/>
      <c r="BO55" s="133" t="n"/>
      <c r="BP55" s="133" t="n"/>
      <c r="BQ55" s="133" t="n"/>
      <c r="BR55" s="133" t="n"/>
      <c r="BS55" s="134" t="n"/>
      <c r="BT55" s="132" t="n"/>
      <c r="BU55" s="133" t="n"/>
      <c r="BV55" s="133" t="n"/>
      <c r="BW55" s="133" t="n"/>
      <c r="BX55" s="133" t="n"/>
      <c r="BY55" s="135" t="n"/>
    </row>
    <row r="56" ht="16.5" customHeight="1" s="838">
      <c r="B56" s="756" t="n"/>
      <c r="C56" s="781" t="inlineStr">
        <is>
          <t>물류비</t>
        </is>
      </c>
      <c r="D56" s="834" t="inlineStr">
        <is>
          <t>`25 실적</t>
        </is>
      </c>
      <c r="E56" s="1169" t="n">
        <v>21.42491029</v>
      </c>
      <c r="F56" s="1170" t="n">
        <v>21.42491029</v>
      </c>
      <c r="G56" s="1170" t="n">
        <v>21.42491029</v>
      </c>
      <c r="H56" s="1170" t="n">
        <v>21.42491029</v>
      </c>
      <c r="I56" s="1170" t="n">
        <v>21.42491029</v>
      </c>
      <c r="J56" s="1170" t="n">
        <v>21.42491029</v>
      </c>
      <c r="K56" s="1169" t="n">
        <v>7.48592918</v>
      </c>
      <c r="L56" s="1170" t="n">
        <v>7.48592918</v>
      </c>
      <c r="M56" s="1170" t="n">
        <v>7.48592918</v>
      </c>
      <c r="N56" s="1170" t="n">
        <v>7.48592918</v>
      </c>
      <c r="O56" s="1171" t="n">
        <v>7.48592918</v>
      </c>
      <c r="P56" s="1169" t="n">
        <v>8.68947543</v>
      </c>
      <c r="Q56" s="1170" t="n">
        <v>8.68947543</v>
      </c>
      <c r="R56" s="1170" t="n">
        <v>8.68947543</v>
      </c>
      <c r="S56" s="1170" t="n">
        <v>8.68947543</v>
      </c>
      <c r="T56" s="1170" t="n">
        <v>8.68947543</v>
      </c>
      <c r="U56" s="1170" t="n">
        <v>8.68947543</v>
      </c>
      <c r="V56" s="1169" t="n">
        <v>14.30874533</v>
      </c>
      <c r="W56" s="1170" t="n">
        <v>14.30874533</v>
      </c>
      <c r="X56" s="1170" t="n">
        <v>14.30874533</v>
      </c>
      <c r="Y56" s="1170" t="n">
        <v>14.30874533</v>
      </c>
      <c r="Z56" s="1170" t="n">
        <v>14.30874533</v>
      </c>
      <c r="AA56" s="1171" t="n">
        <v>14.30874533</v>
      </c>
      <c r="AB56" s="1169" t="n"/>
      <c r="AC56" s="1170" t="n"/>
      <c r="AD56" s="1170" t="n"/>
      <c r="AE56" s="1170" t="n"/>
      <c r="AF56" s="1170" t="n"/>
      <c r="AG56" s="1170" t="n"/>
      <c r="AH56" s="1171" t="n"/>
      <c r="AI56" s="1169" t="n"/>
      <c r="AJ56" s="1170" t="n"/>
      <c r="AK56" s="1170" t="n"/>
      <c r="AL56" s="1170" t="n"/>
      <c r="AM56" s="1170" t="n"/>
      <c r="AN56" s="1170" t="n"/>
      <c r="AO56" s="1172" t="n"/>
      <c r="AP56" s="1170" t="n"/>
      <c r="AQ56" s="1170" t="n"/>
      <c r="AR56" s="1170" t="n"/>
      <c r="AS56" s="1170" t="n"/>
      <c r="AT56" s="1171" t="n"/>
      <c r="AU56" s="1172" t="n"/>
      <c r="AV56" s="1170" t="n"/>
      <c r="AW56" s="1170" t="n"/>
      <c r="AX56" s="1170" t="n"/>
      <c r="AY56" s="1170" t="n"/>
      <c r="AZ56" s="1170" t="n"/>
      <c r="BA56" s="1171" t="n"/>
      <c r="BB56" s="1172" t="n"/>
      <c r="BC56" s="1170" t="n"/>
      <c r="BD56" s="1170" t="n"/>
      <c r="BE56" s="1170" t="n"/>
      <c r="BF56" s="1170" t="n"/>
      <c r="BG56" s="1171" t="n"/>
      <c r="BH56" s="1172" t="n"/>
      <c r="BI56" s="1170" t="n"/>
      <c r="BJ56" s="1170" t="n"/>
      <c r="BK56" s="1170" t="n"/>
      <c r="BL56" s="1170" t="n"/>
      <c r="BM56" s="1171" t="n"/>
      <c r="BN56" s="1172" t="n"/>
      <c r="BO56" s="1170" t="n"/>
      <c r="BP56" s="1170" t="n"/>
      <c r="BQ56" s="1170" t="n"/>
      <c r="BR56" s="1170" t="n"/>
      <c r="BS56" s="1171" t="n"/>
      <c r="BT56" s="1172" t="n"/>
      <c r="BU56" s="1170" t="n"/>
      <c r="BV56" s="1170" t="n"/>
      <c r="BW56" s="1170" t="n"/>
      <c r="BX56" s="1170" t="n"/>
      <c r="BY56" s="1173" t="n"/>
    </row>
    <row r="57" ht="16.5" customHeight="1" s="838">
      <c r="B57" s="756" t="n"/>
      <c r="C57" s="738" t="n"/>
      <c r="D57" s="834" t="inlineStr">
        <is>
          <t>`26 목표</t>
        </is>
      </c>
      <c r="E57" s="1169" t="n">
        <v>16.412075</v>
      </c>
      <c r="F57" s="1170" t="n">
        <v>16.412075</v>
      </c>
      <c r="G57" s="1170" t="n">
        <v>16.412075</v>
      </c>
      <c r="H57" s="1170" t="n">
        <v>16.412075</v>
      </c>
      <c r="I57" s="1170" t="n">
        <v>16.412075</v>
      </c>
      <c r="J57" s="1170" t="n">
        <v>16.412075</v>
      </c>
      <c r="K57" s="1169" t="n">
        <v>9.653053999999999</v>
      </c>
      <c r="L57" s="1170" t="n">
        <v>9.653053999999999</v>
      </c>
      <c r="M57" s="1170" t="n">
        <v>9.653053999999999</v>
      </c>
      <c r="N57" s="1170" t="n">
        <v>9.653053999999999</v>
      </c>
      <c r="O57" s="1171" t="n">
        <v>9.653053999999999</v>
      </c>
      <c r="P57" s="1169" t="n">
        <v>20.057639</v>
      </c>
      <c r="Q57" s="1170" t="n">
        <v>20.057639</v>
      </c>
      <c r="R57" s="1170" t="n">
        <v>20.057639</v>
      </c>
      <c r="S57" s="1170" t="n">
        <v>20.057639</v>
      </c>
      <c r="T57" s="1170" t="n">
        <v>20.057639</v>
      </c>
      <c r="U57" s="1170" t="n">
        <v>20.057639</v>
      </c>
      <c r="V57" s="1169" t="n">
        <v>15.536044</v>
      </c>
      <c r="W57" s="1170" t="n">
        <v>15.536044</v>
      </c>
      <c r="X57" s="1170" t="n">
        <v>15.536044</v>
      </c>
      <c r="Y57" s="1170" t="n">
        <v>15.536044</v>
      </c>
      <c r="Z57" s="1170" t="n">
        <v>15.536044</v>
      </c>
      <c r="AA57" s="1171" t="n">
        <v>15.536044</v>
      </c>
      <c r="AB57" s="1169" t="n"/>
      <c r="AC57" s="1170" t="n"/>
      <c r="AD57" s="1170" t="n"/>
      <c r="AE57" s="1170" t="n"/>
      <c r="AF57" s="1170" t="n"/>
      <c r="AG57" s="1170" t="n"/>
      <c r="AH57" s="1171" t="n"/>
      <c r="AI57" s="1169" t="n"/>
      <c r="AJ57" s="1170" t="n"/>
      <c r="AK57" s="1170" t="n"/>
      <c r="AL57" s="1170" t="n"/>
      <c r="AM57" s="1170" t="n"/>
      <c r="AN57" s="1170" t="n"/>
      <c r="AO57" s="1172" t="n"/>
      <c r="AP57" s="1170" t="n"/>
      <c r="AQ57" s="1170" t="n"/>
      <c r="AR57" s="1170" t="n"/>
      <c r="AS57" s="1170" t="n"/>
      <c r="AT57" s="1171" t="n"/>
      <c r="AU57" s="1172" t="n"/>
      <c r="AV57" s="1170" t="n"/>
      <c r="AW57" s="1170" t="n"/>
      <c r="AX57" s="1170" t="n"/>
      <c r="AY57" s="1170" t="n"/>
      <c r="AZ57" s="1170" t="n"/>
      <c r="BA57" s="1171" t="n"/>
      <c r="BB57" s="1172" t="n"/>
      <c r="BC57" s="1170" t="n"/>
      <c r="BD57" s="1170" t="n"/>
      <c r="BE57" s="1170" t="n"/>
      <c r="BF57" s="1170" t="n"/>
      <c r="BG57" s="1171" t="n"/>
      <c r="BH57" s="1172" t="n"/>
      <c r="BI57" s="1170" t="n"/>
      <c r="BJ57" s="1170" t="n"/>
      <c r="BK57" s="1170" t="n"/>
      <c r="BL57" s="1170" t="n"/>
      <c r="BM57" s="1171" t="n"/>
      <c r="BN57" s="1172" t="n"/>
      <c r="BO57" s="1170" t="n"/>
      <c r="BP57" s="1170" t="n"/>
      <c r="BQ57" s="1170" t="n"/>
      <c r="BR57" s="1170" t="n"/>
      <c r="BS57" s="1171" t="n"/>
      <c r="BT57" s="1172" t="n"/>
      <c r="BU57" s="1170" t="n"/>
      <c r="BV57" s="1170" t="n"/>
      <c r="BW57" s="1170" t="n"/>
      <c r="BX57" s="1170" t="n"/>
      <c r="BY57" s="1173" t="n"/>
    </row>
    <row r="58" ht="17.25" customHeight="1" s="838" thickBot="1">
      <c r="B58" s="770" t="n"/>
      <c r="C58" s="753" t="n"/>
      <c r="D58" s="413" t="inlineStr">
        <is>
          <t>`26 실적</t>
        </is>
      </c>
      <c r="E58" s="1174" t="n">
        <v>15.086824</v>
      </c>
      <c r="F58" s="1175" t="n">
        <v>16.412075</v>
      </c>
      <c r="G58" s="1175" t="n">
        <v>16.412075</v>
      </c>
      <c r="H58" s="1175" t="n">
        <v>16.412075</v>
      </c>
      <c r="I58" s="1175" t="n">
        <v>16.412075</v>
      </c>
      <c r="J58" s="1175" t="n">
        <v>16.412075</v>
      </c>
      <c r="K58" s="1174" t="n">
        <v>11.624915</v>
      </c>
      <c r="L58" s="1175" t="n">
        <v>17.066905</v>
      </c>
      <c r="M58" s="1175" t="n">
        <v>19.543132</v>
      </c>
      <c r="N58" s="1175" t="n">
        <v>15.086824</v>
      </c>
      <c r="O58" s="1176" t="n">
        <v>15.086824</v>
      </c>
      <c r="P58" s="1174" t="n">
        <v>17.869397</v>
      </c>
      <c r="Q58" s="1175" t="n">
        <v>18.36327</v>
      </c>
      <c r="R58" s="1175" t="n">
        <v>18.36327</v>
      </c>
      <c r="S58" s="1175" t="n">
        <v>18.36327</v>
      </c>
      <c r="T58" s="1175" t="n">
        <v>18.36327</v>
      </c>
      <c r="U58" s="1175" t="n">
        <v>18.36327</v>
      </c>
      <c r="V58" s="1174" t="n">
        <v>13.905959</v>
      </c>
      <c r="W58" s="1175" t="n">
        <v>11.640419</v>
      </c>
      <c r="X58" s="1175" t="n">
        <v>11.640419</v>
      </c>
      <c r="Y58" s="1175" t="n">
        <v>11.640419</v>
      </c>
      <c r="Z58" s="1175" t="n">
        <v>11.640419</v>
      </c>
      <c r="AA58" s="1176" t="n">
        <v>11.640419</v>
      </c>
      <c r="AB58" s="1174" t="n"/>
      <c r="AC58" s="1175" t="n"/>
      <c r="AD58" s="1175" t="n"/>
      <c r="AE58" s="1175" t="n"/>
      <c r="AF58" s="1175" t="n"/>
      <c r="AG58" s="1175" t="n"/>
      <c r="AH58" s="1176" t="n"/>
      <c r="AI58" s="1174" t="n"/>
      <c r="AJ58" s="1175" t="n"/>
      <c r="AK58" s="1175" t="n"/>
      <c r="AL58" s="1175" t="n"/>
      <c r="AM58" s="1175" t="n"/>
      <c r="AN58" s="1175" t="n"/>
      <c r="AO58" s="1177" t="n"/>
      <c r="AP58" s="1175" t="n"/>
      <c r="AQ58" s="1175" t="n"/>
      <c r="AR58" s="1175" t="n"/>
      <c r="AS58" s="1175" t="n"/>
      <c r="AT58" s="1176" t="n"/>
      <c r="AU58" s="1177" t="n"/>
      <c r="AV58" s="1175" t="n"/>
      <c r="AW58" s="1175" t="n"/>
      <c r="AX58" s="1175" t="n"/>
      <c r="AY58" s="1175" t="n"/>
      <c r="AZ58" s="1175" t="n"/>
      <c r="BA58" s="1176" t="n"/>
      <c r="BB58" s="1177" t="n"/>
      <c r="BC58" s="1175" t="n"/>
      <c r="BD58" s="1175" t="n"/>
      <c r="BE58" s="1175" t="n"/>
      <c r="BF58" s="1175" t="n"/>
      <c r="BG58" s="1176" t="n"/>
      <c r="BH58" s="1177" t="n"/>
      <c r="BI58" s="1175" t="n"/>
      <c r="BJ58" s="1175" t="n"/>
      <c r="BK58" s="1175" t="n"/>
      <c r="BL58" s="1175" t="n"/>
      <c r="BM58" s="1166" t="n"/>
      <c r="BN58" s="1167" t="n"/>
      <c r="BO58" s="1165" t="n"/>
      <c r="BP58" s="1165" t="n"/>
      <c r="BQ58" s="1165" t="n"/>
      <c r="BR58" s="1165" t="n"/>
      <c r="BS58" s="1166" t="n"/>
      <c r="BT58" s="1167" t="n"/>
      <c r="BU58" s="1165" t="n"/>
      <c r="BV58" s="1165" t="n"/>
      <c r="BW58" s="1165" t="n"/>
      <c r="BX58" s="1165" t="n"/>
      <c r="BY58" s="1168" t="n"/>
    </row>
    <row r="59" ht="16.5" customHeight="1" s="838">
      <c r="B59" s="779" t="inlineStr">
        <is>
          <t>기타</t>
        </is>
      </c>
      <c r="C59" s="832" t="inlineStr">
        <is>
          <t>개선금액(원)</t>
        </is>
      </c>
      <c r="D59" s="419" t="inlineStr">
        <is>
          <t>`26 목표</t>
        </is>
      </c>
      <c r="E59" s="960">
        <f>E61*E$1/10^2</f>
        <v/>
      </c>
      <c r="F59" s="961">
        <f>F61*F$1/10^2</f>
        <v/>
      </c>
      <c r="G59" s="961">
        <f>G61*G$1/10^2</f>
        <v/>
      </c>
      <c r="H59" s="961">
        <f>H61*H$1/10^2</f>
        <v/>
      </c>
      <c r="I59" s="961">
        <f>I61*I$1/10^2</f>
        <v/>
      </c>
      <c r="J59" s="961">
        <f>J61*J$1/10^2</f>
        <v/>
      </c>
      <c r="K59" s="960">
        <f>K61*K$1/10^2</f>
        <v/>
      </c>
      <c r="L59" s="961">
        <f>L61*L$1/10^2</f>
        <v/>
      </c>
      <c r="M59" s="961">
        <f>M61*M$1/10^2</f>
        <v/>
      </c>
      <c r="N59" s="961">
        <f>N61*N$1/10^2</f>
        <v/>
      </c>
      <c r="O59" s="967">
        <f>O61*O$1/10^2</f>
        <v/>
      </c>
      <c r="P59" s="960">
        <f>P61*P$1/10^2</f>
        <v/>
      </c>
      <c r="Q59" s="961">
        <f>Q61*Q$1/10^2</f>
        <v/>
      </c>
      <c r="R59" s="961">
        <f>R61*R$1/10^2</f>
        <v/>
      </c>
      <c r="S59" s="961">
        <f>S61*S$1/10^2</f>
        <v/>
      </c>
      <c r="T59" s="961">
        <f>T61*T$1/10^2</f>
        <v/>
      </c>
      <c r="U59" s="961">
        <f>U61*U$1/10^2</f>
        <v/>
      </c>
      <c r="V59" s="960">
        <f>V61*V$1/10^2</f>
        <v/>
      </c>
      <c r="W59" s="961">
        <f>W61*W$1/10^2</f>
        <v/>
      </c>
      <c r="X59" s="961">
        <f>X61*X$1/10^2</f>
        <v/>
      </c>
      <c r="Y59" s="961">
        <f>Y61*Y$1/10^2</f>
        <v/>
      </c>
      <c r="Z59" s="961">
        <f>Z61*Z$1/10^2</f>
        <v/>
      </c>
      <c r="AA59" s="967">
        <f>AA61*AA$1/10^2</f>
        <v/>
      </c>
      <c r="AB59" s="960" t="n"/>
      <c r="AC59" s="961" t="n"/>
      <c r="AD59" s="961" t="n"/>
      <c r="AE59" s="961" t="n"/>
      <c r="AF59" s="961" t="n"/>
      <c r="AG59" s="961" t="n"/>
      <c r="AH59" s="967" t="n"/>
      <c r="AI59" s="960" t="n"/>
      <c r="AJ59" s="961" t="n"/>
      <c r="AK59" s="961" t="n"/>
      <c r="AL59" s="961" t="n"/>
      <c r="AM59" s="961" t="n"/>
      <c r="AN59" s="961" t="n"/>
      <c r="AO59" s="968" t="n"/>
      <c r="AP59" s="961" t="n"/>
      <c r="AQ59" s="961" t="n"/>
      <c r="AR59" s="961" t="n"/>
      <c r="AS59" s="961" t="n"/>
      <c r="AT59" s="967" t="n"/>
      <c r="AU59" s="968" t="n"/>
      <c r="AV59" s="961" t="n"/>
      <c r="AW59" s="961" t="n"/>
      <c r="AX59" s="961" t="n"/>
      <c r="AY59" s="961" t="n"/>
      <c r="AZ59" s="961" t="n"/>
      <c r="BA59" s="967" t="n"/>
      <c r="BB59" s="968" t="n"/>
      <c r="BC59" s="961" t="n"/>
      <c r="BD59" s="961" t="n"/>
      <c r="BE59" s="961" t="n"/>
      <c r="BF59" s="961" t="n"/>
      <c r="BG59" s="967" t="n"/>
      <c r="BH59" s="968" t="n"/>
      <c r="BI59" s="961" t="n"/>
      <c r="BJ59" s="961" t="n"/>
      <c r="BK59" s="961" t="n"/>
      <c r="BL59" s="961" t="n"/>
      <c r="BM59" s="967" t="n"/>
      <c r="BN59" s="968" t="n"/>
      <c r="BO59" s="961" t="n"/>
      <c r="BP59" s="961" t="n"/>
      <c r="BQ59" s="961" t="n"/>
      <c r="BR59" s="961" t="n"/>
      <c r="BS59" s="967" t="n"/>
      <c r="BT59" s="968" t="n"/>
      <c r="BU59" s="961" t="n"/>
      <c r="BV59" s="961" t="n"/>
      <c r="BW59" s="961" t="n"/>
      <c r="BX59" s="961" t="n"/>
      <c r="BY59" s="972" t="n"/>
    </row>
    <row r="60" ht="16.5" customHeight="1" s="838">
      <c r="B60" s="756" t="n"/>
      <c r="C60" s="738" t="n"/>
      <c r="D60" s="834" t="inlineStr">
        <is>
          <t>`26 실적</t>
        </is>
      </c>
      <c r="E60" s="962">
        <f>E62*E$2/10^2</f>
        <v/>
      </c>
      <c r="F60" s="963">
        <f>F62*F$2/10^2</f>
        <v/>
      </c>
      <c r="G60" s="963">
        <f>G62*G$2/10^2</f>
        <v/>
      </c>
      <c r="H60" s="963">
        <f>H62*H$2/10^2</f>
        <v/>
      </c>
      <c r="I60" s="963">
        <f>I62*I$2/10^2</f>
        <v/>
      </c>
      <c r="J60" s="963">
        <f>J62*J$2/10^2</f>
        <v/>
      </c>
      <c r="K60" s="962">
        <f>K62*K$2/10^2</f>
        <v/>
      </c>
      <c r="L60" s="963">
        <f>L62*L$2/10^2</f>
        <v/>
      </c>
      <c r="M60" s="963">
        <f>M62*M$2/10^2</f>
        <v/>
      </c>
      <c r="N60" s="963">
        <f>N62*N$2/10^2</f>
        <v/>
      </c>
      <c r="O60" s="964">
        <f>O62*O$2/10^2</f>
        <v/>
      </c>
      <c r="P60" s="962">
        <f>P62*P$2/10^2</f>
        <v/>
      </c>
      <c r="Q60" s="963">
        <f>Q62*Q$2/10^2</f>
        <v/>
      </c>
      <c r="R60" s="963">
        <f>R62*R$2/10^2</f>
        <v/>
      </c>
      <c r="S60" s="963">
        <f>S62*S$2/10^2</f>
        <v/>
      </c>
      <c r="T60" s="963">
        <f>T62*T$2/10^2</f>
        <v/>
      </c>
      <c r="U60" s="963">
        <f>U62*U$2/10^2</f>
        <v/>
      </c>
      <c r="V60" s="962">
        <f>V62*V$2/10^2</f>
        <v/>
      </c>
      <c r="W60" s="963">
        <f>W62*W$2/10^2</f>
        <v/>
      </c>
      <c r="X60" s="963">
        <f>X62*X$2/10^2</f>
        <v/>
      </c>
      <c r="Y60" s="963">
        <f>Y62*Y$2/10^2</f>
        <v/>
      </c>
      <c r="Z60" s="963">
        <f>Z62*Z$2/10^2</f>
        <v/>
      </c>
      <c r="AA60" s="964">
        <f>AA62*AA$2/10^2</f>
        <v/>
      </c>
      <c r="AB60" s="962" t="n"/>
      <c r="AC60" s="963" t="n"/>
      <c r="AD60" s="963" t="n"/>
      <c r="AE60" s="963" t="n"/>
      <c r="AF60" s="963" t="n"/>
      <c r="AG60" s="963" t="n"/>
      <c r="AH60" s="964" t="n"/>
      <c r="AI60" s="962" t="n"/>
      <c r="AJ60" s="963" t="n"/>
      <c r="AK60" s="963" t="n"/>
      <c r="AL60" s="963" t="n"/>
      <c r="AM60" s="963" t="n"/>
      <c r="AN60" s="963" t="n"/>
      <c r="AO60" s="977" t="n"/>
      <c r="AP60" s="963" t="n"/>
      <c r="AQ60" s="963" t="n"/>
      <c r="AR60" s="963" t="n"/>
      <c r="AS60" s="963" t="n"/>
      <c r="AT60" s="964" t="n"/>
      <c r="AU60" s="977" t="n"/>
      <c r="AV60" s="963" t="n"/>
      <c r="AW60" s="963" t="n"/>
      <c r="AX60" s="963" t="n"/>
      <c r="AY60" s="963" t="n"/>
      <c r="AZ60" s="963" t="n"/>
      <c r="BA60" s="964" t="n"/>
      <c r="BB60" s="977" t="n"/>
      <c r="BC60" s="963" t="n"/>
      <c r="BD60" s="963" t="n"/>
      <c r="BE60" s="963" t="n"/>
      <c r="BF60" s="963" t="n"/>
      <c r="BG60" s="964" t="n"/>
      <c r="BH60" s="977" t="n"/>
      <c r="BI60" s="963" t="n"/>
      <c r="BJ60" s="963" t="n"/>
      <c r="BK60" s="963" t="n"/>
      <c r="BL60" s="963" t="n"/>
      <c r="BM60" s="964" t="n"/>
      <c r="BN60" s="977" t="n"/>
      <c r="BO60" s="963" t="n"/>
      <c r="BP60" s="963" t="n"/>
      <c r="BQ60" s="963" t="n"/>
      <c r="BR60" s="963" t="n"/>
      <c r="BS60" s="964" t="n"/>
      <c r="BT60" s="977" t="n"/>
      <c r="BU60" s="963" t="n"/>
      <c r="BV60" s="963" t="n"/>
      <c r="BW60" s="963" t="n"/>
      <c r="BX60" s="963" t="n"/>
      <c r="BY60" s="981" t="n"/>
    </row>
    <row r="61" ht="16.5" customHeight="1" s="838">
      <c r="B61" s="756" t="n"/>
      <c r="C61" s="827" t="inlineStr">
        <is>
          <t>개선금액($)</t>
        </is>
      </c>
      <c r="D61" s="406" t="inlineStr">
        <is>
          <t>`26 목표</t>
        </is>
      </c>
      <c r="E61" s="982">
        <f>(E63-E64)*E7</f>
        <v/>
      </c>
      <c r="F61" s="983">
        <f>(F63-F64)*F7</f>
        <v/>
      </c>
      <c r="G61" s="983">
        <f>(G63-G64)*G7</f>
        <v/>
      </c>
      <c r="H61" s="983">
        <f>(H63-H64)*H7</f>
        <v/>
      </c>
      <c r="I61" s="983">
        <f>(I63-I64)*I7</f>
        <v/>
      </c>
      <c r="J61" s="983">
        <f>(J63-J64)*J7</f>
        <v/>
      </c>
      <c r="K61" s="982">
        <f>(K63-K64)*K7</f>
        <v/>
      </c>
      <c r="L61" s="983">
        <f>(L63-L64)*L7</f>
        <v/>
      </c>
      <c r="M61" s="983">
        <f>(M63-M64)*M7</f>
        <v/>
      </c>
      <c r="N61" s="983">
        <f>(N63-N64)*N7</f>
        <v/>
      </c>
      <c r="O61" s="984">
        <f>(O63-O64)*O7</f>
        <v/>
      </c>
      <c r="P61" s="982">
        <f>(P63-P64)*P7</f>
        <v/>
      </c>
      <c r="Q61" s="983">
        <f>(Q63-Q64)*Q7</f>
        <v/>
      </c>
      <c r="R61" s="983">
        <f>(R63-R64)*R7</f>
        <v/>
      </c>
      <c r="S61" s="983">
        <f>(S63-S64)*S7</f>
        <v/>
      </c>
      <c r="T61" s="983">
        <f>(T63-T64)*T7</f>
        <v/>
      </c>
      <c r="U61" s="983">
        <f>(U63-U64)*U7</f>
        <v/>
      </c>
      <c r="V61" s="982">
        <f>(V63-V64)*V7</f>
        <v/>
      </c>
      <c r="W61" s="983">
        <f>(W63-W64)*W7</f>
        <v/>
      </c>
      <c r="X61" s="983">
        <f>(X63-X64)*X7</f>
        <v/>
      </c>
      <c r="Y61" s="983">
        <f>(Y63-Y64)*Y7</f>
        <v/>
      </c>
      <c r="Z61" s="983">
        <f>(Z63-Z64)*Z7</f>
        <v/>
      </c>
      <c r="AA61" s="984">
        <f>(AA63-AA64)*AA7</f>
        <v/>
      </c>
      <c r="AB61" s="982" t="n"/>
      <c r="AC61" s="983" t="n"/>
      <c r="AD61" s="983" t="n"/>
      <c r="AE61" s="983" t="n"/>
      <c r="AF61" s="983" t="n"/>
      <c r="AG61" s="983" t="n"/>
      <c r="AH61" s="984" t="n"/>
      <c r="AI61" s="982" t="n"/>
      <c r="AJ61" s="983" t="n"/>
      <c r="AK61" s="983" t="n"/>
      <c r="AL61" s="983" t="n"/>
      <c r="AM61" s="983" t="n"/>
      <c r="AN61" s="983" t="n"/>
      <c r="AO61" s="987" t="n"/>
      <c r="AP61" s="983" t="n"/>
      <c r="AQ61" s="983" t="n"/>
      <c r="AR61" s="983" t="n"/>
      <c r="AS61" s="983" t="n"/>
      <c r="AT61" s="984" t="n"/>
      <c r="AU61" s="987" t="n"/>
      <c r="AV61" s="983" t="n"/>
      <c r="AW61" s="983" t="n"/>
      <c r="AX61" s="983" t="n"/>
      <c r="AY61" s="983" t="n"/>
      <c r="AZ61" s="983" t="n"/>
      <c r="BA61" s="984" t="n"/>
      <c r="BB61" s="987" t="n"/>
      <c r="BC61" s="983" t="n"/>
      <c r="BD61" s="983" t="n"/>
      <c r="BE61" s="983" t="n"/>
      <c r="BF61" s="983" t="n"/>
      <c r="BG61" s="984" t="n"/>
      <c r="BH61" s="987" t="n"/>
      <c r="BI61" s="983" t="n"/>
      <c r="BJ61" s="983" t="n"/>
      <c r="BK61" s="983" t="n"/>
      <c r="BL61" s="983" t="n"/>
      <c r="BM61" s="984" t="n"/>
      <c r="BN61" s="987" t="n"/>
      <c r="BO61" s="983" t="n"/>
      <c r="BP61" s="983" t="n"/>
      <c r="BQ61" s="983" t="n"/>
      <c r="BR61" s="983" t="n"/>
      <c r="BS61" s="984" t="n"/>
      <c r="BT61" s="987" t="n"/>
      <c r="BU61" s="983" t="n"/>
      <c r="BV61" s="983" t="n"/>
      <c r="BW61" s="983" t="n"/>
      <c r="BX61" s="983" t="n"/>
      <c r="BY61" s="991" t="n"/>
    </row>
    <row r="62" ht="16.5" customHeight="1" s="838">
      <c r="B62" s="756" t="n"/>
      <c r="C62" s="739" t="n"/>
      <c r="D62" s="407" t="inlineStr">
        <is>
          <t>`26 실적</t>
        </is>
      </c>
      <c r="E62" s="973">
        <f>(E63-E65)*E8</f>
        <v/>
      </c>
      <c r="F62" s="974">
        <f>(F63-F65)*F8</f>
        <v/>
      </c>
      <c r="G62" s="974">
        <f>(G63-G65)*G8</f>
        <v/>
      </c>
      <c r="H62" s="974">
        <f>(H63-H65)*H8</f>
        <v/>
      </c>
      <c r="I62" s="974">
        <f>(I63-I65)*I8</f>
        <v/>
      </c>
      <c r="J62" s="974">
        <f>(J63-J65)*J8</f>
        <v/>
      </c>
      <c r="K62" s="973">
        <f>(K63-K65)*K8</f>
        <v/>
      </c>
      <c r="L62" s="974">
        <f>(L63-L65)*L8</f>
        <v/>
      </c>
      <c r="M62" s="974">
        <f>(M63-M65)*M8</f>
        <v/>
      </c>
      <c r="N62" s="974">
        <f>(N63-N65)*N8</f>
        <v/>
      </c>
      <c r="O62" s="975">
        <f>(O63-O65)*O8</f>
        <v/>
      </c>
      <c r="P62" s="973">
        <f>(P63-P65)*P8</f>
        <v/>
      </c>
      <c r="Q62" s="974">
        <f>(Q63-Q65)*Q8</f>
        <v/>
      </c>
      <c r="R62" s="974">
        <f>(R63-R65)*R8</f>
        <v/>
      </c>
      <c r="S62" s="974">
        <f>(S63-S65)*S8</f>
        <v/>
      </c>
      <c r="T62" s="974">
        <f>(T63-T65)*T8</f>
        <v/>
      </c>
      <c r="U62" s="974">
        <f>(U63-U65)*U8</f>
        <v/>
      </c>
      <c r="V62" s="973">
        <f>(V63-V65)*V8</f>
        <v/>
      </c>
      <c r="W62" s="974">
        <f>(W63-W65)*W8</f>
        <v/>
      </c>
      <c r="X62" s="974">
        <f>(X63-X65)*X8</f>
        <v/>
      </c>
      <c r="Y62" s="974">
        <f>(Y63-Y65)*Y8</f>
        <v/>
      </c>
      <c r="Z62" s="974">
        <f>(Z63-Z65)*Z8</f>
        <v/>
      </c>
      <c r="AA62" s="975">
        <f>(AA63-AA65)*AA8</f>
        <v/>
      </c>
      <c r="AB62" s="973" t="n"/>
      <c r="AC62" s="974" t="n"/>
      <c r="AD62" s="974" t="n"/>
      <c r="AE62" s="974" t="n"/>
      <c r="AF62" s="974" t="n"/>
      <c r="AG62" s="974" t="n"/>
      <c r="AH62" s="975" t="n"/>
      <c r="AI62" s="973" t="n"/>
      <c r="AJ62" s="974" t="n"/>
      <c r="AK62" s="974" t="n"/>
      <c r="AL62" s="974" t="n"/>
      <c r="AM62" s="974" t="n"/>
      <c r="AN62" s="974" t="n"/>
      <c r="AO62" s="994" t="n"/>
      <c r="AP62" s="974" t="n"/>
      <c r="AQ62" s="974" t="n"/>
      <c r="AR62" s="974" t="n"/>
      <c r="AS62" s="974" t="n"/>
      <c r="AT62" s="975" t="n"/>
      <c r="AU62" s="994" t="n"/>
      <c r="AV62" s="974" t="n"/>
      <c r="AW62" s="974" t="n"/>
      <c r="AX62" s="974" t="n"/>
      <c r="AY62" s="974" t="n"/>
      <c r="AZ62" s="974" t="n"/>
      <c r="BA62" s="975" t="n"/>
      <c r="BB62" s="994" t="n"/>
      <c r="BC62" s="974" t="n"/>
      <c r="BD62" s="974" t="n"/>
      <c r="BE62" s="974" t="n"/>
      <c r="BF62" s="974" t="n"/>
      <c r="BG62" s="975" t="n"/>
      <c r="BH62" s="994" t="n"/>
      <c r="BI62" s="974" t="n"/>
      <c r="BJ62" s="974" t="n"/>
      <c r="BK62" s="974" t="n"/>
      <c r="BL62" s="974" t="n"/>
      <c r="BM62" s="975" t="n"/>
      <c r="BN62" s="994" t="n"/>
      <c r="BO62" s="974" t="n"/>
      <c r="BP62" s="974" t="n"/>
      <c r="BQ62" s="974" t="n"/>
      <c r="BR62" s="974" t="n"/>
      <c r="BS62" s="975" t="n"/>
      <c r="BT62" s="994" t="n"/>
      <c r="BU62" s="974" t="n"/>
      <c r="BV62" s="974" t="n"/>
      <c r="BW62" s="974" t="n"/>
      <c r="BX62" s="974" t="n"/>
      <c r="BY62" s="998" t="n"/>
    </row>
    <row r="63" ht="16.5" customHeight="1" s="838">
      <c r="B63" s="756" t="n"/>
      <c r="C63" s="737" t="inlineStr">
        <is>
          <t>물류비율</t>
        </is>
      </c>
      <c r="D63" s="406" t="inlineStr">
        <is>
          <t>`25 실적</t>
        </is>
      </c>
      <c r="E63" s="1159">
        <f>E66/E6</f>
        <v/>
      </c>
      <c r="F63" s="1160">
        <f>F66/F6</f>
        <v/>
      </c>
      <c r="G63" s="1160">
        <f>G66/G6</f>
        <v/>
      </c>
      <c r="H63" s="1160">
        <f>H66/H6</f>
        <v/>
      </c>
      <c r="I63" s="1160">
        <f>I66/I6</f>
        <v/>
      </c>
      <c r="J63" s="1160">
        <f>J66/J6</f>
        <v/>
      </c>
      <c r="K63" s="1159">
        <f>K66/K6</f>
        <v/>
      </c>
      <c r="L63" s="1160">
        <f>L66/L6</f>
        <v/>
      </c>
      <c r="M63" s="1160">
        <f>M66/M6</f>
        <v/>
      </c>
      <c r="N63" s="1160">
        <f>N66/N6</f>
        <v/>
      </c>
      <c r="O63" s="1161">
        <f>O66/O6</f>
        <v/>
      </c>
      <c r="P63" s="1159">
        <f>P66/P6</f>
        <v/>
      </c>
      <c r="Q63" s="1160">
        <f>Q66/Q6</f>
        <v/>
      </c>
      <c r="R63" s="1160">
        <f>R66/R6</f>
        <v/>
      </c>
      <c r="S63" s="1160">
        <f>S66/S6</f>
        <v/>
      </c>
      <c r="T63" s="1160">
        <f>T66/T6</f>
        <v/>
      </c>
      <c r="U63" s="1160">
        <f>U66/U6</f>
        <v/>
      </c>
      <c r="V63" s="1159">
        <f>V66/V6</f>
        <v/>
      </c>
      <c r="W63" s="1160">
        <f>W66/W6</f>
        <v/>
      </c>
      <c r="X63" s="1160">
        <f>X66/X6</f>
        <v/>
      </c>
      <c r="Y63" s="1160">
        <f>Y66/Y6</f>
        <v/>
      </c>
      <c r="Z63" s="1160">
        <f>Z66/Z6</f>
        <v/>
      </c>
      <c r="AA63" s="1161">
        <f>AA66/AA6</f>
        <v/>
      </c>
      <c r="AB63" s="1159" t="n"/>
      <c r="AC63" s="1160" t="n"/>
      <c r="AD63" s="1160" t="n"/>
      <c r="AE63" s="1160" t="n"/>
      <c r="AF63" s="1160" t="n"/>
      <c r="AG63" s="1160" t="n"/>
      <c r="AH63" s="1161" t="n"/>
      <c r="AI63" s="1159" t="n"/>
      <c r="AJ63" s="1160" t="n"/>
      <c r="AK63" s="1160" t="n"/>
      <c r="AL63" s="1160" t="n"/>
      <c r="AM63" s="1160" t="n"/>
      <c r="AN63" s="1160" t="n"/>
      <c r="AO63" s="1162" t="n"/>
      <c r="AP63" s="1160" t="n"/>
      <c r="AQ63" s="1160" t="n"/>
      <c r="AR63" s="1160" t="n"/>
      <c r="AS63" s="1160" t="n"/>
      <c r="AT63" s="1161" t="n"/>
      <c r="AU63" s="1162" t="n"/>
      <c r="AV63" s="1160" t="n"/>
      <c r="AW63" s="1160" t="n"/>
      <c r="AX63" s="1160" t="n"/>
      <c r="AY63" s="1160" t="n"/>
      <c r="AZ63" s="1160" t="n"/>
      <c r="BA63" s="1161" t="n"/>
      <c r="BB63" s="1162" t="n"/>
      <c r="BC63" s="1160" t="n"/>
      <c r="BD63" s="1160" t="n"/>
      <c r="BE63" s="1160" t="n"/>
      <c r="BF63" s="1160" t="n"/>
      <c r="BG63" s="1161" t="n"/>
      <c r="BH63" s="1162" t="n"/>
      <c r="BI63" s="1160" t="n"/>
      <c r="BJ63" s="1160" t="n"/>
      <c r="BK63" s="1160" t="n"/>
      <c r="BL63" s="1160" t="n"/>
      <c r="BM63" s="1161" t="n"/>
      <c r="BN63" s="1162" t="n"/>
      <c r="BO63" s="1160" t="n"/>
      <c r="BP63" s="1160" t="n"/>
      <c r="BQ63" s="1160" t="n"/>
      <c r="BR63" s="1160" t="n"/>
      <c r="BS63" s="1161" t="n"/>
      <c r="BT63" s="1162" t="n"/>
      <c r="BU63" s="1160" t="n"/>
      <c r="BV63" s="1160" t="n"/>
      <c r="BW63" s="1160" t="n"/>
      <c r="BX63" s="1160" t="n"/>
      <c r="BY63" s="1163" t="n"/>
    </row>
    <row r="64" ht="16.5" customHeight="1" s="838">
      <c r="B64" s="756" t="n"/>
      <c r="C64" s="738" t="n"/>
      <c r="D64" s="834" t="inlineStr">
        <is>
          <t>`26 목표</t>
        </is>
      </c>
      <c r="E64" s="1036">
        <f>E67/E7</f>
        <v/>
      </c>
      <c r="F64" s="931">
        <f>F67/F7</f>
        <v/>
      </c>
      <c r="G64" s="931">
        <f>G67/G7</f>
        <v/>
      </c>
      <c r="H64" s="931">
        <f>H67/H7</f>
        <v/>
      </c>
      <c r="I64" s="931">
        <f>I67/I7</f>
        <v/>
      </c>
      <c r="J64" s="931">
        <f>J67/J7</f>
        <v/>
      </c>
      <c r="K64" s="1036">
        <f>K67/K7</f>
        <v/>
      </c>
      <c r="L64" s="931">
        <f>L67/L7</f>
        <v/>
      </c>
      <c r="M64" s="931">
        <f>M67/M7</f>
        <v/>
      </c>
      <c r="N64" s="931">
        <f>N67/N7</f>
        <v/>
      </c>
      <c r="O64" s="938">
        <f>O67/O7</f>
        <v/>
      </c>
      <c r="P64" s="1036">
        <f>P67/P7</f>
        <v/>
      </c>
      <c r="Q64" s="931">
        <f>Q67/Q7</f>
        <v/>
      </c>
      <c r="R64" s="931">
        <f>R67/R7</f>
        <v/>
      </c>
      <c r="S64" s="931">
        <f>S67/S7</f>
        <v/>
      </c>
      <c r="T64" s="931">
        <f>T67/T7</f>
        <v/>
      </c>
      <c r="U64" s="931">
        <f>U67/U7</f>
        <v/>
      </c>
      <c r="V64" s="1036">
        <f>V67/V7</f>
        <v/>
      </c>
      <c r="W64" s="931">
        <f>W67/W7</f>
        <v/>
      </c>
      <c r="X64" s="931">
        <f>X67/X7</f>
        <v/>
      </c>
      <c r="Y64" s="931">
        <f>Y67/Y7</f>
        <v/>
      </c>
      <c r="Z64" s="931">
        <f>Z67/Z7</f>
        <v/>
      </c>
      <c r="AA64" s="938">
        <f>AA67/AA7</f>
        <v/>
      </c>
      <c r="AB64" s="1036" t="n"/>
      <c r="AC64" s="931" t="n"/>
      <c r="AD64" s="931" t="n"/>
      <c r="AE64" s="931" t="n"/>
      <c r="AF64" s="931" t="n"/>
      <c r="AG64" s="931" t="n"/>
      <c r="AH64" s="938" t="n"/>
      <c r="AI64" s="1036" t="n"/>
      <c r="AJ64" s="931" t="n"/>
      <c r="AK64" s="931" t="n"/>
      <c r="AL64" s="931" t="n"/>
      <c r="AM64" s="931" t="n"/>
      <c r="AN64" s="931" t="n"/>
      <c r="AO64" s="929" t="n"/>
      <c r="AP64" s="931" t="n"/>
      <c r="AQ64" s="931" t="n"/>
      <c r="AR64" s="931" t="n"/>
      <c r="AS64" s="931" t="n"/>
      <c r="AT64" s="938" t="n"/>
      <c r="AU64" s="929" t="n"/>
      <c r="AV64" s="931" t="n"/>
      <c r="AW64" s="931" t="n"/>
      <c r="AX64" s="931" t="n"/>
      <c r="AY64" s="931" t="n"/>
      <c r="AZ64" s="931" t="n"/>
      <c r="BA64" s="938" t="n"/>
      <c r="BB64" s="929" t="n"/>
      <c r="BC64" s="931" t="n"/>
      <c r="BD64" s="931" t="n"/>
      <c r="BE64" s="931" t="n"/>
      <c r="BF64" s="931" t="n"/>
      <c r="BG64" s="938" t="n"/>
      <c r="BH64" s="929" t="n"/>
      <c r="BI64" s="931" t="n"/>
      <c r="BJ64" s="931" t="n"/>
      <c r="BK64" s="931" t="n"/>
      <c r="BL64" s="931" t="n"/>
      <c r="BM64" s="938" t="n"/>
      <c r="BN64" s="929" t="n"/>
      <c r="BO64" s="931" t="n"/>
      <c r="BP64" s="931" t="n"/>
      <c r="BQ64" s="931" t="n"/>
      <c r="BR64" s="931" t="n"/>
      <c r="BS64" s="938" t="n"/>
      <c r="BT64" s="929" t="n"/>
      <c r="BU64" s="931" t="n"/>
      <c r="BV64" s="931" t="n"/>
      <c r="BW64" s="931" t="n"/>
      <c r="BX64" s="931" t="n"/>
      <c r="BY64" s="939" t="n"/>
    </row>
    <row r="65" ht="16.5" customHeight="1" s="838">
      <c r="B65" s="756" t="n"/>
      <c r="C65" s="739" t="n"/>
      <c r="D65" s="407" t="inlineStr">
        <is>
          <t>`26 실적</t>
        </is>
      </c>
      <c r="E65" s="1075">
        <f>E68/E8</f>
        <v/>
      </c>
      <c r="F65" s="922">
        <f>F68/F8</f>
        <v/>
      </c>
      <c r="G65" s="922">
        <f>G68/G8</f>
        <v/>
      </c>
      <c r="H65" s="922">
        <f>H68/H8</f>
        <v/>
      </c>
      <c r="I65" s="922">
        <f>I68/I8</f>
        <v/>
      </c>
      <c r="J65" s="922">
        <f>J68/J8</f>
        <v/>
      </c>
      <c r="K65" s="1075">
        <f>K68/K8</f>
        <v/>
      </c>
      <c r="L65" s="922">
        <f>L68/L8</f>
        <v/>
      </c>
      <c r="M65" s="922">
        <f>M68/M8</f>
        <v/>
      </c>
      <c r="N65" s="922">
        <f>N68/N8</f>
        <v/>
      </c>
      <c r="O65" s="923">
        <f>O68/O8</f>
        <v/>
      </c>
      <c r="P65" s="1075">
        <f>P68/P8</f>
        <v/>
      </c>
      <c r="Q65" s="922">
        <f>Q68/Q8</f>
        <v/>
      </c>
      <c r="R65" s="922">
        <f>R68/R8</f>
        <v/>
      </c>
      <c r="S65" s="922">
        <f>S68/S8</f>
        <v/>
      </c>
      <c r="T65" s="922">
        <f>T68/T8</f>
        <v/>
      </c>
      <c r="U65" s="922">
        <f>U68/U8</f>
        <v/>
      </c>
      <c r="V65" s="1075">
        <f>V68/V8</f>
        <v/>
      </c>
      <c r="W65" s="922">
        <f>W68/W8</f>
        <v/>
      </c>
      <c r="X65" s="922">
        <f>X68/X8</f>
        <v/>
      </c>
      <c r="Y65" s="922">
        <f>Y68/Y8</f>
        <v/>
      </c>
      <c r="Z65" s="922">
        <f>Z68/Z8</f>
        <v/>
      </c>
      <c r="AA65" s="923">
        <f>AA68/AA8</f>
        <v/>
      </c>
      <c r="AB65" s="1075" t="n"/>
      <c r="AC65" s="922" t="n"/>
      <c r="AD65" s="922" t="n"/>
      <c r="AE65" s="922" t="n"/>
      <c r="AF65" s="922" t="n"/>
      <c r="AG65" s="922" t="n"/>
      <c r="AH65" s="923" t="n"/>
      <c r="AI65" s="1075" t="n"/>
      <c r="AJ65" s="922" t="n"/>
      <c r="AK65" s="922" t="n"/>
      <c r="AL65" s="922" t="n"/>
      <c r="AM65" s="922" t="n"/>
      <c r="AN65" s="922" t="n"/>
      <c r="AO65" s="921" t="n"/>
      <c r="AP65" s="922" t="n"/>
      <c r="AQ65" s="922" t="n"/>
      <c r="AR65" s="922" t="n"/>
      <c r="AS65" s="922" t="n"/>
      <c r="AT65" s="923" t="n"/>
      <c r="AU65" s="921" t="n"/>
      <c r="AV65" s="922" t="n"/>
      <c r="AW65" s="922" t="n"/>
      <c r="AX65" s="922" t="n"/>
      <c r="AY65" s="922" t="n"/>
      <c r="AZ65" s="922" t="n"/>
      <c r="BA65" s="923" t="n"/>
      <c r="BB65" s="921" t="n"/>
      <c r="BC65" s="922" t="n"/>
      <c r="BD65" s="922" t="n"/>
      <c r="BE65" s="922" t="n"/>
      <c r="BF65" s="922" t="n"/>
      <c r="BG65" s="923" t="n"/>
      <c r="BH65" s="921" t="n"/>
      <c r="BI65" s="922" t="n"/>
      <c r="BJ65" s="922" t="n"/>
      <c r="BK65" s="922" t="n"/>
      <c r="BL65" s="922" t="n"/>
      <c r="BM65" s="134" t="n"/>
      <c r="BN65" s="132" t="n"/>
      <c r="BO65" s="133" t="n"/>
      <c r="BP65" s="133" t="n"/>
      <c r="BQ65" s="133" t="n"/>
      <c r="BR65" s="133" t="n"/>
      <c r="BS65" s="134" t="n"/>
      <c r="BT65" s="132" t="n"/>
      <c r="BU65" s="133" t="n"/>
      <c r="BV65" s="133" t="n"/>
      <c r="BW65" s="133" t="n"/>
      <c r="BX65" s="133" t="n"/>
      <c r="BY65" s="135" t="n"/>
    </row>
    <row r="66" ht="16.5" customHeight="1" s="838" thickBot="1">
      <c r="B66" s="756" t="n"/>
      <c r="C66" s="781" t="inlineStr">
        <is>
          <t>물류비</t>
        </is>
      </c>
      <c r="D66" s="834" t="inlineStr">
        <is>
          <t>`25 실적</t>
        </is>
      </c>
      <c r="E66" s="1169" t="n">
        <v>12.1347068</v>
      </c>
      <c r="F66" s="1170" t="n">
        <v>12.1347068</v>
      </c>
      <c r="G66" s="1170" t="n">
        <v>12.1347068</v>
      </c>
      <c r="H66" s="1170" t="n">
        <v>12.1347068</v>
      </c>
      <c r="I66" s="1170" t="n">
        <v>12.1347068</v>
      </c>
      <c r="J66" s="1170" t="n">
        <v>12.1347068</v>
      </c>
      <c r="K66" s="1169" t="n">
        <v>11.20501477</v>
      </c>
      <c r="L66" s="1170" t="n">
        <v>11.20501477</v>
      </c>
      <c r="M66" s="1170" t="n">
        <v>11.20501477</v>
      </c>
      <c r="N66" s="1170" t="n">
        <v>11.20501477</v>
      </c>
      <c r="O66" s="1171" t="n">
        <v>11.20501477</v>
      </c>
      <c r="P66" s="1169" t="n">
        <v>8.385077689999999</v>
      </c>
      <c r="Q66" s="1170" t="n">
        <v>8.385077689999999</v>
      </c>
      <c r="R66" s="1170" t="n">
        <v>8.385077689999999</v>
      </c>
      <c r="S66" s="1170" t="n">
        <v>8.385077689999999</v>
      </c>
      <c r="T66" s="1170" t="n">
        <v>8.385077689999999</v>
      </c>
      <c r="U66" s="1170" t="n">
        <v>8.385077689999999</v>
      </c>
      <c r="V66" s="1169" t="n">
        <v>5.93105133</v>
      </c>
      <c r="W66" s="1170" t="n">
        <v>5.93105133</v>
      </c>
      <c r="X66" s="1170" t="n">
        <v>5.93105133</v>
      </c>
      <c r="Y66" s="1170" t="n">
        <v>5.93105133</v>
      </c>
      <c r="Z66" s="1170" t="n">
        <v>5.93105133</v>
      </c>
      <c r="AA66" s="1171" t="n">
        <v>5.93105133</v>
      </c>
      <c r="AB66" s="1169" t="n"/>
      <c r="AC66" s="1170" t="n"/>
      <c r="AD66" s="1170" t="n"/>
      <c r="AE66" s="1170" t="n"/>
      <c r="AF66" s="1170" t="n"/>
      <c r="AG66" s="1170" t="n"/>
      <c r="AH66" s="1171" t="n"/>
      <c r="AI66" s="1169" t="n"/>
      <c r="AJ66" s="1170" t="n"/>
      <c r="AK66" s="1170" t="n"/>
      <c r="AL66" s="1170" t="n"/>
      <c r="AM66" s="1170" t="n"/>
      <c r="AN66" s="1170" t="n"/>
      <c r="AO66" s="1172" t="n"/>
      <c r="AP66" s="1170" t="n"/>
      <c r="AQ66" s="1170" t="n"/>
      <c r="AR66" s="1170" t="n"/>
      <c r="AS66" s="1170" t="n"/>
      <c r="AT66" s="1171" t="n"/>
      <c r="AU66" s="1172" t="n"/>
      <c r="AV66" s="1170" t="n"/>
      <c r="AW66" s="1170" t="n"/>
      <c r="AX66" s="1170" t="n"/>
      <c r="AY66" s="1170" t="n"/>
      <c r="AZ66" s="1170" t="n"/>
      <c r="BA66" s="1171" t="n"/>
      <c r="BB66" s="1172" t="n"/>
      <c r="BC66" s="1170" t="n"/>
      <c r="BD66" s="1170" t="n"/>
      <c r="BE66" s="1170" t="n"/>
      <c r="BF66" s="1170" t="n"/>
      <c r="BG66" s="1171" t="n"/>
      <c r="BH66" s="1172" t="n"/>
      <c r="BI66" s="1170" t="n"/>
      <c r="BJ66" s="1170" t="n"/>
      <c r="BK66" s="1170" t="n"/>
      <c r="BL66" s="1170" t="n"/>
      <c r="BM66" s="1171" t="n"/>
      <c r="BN66" s="1172" t="n"/>
      <c r="BO66" s="1170" t="n"/>
      <c r="BP66" s="1170" t="n"/>
      <c r="BQ66" s="1170" t="n"/>
      <c r="BR66" s="1170" t="n"/>
      <c r="BS66" s="1171" t="n"/>
      <c r="BT66" s="1172" t="n"/>
      <c r="BU66" s="1170" t="n"/>
      <c r="BV66" s="1170" t="n"/>
      <c r="BW66" s="1170" t="n"/>
      <c r="BX66" s="1170" t="n"/>
      <c r="BY66" s="1173" t="n"/>
    </row>
    <row r="67" ht="16.5" customHeight="1" s="838">
      <c r="B67" s="756" t="n"/>
      <c r="C67" s="738" t="n"/>
      <c r="D67" s="834" t="inlineStr">
        <is>
          <t>`26 목표</t>
        </is>
      </c>
      <c r="E67" s="1169" t="n">
        <v>10.26721172</v>
      </c>
      <c r="F67" s="1170" t="n">
        <v>10.26721172</v>
      </c>
      <c r="G67" s="1170" t="n">
        <v>10.26721172</v>
      </c>
      <c r="H67" s="1170" t="n">
        <v>10.26721172</v>
      </c>
      <c r="I67" s="1170" t="n">
        <v>10.26721172</v>
      </c>
      <c r="J67" s="1170" t="n">
        <v>10.26721172</v>
      </c>
      <c r="K67" s="1169" t="n">
        <v>5.36387828</v>
      </c>
      <c r="L67" s="1170" t="n">
        <v>5.36387828</v>
      </c>
      <c r="M67" s="1170" t="n">
        <v>5.36387828</v>
      </c>
      <c r="N67" s="1170" t="n">
        <v>5.36387828</v>
      </c>
      <c r="O67" s="1171" t="n">
        <v>5.36387828</v>
      </c>
      <c r="P67" s="1169" t="n">
        <v>10.75243042</v>
      </c>
      <c r="Q67" s="1170" t="n">
        <v>10.75243042</v>
      </c>
      <c r="R67" s="1170" t="n">
        <v>10.75243042</v>
      </c>
      <c r="S67" s="1170" t="n">
        <v>10.75243042</v>
      </c>
      <c r="T67" s="1170" t="n">
        <v>10.75243042</v>
      </c>
      <c r="U67" s="1170" t="n">
        <v>10.75243042</v>
      </c>
      <c r="V67" s="1169" t="n">
        <v>16.7080627</v>
      </c>
      <c r="W67" s="1170" t="n">
        <v>16.7080627</v>
      </c>
      <c r="X67" s="1170" t="n">
        <v>16.7080627</v>
      </c>
      <c r="Y67" s="1170" t="n">
        <v>16.7080627</v>
      </c>
      <c r="Z67" s="1170" t="n">
        <v>16.7080627</v>
      </c>
      <c r="AA67" s="1171" t="n">
        <v>16.7080627</v>
      </c>
      <c r="AB67" s="1169" t="n"/>
      <c r="AC67" s="1170" t="n"/>
      <c r="AD67" s="1170" t="n"/>
      <c r="AE67" s="1170" t="n"/>
      <c r="AF67" s="1170" t="n"/>
      <c r="AG67" s="1170" t="n"/>
      <c r="AH67" s="1171" t="n"/>
      <c r="AI67" s="1169" t="n"/>
      <c r="AJ67" s="1170" t="n"/>
      <c r="AK67" s="1170" t="n"/>
      <c r="AL67" s="1170" t="n"/>
      <c r="AM67" s="1170" t="n"/>
      <c r="AN67" s="1170" t="n"/>
      <c r="AO67" s="1172" t="n"/>
      <c r="AP67" s="1170" t="n"/>
      <c r="AQ67" s="1170" t="n"/>
      <c r="AR67" s="1170" t="n"/>
      <c r="AS67" s="1170" t="n"/>
      <c r="AT67" s="1171" t="n"/>
      <c r="AU67" s="1172" t="n"/>
      <c r="AV67" s="1170" t="n"/>
      <c r="AW67" s="1170" t="n"/>
      <c r="AX67" s="1170" t="n"/>
      <c r="AY67" s="1170" t="n"/>
      <c r="AZ67" s="1170" t="n"/>
      <c r="BA67" s="1171" t="n"/>
      <c r="BB67" s="1172" t="n"/>
      <c r="BC67" s="1170" t="n"/>
      <c r="BD67" s="1170" t="n"/>
      <c r="BE67" s="1170" t="n"/>
      <c r="BF67" s="1170" t="n"/>
      <c r="BG67" s="1171" t="n"/>
      <c r="BH67" s="1172" t="n"/>
      <c r="BI67" s="1170" t="n"/>
      <c r="BJ67" s="1170" t="n"/>
      <c r="BK67" s="1170" t="n"/>
      <c r="BL67" s="1170" t="n"/>
      <c r="BM67" s="1171" t="n"/>
      <c r="BN67" s="1172" t="n"/>
      <c r="BO67" s="1170" t="n"/>
      <c r="BP67" s="1170" t="n"/>
      <c r="BQ67" s="1170" t="n"/>
      <c r="BR67" s="1170" t="n"/>
      <c r="BS67" s="1171" t="n"/>
      <c r="BT67" s="1172" t="n"/>
      <c r="BU67" s="1170" t="n"/>
      <c r="BV67" s="1170" t="n"/>
      <c r="BW67" s="1170" t="n"/>
      <c r="BX67" s="1170" t="n"/>
      <c r="BY67" s="1173" t="n"/>
    </row>
    <row r="68" ht="17.25" customHeight="1" s="838" thickBot="1">
      <c r="B68" s="770" t="n"/>
      <c r="C68" s="753" t="n"/>
      <c r="D68" s="413" t="inlineStr">
        <is>
          <t>`26 실적</t>
        </is>
      </c>
      <c r="E68" s="1174" t="n">
        <v>12.94201686</v>
      </c>
      <c r="F68" s="1175" t="n">
        <v>11.70161778</v>
      </c>
      <c r="G68" s="1175" t="n">
        <v>11.70161778</v>
      </c>
      <c r="H68" s="1175" t="n">
        <v>11.70161778</v>
      </c>
      <c r="I68" s="1175" t="n">
        <v>11.70161778</v>
      </c>
      <c r="J68" s="1175" t="n">
        <v>11.70161778</v>
      </c>
      <c r="K68" s="1174" t="n">
        <v>12.23552262</v>
      </c>
      <c r="L68" s="1175" t="n">
        <v>8.92610865</v>
      </c>
      <c r="M68" s="1175" t="n">
        <v>8.0252613</v>
      </c>
      <c r="N68" s="1175" t="n">
        <v>10.62249637</v>
      </c>
      <c r="O68" s="1176" t="n">
        <v>11.79802121</v>
      </c>
      <c r="P68" s="1174" t="n">
        <v>5.3734166</v>
      </c>
      <c r="Q68" s="1175" t="n">
        <v>8.91170997</v>
      </c>
      <c r="R68" s="1175" t="n">
        <v>8.91170997</v>
      </c>
      <c r="S68" s="1175" t="n">
        <v>8.91170997</v>
      </c>
      <c r="T68" s="1175" t="n">
        <v>13.46385034</v>
      </c>
      <c r="U68" s="1175" t="n">
        <v>8.91170997</v>
      </c>
      <c r="V68" s="1174" t="n">
        <v>13.91444553</v>
      </c>
      <c r="W68" s="1175" t="n">
        <v>12.07637991</v>
      </c>
      <c r="X68" s="1175" t="n">
        <v>12.07637991</v>
      </c>
      <c r="Y68" s="1175" t="n">
        <v>12.07637991</v>
      </c>
      <c r="Z68" s="1175" t="n">
        <v>12.07637991</v>
      </c>
      <c r="AA68" s="1176" t="n">
        <v>8.67186674</v>
      </c>
      <c r="AB68" s="1174" t="n"/>
      <c r="AC68" s="1175" t="n"/>
      <c r="AD68" s="1175" t="n"/>
      <c r="AE68" s="1175" t="n"/>
      <c r="AF68" s="1175" t="n"/>
      <c r="AG68" s="1175" t="n"/>
      <c r="AH68" s="1176" t="n"/>
      <c r="AI68" s="1174" t="n"/>
      <c r="AJ68" s="1175" t="n"/>
      <c r="AK68" s="1175" t="n"/>
      <c r="AL68" s="1175" t="n"/>
      <c r="AM68" s="1175" t="n"/>
      <c r="AN68" s="1175" t="n"/>
      <c r="AO68" s="1177" t="n"/>
      <c r="AP68" s="1175" t="n"/>
      <c r="AQ68" s="1175" t="n"/>
      <c r="AR68" s="1175" t="n"/>
      <c r="AS68" s="1175" t="n"/>
      <c r="AT68" s="1176" t="n"/>
      <c r="AU68" s="1177" t="n"/>
      <c r="AV68" s="1175" t="n"/>
      <c r="AW68" s="1175" t="n"/>
      <c r="AX68" s="1175" t="n"/>
      <c r="AY68" s="1175" t="n"/>
      <c r="AZ68" s="1175" t="n"/>
      <c r="BA68" s="1176" t="n"/>
      <c r="BB68" s="1177" t="n"/>
      <c r="BC68" s="1175" t="n"/>
      <c r="BD68" s="1175" t="n"/>
      <c r="BE68" s="1175" t="n"/>
      <c r="BF68" s="1175" t="n"/>
      <c r="BG68" s="1176" t="n"/>
      <c r="BH68" s="1177" t="n"/>
      <c r="BI68" s="1175" t="n"/>
      <c r="BJ68" s="1175" t="n"/>
      <c r="BK68" s="1175" t="n"/>
      <c r="BL68" s="1175" t="n"/>
      <c r="BM68" s="1166" t="n"/>
      <c r="BN68" s="1167" t="n"/>
      <c r="BO68" s="1165" t="n"/>
      <c r="BP68" s="1165" t="n"/>
      <c r="BQ68" s="1165" t="n"/>
      <c r="BR68" s="1165" t="n"/>
      <c r="BS68" s="1166" t="n"/>
      <c r="BT68" s="1167" t="n"/>
      <c r="BU68" s="1165" t="n"/>
      <c r="BV68" s="1165" t="n"/>
      <c r="BW68" s="1165" t="n"/>
      <c r="BX68" s="1165" t="n"/>
      <c r="BY68" s="1168" t="n"/>
    </row>
  </sheetData>
  <mergeCells count="44">
    <mergeCell ref="C56:C58"/>
    <mergeCell ref="C43:C45"/>
    <mergeCell ref="C29:C30"/>
    <mergeCell ref="B4:D5"/>
    <mergeCell ref="AI4:AN4"/>
    <mergeCell ref="C23:C25"/>
    <mergeCell ref="BB4:BG4"/>
    <mergeCell ref="B59:B68"/>
    <mergeCell ref="C66:C68"/>
    <mergeCell ref="C59:C60"/>
    <mergeCell ref="C9:C10"/>
    <mergeCell ref="BN4:BS4"/>
    <mergeCell ref="C13:C15"/>
    <mergeCell ref="C53:C55"/>
    <mergeCell ref="C46:C48"/>
    <mergeCell ref="C41:C42"/>
    <mergeCell ref="C21:C22"/>
    <mergeCell ref="C31:C32"/>
    <mergeCell ref="C11:C12"/>
    <mergeCell ref="C33:C35"/>
    <mergeCell ref="AO4:AT4"/>
    <mergeCell ref="C6:C8"/>
    <mergeCell ref="BT4:BY4"/>
    <mergeCell ref="C61:C62"/>
    <mergeCell ref="C51:C52"/>
    <mergeCell ref="B39:B48"/>
    <mergeCell ref="AB4:AH4"/>
    <mergeCell ref="AU4:BA4"/>
    <mergeCell ref="B6:B18"/>
    <mergeCell ref="B29:B38"/>
    <mergeCell ref="C63:C65"/>
    <mergeCell ref="C39:C40"/>
    <mergeCell ref="BH4:BM4"/>
    <mergeCell ref="P4:U4"/>
    <mergeCell ref="C19:C20"/>
    <mergeCell ref="C26:C28"/>
    <mergeCell ref="B49:B58"/>
    <mergeCell ref="V4:AA4"/>
    <mergeCell ref="C16:C18"/>
    <mergeCell ref="B19:B28"/>
    <mergeCell ref="E4:J4"/>
    <mergeCell ref="C49:C50"/>
    <mergeCell ref="K4:O4"/>
    <mergeCell ref="C36:C38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6600"/>
    <outlinePr summaryBelow="1" summaryRight="1"/>
    <pageSetUpPr/>
  </sheetPr>
  <dimension ref="B1:BZ42"/>
  <sheetViews>
    <sheetView showGridLines="0" zoomScale="75" zoomScaleNormal="7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E19" sqref="E19"/>
    </sheetView>
  </sheetViews>
  <sheetFormatPr baseColWidth="8" defaultColWidth="9" defaultRowHeight="16.5" customHeight="1"/>
  <cols>
    <col width="3.5" customWidth="1" style="429" min="1" max="1"/>
    <col width="14.875" customWidth="1" style="429" min="2" max="2"/>
    <col width="19.25" customWidth="1" style="429" min="3" max="3"/>
    <col width="6" customWidth="1" style="429" min="4" max="4"/>
    <col width="10" customWidth="1" style="430" min="5" max="5"/>
    <col width="7.125" customWidth="1" style="429" min="6" max="6"/>
    <col outlineLevel="1" width="7.125" customWidth="1" style="429" min="7" max="11"/>
    <col width="6.25" customWidth="1" style="429" min="12" max="12"/>
    <col outlineLevel="1" width="7.125" customWidth="1" style="429" min="13" max="13"/>
    <col outlineLevel="1" width="8" customWidth="1" style="429" min="14" max="14"/>
    <col outlineLevel="1" width="6.25" customWidth="1" style="429" min="15" max="16"/>
    <col width="7.125" customWidth="1" style="429" min="17" max="17"/>
    <col outlineLevel="1" width="7.125" customWidth="1" style="429" min="18" max="22"/>
    <col width="7.125" customWidth="1" style="429" min="23" max="23"/>
    <col outlineLevel="1" width="6.25" customWidth="1" style="429" min="24" max="24"/>
    <col outlineLevel="1" width="7.125" customWidth="1" style="429" min="25" max="28"/>
    <col width="7.125" customWidth="1" style="429" min="29" max="29"/>
    <col outlineLevel="1" width="6.25" customWidth="1" style="429" min="30" max="30"/>
    <col outlineLevel="1" width="7.125" customWidth="1" style="429" min="31" max="33"/>
    <col outlineLevel="1" width="6.25" customWidth="1" style="429" min="34" max="34"/>
    <col outlineLevel="1" width="7.125" customWidth="1" style="429" min="35" max="35"/>
    <col width="6.25" customWidth="1" style="429" min="36" max="36"/>
    <col outlineLevel="1" width="6.25" customWidth="1" style="429" min="37" max="39"/>
    <col outlineLevel="1" width="7.125" customWidth="1" style="429" min="40" max="41"/>
    <col width="7.625" customWidth="1" style="429" min="42" max="42"/>
    <col outlineLevel="1" width="7.625" customWidth="1" style="429" min="43" max="47"/>
    <col width="7.125" customWidth="1" style="429" min="48" max="48"/>
    <col outlineLevel="1" width="7.125" customWidth="1" style="429" min="49" max="53"/>
    <col outlineLevel="1" width="7" customWidth="1" style="429" min="54" max="54"/>
    <col width="7.125" customWidth="1" style="429" min="55" max="55"/>
    <col outlineLevel="1" width="7.125" customWidth="1" style="429" min="56" max="60"/>
    <col width="7.125" customWidth="1" style="429" min="61" max="61"/>
    <col outlineLevel="1" width="7.125" customWidth="1" style="429" min="62" max="66"/>
    <col width="7.125" customWidth="1" style="429" min="67" max="67"/>
    <col outlineLevel="1" width="7.125" customWidth="1" style="429" min="68" max="72"/>
    <col width="7.125" customWidth="1" style="429" min="73" max="73"/>
    <col outlineLevel="1" width="7.125" customWidth="1" style="429" min="74" max="76"/>
    <col outlineLevel="1" width="8" customWidth="1" style="429" min="77" max="77"/>
    <col outlineLevel="1" width="7.125" customWidth="1" style="429" min="78" max="78"/>
    <col width="9.125" customWidth="1" style="429" min="79" max="79"/>
    <col width="9" customWidth="1" style="429" min="80" max="80"/>
    <col width="9" customWidth="1" style="429" min="81" max="16384"/>
  </cols>
  <sheetData>
    <row r="1" ht="16.5" customHeight="1" s="838">
      <c r="AP1" s="430" t="n"/>
      <c r="AQ1" s="430" t="n"/>
      <c r="AR1" s="430" t="n"/>
      <c r="AS1" s="430" t="n"/>
      <c r="AT1" s="430" t="n"/>
      <c r="AU1" s="430" t="n"/>
    </row>
    <row r="2" ht="16.5" customHeight="1" s="838">
      <c r="B2" s="431" t="n"/>
      <c r="C2" s="432" t="n"/>
      <c r="D2" s="432" t="n"/>
      <c r="E2" s="433" t="n"/>
      <c r="F2" s="783" t="inlineStr">
        <is>
          <t>1월</t>
        </is>
      </c>
      <c r="G2" s="740" t="n"/>
      <c r="H2" s="740" t="n"/>
      <c r="I2" s="740" t="n"/>
      <c r="J2" s="740" t="n"/>
      <c r="K2" s="741" t="n"/>
      <c r="L2" s="783" t="inlineStr">
        <is>
          <t>2월</t>
        </is>
      </c>
      <c r="M2" s="740" t="n"/>
      <c r="N2" s="740" t="n"/>
      <c r="O2" s="740" t="n"/>
      <c r="P2" s="741" t="n"/>
      <c r="Q2" s="783" t="inlineStr">
        <is>
          <t>3월</t>
        </is>
      </c>
      <c r="R2" s="740" t="n"/>
      <c r="S2" s="740" t="n"/>
      <c r="T2" s="740" t="n"/>
      <c r="U2" s="740" t="n"/>
      <c r="V2" s="741" t="n"/>
      <c r="W2" s="783" t="inlineStr">
        <is>
          <t>4월</t>
        </is>
      </c>
      <c r="X2" s="740" t="n"/>
      <c r="Y2" s="740" t="n"/>
      <c r="Z2" s="740" t="n"/>
      <c r="AA2" s="740" t="n"/>
      <c r="AB2" s="741" t="n"/>
      <c r="AC2" s="783" t="inlineStr">
        <is>
          <t>5월</t>
        </is>
      </c>
      <c r="AD2" s="740" t="n"/>
      <c r="AE2" s="740" t="n"/>
      <c r="AF2" s="740" t="n"/>
      <c r="AG2" s="740" t="n"/>
      <c r="AH2" s="740" t="n"/>
      <c r="AI2" s="741" t="n"/>
      <c r="AJ2" s="783" t="inlineStr">
        <is>
          <t>6월</t>
        </is>
      </c>
      <c r="AK2" s="740" t="n"/>
      <c r="AL2" s="740" t="n"/>
      <c r="AM2" s="740" t="n"/>
      <c r="AN2" s="740" t="n"/>
      <c r="AO2" s="741" t="n"/>
      <c r="AP2" s="783" t="inlineStr">
        <is>
          <t>7월</t>
        </is>
      </c>
      <c r="AQ2" s="740" t="n"/>
      <c r="AR2" s="740" t="n"/>
      <c r="AS2" s="740" t="n"/>
      <c r="AT2" s="740" t="n"/>
      <c r="AU2" s="741" t="n"/>
      <c r="AV2" s="783" t="inlineStr">
        <is>
          <t>8월</t>
        </is>
      </c>
      <c r="AW2" s="740" t="n"/>
      <c r="AX2" s="740" t="n"/>
      <c r="AY2" s="740" t="n"/>
      <c r="AZ2" s="740" t="n"/>
      <c r="BA2" s="740" t="n"/>
      <c r="BB2" s="741" t="n"/>
      <c r="BC2" s="783" t="inlineStr">
        <is>
          <t>9월</t>
        </is>
      </c>
      <c r="BD2" s="740" t="n"/>
      <c r="BE2" s="740" t="n"/>
      <c r="BF2" s="740" t="n"/>
      <c r="BG2" s="740" t="n"/>
      <c r="BH2" s="741" t="n"/>
      <c r="BI2" s="783" t="inlineStr">
        <is>
          <t>10월</t>
        </is>
      </c>
      <c r="BJ2" s="740" t="n"/>
      <c r="BK2" s="740" t="n"/>
      <c r="BL2" s="740" t="n"/>
      <c r="BM2" s="740" t="n"/>
      <c r="BN2" s="741" t="n"/>
      <c r="BO2" s="783" t="inlineStr">
        <is>
          <t>11월</t>
        </is>
      </c>
      <c r="BP2" s="740" t="n"/>
      <c r="BQ2" s="740" t="n"/>
      <c r="BR2" s="740" t="n"/>
      <c r="BS2" s="740" t="n"/>
      <c r="BT2" s="741" t="n"/>
      <c r="BU2" s="783" t="inlineStr">
        <is>
          <t>12월</t>
        </is>
      </c>
      <c r="BV2" s="740" t="n"/>
      <c r="BW2" s="740" t="n"/>
      <c r="BX2" s="740" t="n"/>
      <c r="BY2" s="740" t="n"/>
      <c r="BZ2" s="741" t="n"/>
    </row>
    <row r="3" ht="17.25" customHeight="1" s="838">
      <c r="B3" s="435" t="n"/>
      <c r="F3" s="395" t="inlineStr">
        <is>
          <t>실적</t>
        </is>
      </c>
      <c r="G3" s="783" t="inlineStr">
        <is>
          <t>W1</t>
        </is>
      </c>
      <c r="H3" s="783" t="inlineStr">
        <is>
          <t>W2</t>
        </is>
      </c>
      <c r="I3" s="783" t="inlineStr">
        <is>
          <t>W3</t>
        </is>
      </c>
      <c r="J3" s="783" t="inlineStr">
        <is>
          <t>W4</t>
        </is>
      </c>
      <c r="K3" s="783" t="inlineStr">
        <is>
          <t>W5</t>
        </is>
      </c>
      <c r="L3" s="195" t="inlineStr">
        <is>
          <t>실적</t>
        </is>
      </c>
      <c r="M3" s="87" t="inlineStr">
        <is>
          <t>W6</t>
        </is>
      </c>
      <c r="N3" s="87" t="inlineStr">
        <is>
          <t>W7</t>
        </is>
      </c>
      <c r="O3" s="87" t="inlineStr">
        <is>
          <t>W8</t>
        </is>
      </c>
      <c r="P3" s="87" t="inlineStr">
        <is>
          <t>W9</t>
        </is>
      </c>
      <c r="Q3" s="195" t="inlineStr">
        <is>
          <t>실적</t>
        </is>
      </c>
      <c r="R3" s="87" t="inlineStr">
        <is>
          <t>W10</t>
        </is>
      </c>
      <c r="S3" s="87" t="inlineStr">
        <is>
          <t>W11</t>
        </is>
      </c>
      <c r="T3" s="87" t="inlineStr">
        <is>
          <t>W12</t>
        </is>
      </c>
      <c r="U3" s="87" t="inlineStr">
        <is>
          <t>W13</t>
        </is>
      </c>
      <c r="V3" s="87" t="inlineStr">
        <is>
          <t>W14</t>
        </is>
      </c>
      <c r="W3" s="395" t="inlineStr">
        <is>
          <t>실적</t>
        </is>
      </c>
      <c r="X3" s="783" t="inlineStr">
        <is>
          <t>W14</t>
        </is>
      </c>
      <c r="Y3" s="783" t="inlineStr">
        <is>
          <t>W15</t>
        </is>
      </c>
      <c r="Z3" s="783" t="inlineStr">
        <is>
          <t>W16</t>
        </is>
      </c>
      <c r="AA3" s="783" t="inlineStr">
        <is>
          <t>W17</t>
        </is>
      </c>
      <c r="AB3" s="783" t="inlineStr">
        <is>
          <t>W18</t>
        </is>
      </c>
      <c r="AC3" s="395" t="inlineStr">
        <is>
          <t>실적</t>
        </is>
      </c>
      <c r="AD3" s="783" t="inlineStr">
        <is>
          <t>W18</t>
        </is>
      </c>
      <c r="AE3" s="783" t="inlineStr">
        <is>
          <t>W19</t>
        </is>
      </c>
      <c r="AF3" s="783" t="inlineStr">
        <is>
          <t>W20</t>
        </is>
      </c>
      <c r="AG3" s="783" t="inlineStr">
        <is>
          <t>W21</t>
        </is>
      </c>
      <c r="AH3" s="783" t="inlineStr">
        <is>
          <t>W22</t>
        </is>
      </c>
      <c r="AI3" s="783" t="inlineStr">
        <is>
          <t>W23</t>
        </is>
      </c>
      <c r="AJ3" s="395" t="inlineStr">
        <is>
          <t>실적</t>
        </is>
      </c>
      <c r="AK3" s="783" t="inlineStr">
        <is>
          <t>W23</t>
        </is>
      </c>
      <c r="AL3" s="783" t="inlineStr">
        <is>
          <t>W24</t>
        </is>
      </c>
      <c r="AM3" s="783" t="inlineStr">
        <is>
          <t>W25</t>
        </is>
      </c>
      <c r="AN3" s="783" t="inlineStr">
        <is>
          <t>W26</t>
        </is>
      </c>
      <c r="AO3" s="783" t="inlineStr">
        <is>
          <t>W27</t>
        </is>
      </c>
      <c r="AP3" s="395" t="inlineStr">
        <is>
          <t>실적</t>
        </is>
      </c>
      <c r="AQ3" s="783" t="inlineStr">
        <is>
          <t>W27</t>
        </is>
      </c>
      <c r="AR3" s="783" t="inlineStr">
        <is>
          <t>W28</t>
        </is>
      </c>
      <c r="AS3" s="783" t="inlineStr">
        <is>
          <t>W29</t>
        </is>
      </c>
      <c r="AT3" s="783" t="inlineStr">
        <is>
          <t>W30</t>
        </is>
      </c>
      <c r="AU3" s="783" t="inlineStr">
        <is>
          <t>W31</t>
        </is>
      </c>
      <c r="AV3" s="395" t="inlineStr">
        <is>
          <t>실적</t>
        </is>
      </c>
      <c r="AW3" s="783" t="inlineStr">
        <is>
          <t>W31</t>
        </is>
      </c>
      <c r="AX3" s="783" t="inlineStr">
        <is>
          <t>W32</t>
        </is>
      </c>
      <c r="AY3" s="783" t="inlineStr">
        <is>
          <t>W33</t>
        </is>
      </c>
      <c r="AZ3" s="783" t="inlineStr">
        <is>
          <t>W34</t>
        </is>
      </c>
      <c r="BA3" s="783" t="inlineStr">
        <is>
          <t>W35</t>
        </is>
      </c>
      <c r="BB3" s="783" t="inlineStr">
        <is>
          <t>W36</t>
        </is>
      </c>
      <c r="BC3" s="395" t="inlineStr">
        <is>
          <t>실적</t>
        </is>
      </c>
      <c r="BD3" s="783" t="inlineStr">
        <is>
          <t>W36</t>
        </is>
      </c>
      <c r="BE3" s="783" t="inlineStr">
        <is>
          <t>W37</t>
        </is>
      </c>
      <c r="BF3" s="783" t="inlineStr">
        <is>
          <t>W38</t>
        </is>
      </c>
      <c r="BG3" s="783" t="inlineStr">
        <is>
          <t>W39</t>
        </is>
      </c>
      <c r="BH3" s="783" t="inlineStr">
        <is>
          <t>W40</t>
        </is>
      </c>
      <c r="BI3" s="395" t="inlineStr">
        <is>
          <t>실적</t>
        </is>
      </c>
      <c r="BJ3" s="783" t="inlineStr">
        <is>
          <t>W40</t>
        </is>
      </c>
      <c r="BK3" s="783" t="inlineStr">
        <is>
          <t>W41</t>
        </is>
      </c>
      <c r="BL3" s="783" t="inlineStr">
        <is>
          <t>W42</t>
        </is>
      </c>
      <c r="BM3" s="783" t="inlineStr">
        <is>
          <t>W43</t>
        </is>
      </c>
      <c r="BN3" s="783" t="inlineStr">
        <is>
          <t>W44</t>
        </is>
      </c>
      <c r="BO3" s="395" t="inlineStr">
        <is>
          <t>실적</t>
        </is>
      </c>
      <c r="BP3" s="783" t="inlineStr">
        <is>
          <t>W45</t>
        </is>
      </c>
      <c r="BQ3" s="783" t="inlineStr">
        <is>
          <t>W46</t>
        </is>
      </c>
      <c r="BR3" s="783" t="inlineStr">
        <is>
          <t>W47</t>
        </is>
      </c>
      <c r="BS3" s="783" t="inlineStr">
        <is>
          <t>W48</t>
        </is>
      </c>
      <c r="BT3" s="783" t="inlineStr">
        <is>
          <t>W49</t>
        </is>
      </c>
      <c r="BU3" s="395" t="inlineStr">
        <is>
          <t>실적</t>
        </is>
      </c>
      <c r="BV3" s="783" t="inlineStr">
        <is>
          <t>W49</t>
        </is>
      </c>
      <c r="BW3" s="783" t="inlineStr">
        <is>
          <t>W50</t>
        </is>
      </c>
      <c r="BX3" s="783" t="inlineStr">
        <is>
          <t>W51</t>
        </is>
      </c>
      <c r="BY3" s="783" t="inlineStr">
        <is>
          <t>W52</t>
        </is>
      </c>
      <c r="BZ3" s="783" t="inlineStr">
        <is>
          <t>W53</t>
        </is>
      </c>
    </row>
    <row r="4" ht="16.5" customHeight="1" s="838">
      <c r="B4" s="786" t="inlineStr">
        <is>
          <t>Total</t>
        </is>
      </c>
      <c r="C4" s="743" t="n"/>
      <c r="D4" s="787" t="inlineStr">
        <is>
          <t>목표</t>
        </is>
      </c>
      <c r="E4" s="751" t="n"/>
      <c r="F4" s="1178">
        <f>SUM(F8,F16)</f>
        <v/>
      </c>
      <c r="G4" s="1179">
        <f>SUM(G8,G16)</f>
        <v/>
      </c>
      <c r="H4" s="1179">
        <f>SUM(H8,H16)</f>
        <v/>
      </c>
      <c r="I4" s="1179">
        <f>SUM(I8,I16)</f>
        <v/>
      </c>
      <c r="J4" s="1179">
        <f>SUM(J8,J16)</f>
        <v/>
      </c>
      <c r="K4" s="1180">
        <f>SUM(K8,K16)</f>
        <v/>
      </c>
      <c r="L4" s="1178">
        <f>SUM(L8,L16)</f>
        <v/>
      </c>
      <c r="M4" s="1179">
        <f>SUM(M8,M16)</f>
        <v/>
      </c>
      <c r="N4" s="1179">
        <f>SUM(N8,N16)</f>
        <v/>
      </c>
      <c r="O4" s="1179">
        <f>SUM(O8,O16)</f>
        <v/>
      </c>
      <c r="P4" s="1180">
        <f>SUM(P8,P16)</f>
        <v/>
      </c>
      <c r="Q4" s="1178">
        <f>SUM(Q8,Q16)</f>
        <v/>
      </c>
      <c r="R4" s="1179">
        <f>SUM(R8,R16)</f>
        <v/>
      </c>
      <c r="S4" s="1179">
        <f>SUM(S8,S16)</f>
        <v/>
      </c>
      <c r="T4" s="1179">
        <f>SUM(T8,T16)</f>
        <v/>
      </c>
      <c r="U4" s="1179">
        <f>SUM(U8,U16)</f>
        <v/>
      </c>
      <c r="V4" s="1180">
        <f>SUM(V8,V16)</f>
        <v/>
      </c>
      <c r="W4" s="1178">
        <f>SUM(W8,W16)</f>
        <v/>
      </c>
      <c r="X4" s="1179">
        <f>SUM(X8,X16)</f>
        <v/>
      </c>
      <c r="Y4" s="1179">
        <f>SUM(Y8,Y16)</f>
        <v/>
      </c>
      <c r="Z4" s="1179">
        <f>SUM(Z8,Z16)</f>
        <v/>
      </c>
      <c r="AA4" s="1179">
        <f>SUM(AA8,AA16)</f>
        <v/>
      </c>
      <c r="AB4" s="1180">
        <f>SUM(AB8,AB16)</f>
        <v/>
      </c>
      <c r="AC4" s="1178" t="n"/>
      <c r="AD4" s="1179" t="n"/>
      <c r="AE4" s="1179" t="n"/>
      <c r="AF4" s="1179" t="n"/>
      <c r="AG4" s="1179" t="n"/>
      <c r="AH4" s="1179" t="n"/>
      <c r="AI4" s="1180" t="n"/>
      <c r="AJ4" s="1178" t="n"/>
      <c r="AK4" s="1179" t="n"/>
      <c r="AL4" s="1179" t="n"/>
      <c r="AM4" s="1179" t="n"/>
      <c r="AN4" s="1179" t="n"/>
      <c r="AO4" s="1180" t="n"/>
      <c r="AP4" s="1178" t="n"/>
      <c r="AQ4" s="1181" t="n"/>
      <c r="AR4" s="1179" t="n"/>
      <c r="AS4" s="1179" t="n"/>
      <c r="AT4" s="1179" t="n"/>
      <c r="AU4" s="1180" t="n"/>
      <c r="AV4" s="1178" t="n"/>
      <c r="AW4" s="1181" t="n"/>
      <c r="AX4" s="1179" t="n"/>
      <c r="AY4" s="1179" t="n"/>
      <c r="AZ4" s="1179" t="n"/>
      <c r="BA4" s="1179" t="n"/>
      <c r="BB4" s="1180" t="n"/>
      <c r="BC4" s="1178" t="n"/>
      <c r="BD4" s="1181" t="n"/>
      <c r="BE4" s="1179" t="n"/>
      <c r="BF4" s="1179" t="n"/>
      <c r="BG4" s="1179" t="n"/>
      <c r="BH4" s="1180" t="n"/>
      <c r="BI4" s="1178" t="n"/>
      <c r="BJ4" s="1179" t="n"/>
      <c r="BK4" s="1179" t="n"/>
      <c r="BL4" s="1179" t="n"/>
      <c r="BM4" s="1179" t="n"/>
      <c r="BN4" s="1180" t="n"/>
      <c r="BO4" s="1178" t="n"/>
      <c r="BP4" s="1179" t="n"/>
      <c r="BQ4" s="1179" t="n"/>
      <c r="BR4" s="1179" t="n"/>
      <c r="BS4" s="1179" t="n"/>
      <c r="BT4" s="1180" t="n"/>
      <c r="BU4" s="1178" t="n"/>
      <c r="BV4" s="1179" t="n"/>
      <c r="BW4" s="1179" t="n"/>
      <c r="BX4" s="1179" t="n"/>
      <c r="BY4" s="1179" t="n"/>
      <c r="BZ4" s="441" t="n"/>
    </row>
    <row r="5" ht="17.25" customHeight="1" s="838">
      <c r="B5" s="767" t="n"/>
      <c r="C5" s="736" t="n"/>
      <c r="D5" s="784" t="inlineStr">
        <is>
          <t>실적</t>
        </is>
      </c>
      <c r="E5" s="747" t="n"/>
      <c r="F5" s="949">
        <f>SUM(F12,F20)</f>
        <v/>
      </c>
      <c r="G5" s="950">
        <f>SUM(G12,G20)</f>
        <v/>
      </c>
      <c r="H5" s="950">
        <f>SUM(H12,H20)</f>
        <v/>
      </c>
      <c r="I5" s="950">
        <f>SUM(I12,I20)</f>
        <v/>
      </c>
      <c r="J5" s="950">
        <f>SUM(J12,J20)</f>
        <v/>
      </c>
      <c r="K5" s="953">
        <f>SUM(K12,K20)</f>
        <v/>
      </c>
      <c r="L5" s="949">
        <f>SUM(L12,L20)</f>
        <v/>
      </c>
      <c r="M5" s="950">
        <f>SUM(M12,M20)</f>
        <v/>
      </c>
      <c r="N5" s="950">
        <f>SUM(N12,N20)</f>
        <v/>
      </c>
      <c r="O5" s="950">
        <f>SUM(O12,O20)</f>
        <v/>
      </c>
      <c r="P5" s="953">
        <f>SUM(P12,P20)</f>
        <v/>
      </c>
      <c r="Q5" s="949">
        <f>SUM(Q12,Q20)</f>
        <v/>
      </c>
      <c r="R5" s="950">
        <f>SUM(R12,R20)</f>
        <v/>
      </c>
      <c r="S5" s="950">
        <f>SUM(S12,S20)</f>
        <v/>
      </c>
      <c r="T5" s="950">
        <f>SUM(T12,T20)</f>
        <v/>
      </c>
      <c r="U5" s="950">
        <f>SUM(U12,U20)</f>
        <v/>
      </c>
      <c r="V5" s="953">
        <f>SUM(V12,V20)</f>
        <v/>
      </c>
      <c r="W5" s="949">
        <f>SUM(W12,W20)</f>
        <v/>
      </c>
      <c r="X5" s="950">
        <f>SUM(X12,X20)</f>
        <v/>
      </c>
      <c r="Y5" s="950">
        <f>SUM(Y12,Y20)</f>
        <v/>
      </c>
      <c r="Z5" s="950">
        <f>SUM(Z12,Z20)</f>
        <v/>
      </c>
      <c r="AA5" s="950">
        <f>SUM(AA12,AA20)</f>
        <v/>
      </c>
      <c r="AB5" s="953">
        <f>SUM(AB12,AB20)</f>
        <v/>
      </c>
      <c r="AC5" s="949" t="n"/>
      <c r="AD5" s="950" t="n"/>
      <c r="AE5" s="950" t="n"/>
      <c r="AF5" s="950" t="n"/>
      <c r="AG5" s="950" t="n"/>
      <c r="AH5" s="950" t="n"/>
      <c r="AI5" s="953" t="n"/>
      <c r="AJ5" s="949" t="n"/>
      <c r="AK5" s="950" t="n"/>
      <c r="AL5" s="950" t="n"/>
      <c r="AM5" s="950" t="n"/>
      <c r="AN5" s="950" t="n"/>
      <c r="AO5" s="953" t="n"/>
      <c r="AP5" s="949" t="n"/>
      <c r="AQ5" s="952" t="n"/>
      <c r="AR5" s="950" t="n"/>
      <c r="AS5" s="950" t="n"/>
      <c r="AT5" s="950" t="n"/>
      <c r="AU5" s="953" t="n"/>
      <c r="AV5" s="949" t="n"/>
      <c r="AW5" s="952" t="n"/>
      <c r="AX5" s="950" t="n"/>
      <c r="AY5" s="950" t="n"/>
      <c r="AZ5" s="950" t="n"/>
      <c r="BA5" s="950" t="n"/>
      <c r="BB5" s="1182" t="n"/>
      <c r="BC5" s="1183" t="n"/>
      <c r="BD5" s="1184" t="n"/>
      <c r="BE5" s="1185" t="n"/>
      <c r="BF5" s="1185" t="n"/>
      <c r="BG5" s="1185" t="n"/>
      <c r="BH5" s="1182" t="n"/>
      <c r="BI5" s="1183" t="n"/>
      <c r="BJ5" s="1185" t="n"/>
      <c r="BK5" s="1185" t="n"/>
      <c r="BL5" s="1185" t="n"/>
      <c r="BM5" s="1185" t="n"/>
      <c r="BN5" s="1182" t="n"/>
      <c r="BO5" s="1183" t="n"/>
      <c r="BP5" s="1185" t="n"/>
      <c r="BQ5" s="1185" t="n"/>
      <c r="BR5" s="1185" t="n"/>
      <c r="BS5" s="1185" t="n"/>
      <c r="BT5" s="1182" t="n"/>
      <c r="BU5" s="1183" t="n"/>
      <c r="BV5" s="1185" t="n"/>
      <c r="BW5" s="1185" t="n"/>
      <c r="BX5" s="1185" t="n"/>
      <c r="BY5" s="1185" t="n"/>
      <c r="BZ5" s="447" t="n"/>
    </row>
    <row r="6" ht="16.5" customHeight="1" s="838">
      <c r="B6" s="785" t="inlineStr">
        <is>
          <t>투자비 (설비)</t>
        </is>
      </c>
      <c r="C6" s="750" t="inlineStr">
        <is>
          <t>제품1</t>
        </is>
      </c>
      <c r="D6" s="750" t="inlineStr">
        <is>
          <t>목표</t>
        </is>
      </c>
      <c r="E6" s="448" t="inlineStr">
        <is>
          <t>Base</t>
        </is>
      </c>
      <c r="F6" s="889" t="n">
        <v>23.09</v>
      </c>
      <c r="G6" s="890" t="n">
        <v>23.09</v>
      </c>
      <c r="H6" s="890" t="n">
        <v>23.09</v>
      </c>
      <c r="I6" s="890" t="n">
        <v>23.09</v>
      </c>
      <c r="J6" s="890" t="n">
        <v>23.09</v>
      </c>
      <c r="K6" s="891" t="n">
        <v>23.09</v>
      </c>
      <c r="L6" s="889" t="n">
        <v>23.09</v>
      </c>
      <c r="M6" s="890" t="n">
        <v>23.09</v>
      </c>
      <c r="N6" s="890" t="n">
        <v>23.09</v>
      </c>
      <c r="O6" s="890" t="n">
        <v>23.09</v>
      </c>
      <c r="P6" s="891" t="n">
        <v>23.09</v>
      </c>
      <c r="Q6" s="889" t="n">
        <v>23.09</v>
      </c>
      <c r="R6" s="890" t="n">
        <v>23.09</v>
      </c>
      <c r="S6" s="890" t="n">
        <v>23.09</v>
      </c>
      <c r="T6" s="890" t="n">
        <v>23.09</v>
      </c>
      <c r="U6" s="890" t="n">
        <v>23.09</v>
      </c>
      <c r="V6" s="891" t="n">
        <v>23.09</v>
      </c>
      <c r="W6" s="889" t="n">
        <v>23.09</v>
      </c>
      <c r="X6" s="890" t="n">
        <v>23.09</v>
      </c>
      <c r="Y6" s="890" t="n">
        <v>23.09</v>
      </c>
      <c r="Z6" s="890" t="n">
        <v>23.09</v>
      </c>
      <c r="AA6" s="890" t="n">
        <v>23.09</v>
      </c>
      <c r="AB6" s="891" t="n">
        <v>23.09</v>
      </c>
      <c r="AC6" s="889" t="n"/>
      <c r="AD6" s="890" t="n"/>
      <c r="AE6" s="890" t="n"/>
      <c r="AF6" s="890" t="n"/>
      <c r="AG6" s="890" t="n"/>
      <c r="AH6" s="890" t="n"/>
      <c r="AI6" s="891" t="n"/>
      <c r="AJ6" s="1186" t="n"/>
      <c r="AK6" s="1187" t="n"/>
      <c r="AL6" s="1187" t="n"/>
      <c r="AM6" s="1187" t="n"/>
      <c r="AN6" s="1187" t="n"/>
      <c r="AO6" s="1188" t="n"/>
      <c r="AP6" s="889" t="n"/>
      <c r="AQ6" s="1189" t="n"/>
      <c r="AR6" s="890" t="n"/>
      <c r="AS6" s="890" t="n"/>
      <c r="AT6" s="890" t="n"/>
      <c r="AU6" s="891" t="n"/>
      <c r="AV6" s="889" t="n"/>
      <c r="AW6" s="1189" t="n"/>
      <c r="AX6" s="890" t="n"/>
      <c r="AY6" s="890" t="n"/>
      <c r="AZ6" s="890" t="n"/>
      <c r="BA6" s="890" t="n"/>
      <c r="BB6" s="891" t="n"/>
      <c r="BC6" s="889" t="n"/>
      <c r="BD6" s="1189" t="n"/>
      <c r="BE6" s="890" t="n"/>
      <c r="BF6" s="890" t="n"/>
      <c r="BG6" s="890" t="n"/>
      <c r="BH6" s="891" t="n"/>
      <c r="BI6" s="889" t="n"/>
      <c r="BJ6" s="890" t="n"/>
      <c r="BK6" s="890" t="n"/>
      <c r="BL6" s="890" t="n"/>
      <c r="BM6" s="890" t="n"/>
      <c r="BN6" s="891" t="n"/>
      <c r="BO6" s="889" t="n"/>
      <c r="BP6" s="890" t="n"/>
      <c r="BQ6" s="890" t="n"/>
      <c r="BR6" s="890" t="n"/>
      <c r="BS6" s="890" t="n"/>
      <c r="BT6" s="891" t="n"/>
      <c r="BU6" s="889" t="n"/>
      <c r="BV6" s="890" t="n"/>
      <c r="BW6" s="890" t="n"/>
      <c r="BX6" s="890" t="n"/>
      <c r="BY6" s="890" t="n"/>
      <c r="BZ6" s="1190" t="n"/>
    </row>
    <row r="7" ht="16.5" customHeight="1" s="838">
      <c r="B7" s="756" t="n"/>
      <c r="C7" s="738" t="n"/>
      <c r="D7" s="738" t="n"/>
      <c r="E7" s="454" t="inlineStr">
        <is>
          <t>발주금액</t>
        </is>
      </c>
      <c r="F7" s="925" t="n">
        <v>22.01</v>
      </c>
      <c r="G7" s="926" t="n">
        <v>22.01</v>
      </c>
      <c r="H7" s="926" t="n">
        <v>22.01</v>
      </c>
      <c r="I7" s="926" t="n">
        <v>22.01</v>
      </c>
      <c r="J7" s="926" t="n">
        <v>22.01</v>
      </c>
      <c r="K7" s="927" t="n">
        <v>22.01</v>
      </c>
      <c r="L7" s="925" t="n">
        <v>22.01</v>
      </c>
      <c r="M7" s="926" t="n">
        <v>22.01</v>
      </c>
      <c r="N7" s="926" t="n">
        <v>22.01</v>
      </c>
      <c r="O7" s="926" t="n">
        <v>22.01</v>
      </c>
      <c r="P7" s="927" t="n">
        <v>22.01</v>
      </c>
      <c r="Q7" s="925" t="n">
        <v>22.01</v>
      </c>
      <c r="R7" s="926" t="n">
        <v>22.01</v>
      </c>
      <c r="S7" s="926" t="n">
        <v>22.01</v>
      </c>
      <c r="T7" s="926" t="n">
        <v>22.01</v>
      </c>
      <c r="U7" s="926" t="n">
        <v>22.01</v>
      </c>
      <c r="V7" s="927" t="n">
        <v>22.01</v>
      </c>
      <c r="W7" s="925" t="n">
        <v>22.01</v>
      </c>
      <c r="X7" s="926" t="n">
        <v>22.01</v>
      </c>
      <c r="Y7" s="926" t="n">
        <v>22.01</v>
      </c>
      <c r="Z7" s="926" t="n">
        <v>22.01</v>
      </c>
      <c r="AA7" s="926" t="n">
        <v>22.01</v>
      </c>
      <c r="AB7" s="927" t="n">
        <v>22.01</v>
      </c>
      <c r="AC7" s="925" t="n"/>
      <c r="AD7" s="926" t="n"/>
      <c r="AE7" s="926" t="n"/>
      <c r="AF7" s="926" t="n"/>
      <c r="AG7" s="926" t="n"/>
      <c r="AH7" s="926" t="n"/>
      <c r="AI7" s="927" t="n"/>
      <c r="AJ7" s="1114" t="n"/>
      <c r="AK7" s="946" t="n"/>
      <c r="AL7" s="946" t="n"/>
      <c r="AM7" s="946" t="n"/>
      <c r="AN7" s="946" t="n"/>
      <c r="AO7" s="1111" t="n"/>
      <c r="AP7" s="925" t="n"/>
      <c r="AQ7" s="1056" t="n"/>
      <c r="AR7" s="926" t="n"/>
      <c r="AS7" s="926" t="n"/>
      <c r="AT7" s="926" t="n"/>
      <c r="AU7" s="927" t="n"/>
      <c r="AV7" s="925" t="n"/>
      <c r="AW7" s="1056" t="n"/>
      <c r="AX7" s="926" t="n"/>
      <c r="AY7" s="926" t="n"/>
      <c r="AZ7" s="926" t="n"/>
      <c r="BA7" s="926" t="n"/>
      <c r="BB7" s="927" t="n"/>
      <c r="BC7" s="925" t="n"/>
      <c r="BD7" s="1056" t="n"/>
      <c r="BE7" s="926" t="n"/>
      <c r="BF7" s="926" t="n"/>
      <c r="BG7" s="926" t="n"/>
      <c r="BH7" s="927" t="n"/>
      <c r="BI7" s="925" t="n"/>
      <c r="BJ7" s="926" t="n"/>
      <c r="BK7" s="926" t="n"/>
      <c r="BL7" s="926" t="n"/>
      <c r="BM7" s="926" t="n"/>
      <c r="BN7" s="927" t="n"/>
      <c r="BO7" s="925" t="n"/>
      <c r="BP7" s="926" t="n"/>
      <c r="BQ7" s="926" t="n"/>
      <c r="BR7" s="926" t="n"/>
      <c r="BS7" s="926" t="n"/>
      <c r="BT7" s="927" t="n"/>
      <c r="BU7" s="925" t="n"/>
      <c r="BV7" s="926" t="n"/>
      <c r="BW7" s="926" t="n"/>
      <c r="BX7" s="926" t="n"/>
      <c r="BY7" s="926" t="n"/>
      <c r="BZ7" s="928" t="n"/>
    </row>
    <row r="8" ht="16.5" customHeight="1" s="838">
      <c r="B8" s="756" t="n"/>
      <c r="C8" s="738" t="n"/>
      <c r="D8" s="738" t="n"/>
      <c r="E8" s="454" t="inlineStr">
        <is>
          <t>저감금액</t>
        </is>
      </c>
      <c r="F8" s="925">
        <f>F6-F7</f>
        <v/>
      </c>
      <c r="G8" s="926">
        <f>G6-G7</f>
        <v/>
      </c>
      <c r="H8" s="926">
        <f>H6-H7</f>
        <v/>
      </c>
      <c r="I8" s="926">
        <f>I6-I7</f>
        <v/>
      </c>
      <c r="J8" s="926">
        <f>J6-J7</f>
        <v/>
      </c>
      <c r="K8" s="927">
        <f>K6-K7</f>
        <v/>
      </c>
      <c r="L8" s="925">
        <f>L6-L7</f>
        <v/>
      </c>
      <c r="M8" s="926">
        <f>M6-M7</f>
        <v/>
      </c>
      <c r="N8" s="926">
        <f>N6-N7</f>
        <v/>
      </c>
      <c r="O8" s="926">
        <f>O6-O7</f>
        <v/>
      </c>
      <c r="P8" s="927">
        <f>P6-P7</f>
        <v/>
      </c>
      <c r="Q8" s="925">
        <f>Q6-Q7</f>
        <v/>
      </c>
      <c r="R8" s="926">
        <f>R6-R7</f>
        <v/>
      </c>
      <c r="S8" s="926">
        <f>S6-S7</f>
        <v/>
      </c>
      <c r="T8" s="926">
        <f>T6-T7</f>
        <v/>
      </c>
      <c r="U8" s="926">
        <f>U6-U7</f>
        <v/>
      </c>
      <c r="V8" s="927">
        <f>V6-V7</f>
        <v/>
      </c>
      <c r="W8" s="925">
        <f>W6-W7</f>
        <v/>
      </c>
      <c r="X8" s="926">
        <f>X6-X7</f>
        <v/>
      </c>
      <c r="Y8" s="926">
        <f>Y6-Y7</f>
        <v/>
      </c>
      <c r="Z8" s="926">
        <f>Z6-Z7</f>
        <v/>
      </c>
      <c r="AA8" s="926">
        <f>AA6-AA7</f>
        <v/>
      </c>
      <c r="AB8" s="927">
        <f>AB6-AB7</f>
        <v/>
      </c>
      <c r="AC8" s="925" t="n"/>
      <c r="AD8" s="926" t="n"/>
      <c r="AE8" s="926" t="n"/>
      <c r="AF8" s="926" t="n"/>
      <c r="AG8" s="926" t="n"/>
      <c r="AH8" s="926" t="n"/>
      <c r="AI8" s="927" t="n"/>
      <c r="AJ8" s="1114" t="n"/>
      <c r="AK8" s="946" t="n"/>
      <c r="AL8" s="946" t="n"/>
      <c r="AM8" s="946" t="n"/>
      <c r="AN8" s="946" t="n"/>
      <c r="AO8" s="1111" t="n"/>
      <c r="AP8" s="925" t="n"/>
      <c r="AQ8" s="1056" t="n"/>
      <c r="AR8" s="926" t="n"/>
      <c r="AS8" s="926" t="n"/>
      <c r="AT8" s="926" t="n"/>
      <c r="AU8" s="927" t="n"/>
      <c r="AV8" s="925" t="n"/>
      <c r="AW8" s="1056" t="n"/>
      <c r="AX8" s="926" t="n"/>
      <c r="AY8" s="926" t="n"/>
      <c r="AZ8" s="926" t="n"/>
      <c r="BA8" s="926" t="n"/>
      <c r="BB8" s="927" t="n"/>
      <c r="BC8" s="925" t="n"/>
      <c r="BD8" s="1056" t="n"/>
      <c r="BE8" s="926" t="n"/>
      <c r="BF8" s="926" t="n"/>
      <c r="BG8" s="926" t="n"/>
      <c r="BH8" s="927" t="n"/>
      <c r="BI8" s="925" t="n"/>
      <c r="BJ8" s="926" t="n"/>
      <c r="BK8" s="926" t="n"/>
      <c r="BL8" s="926" t="n"/>
      <c r="BM8" s="926" t="n"/>
      <c r="BN8" s="927" t="n"/>
      <c r="BO8" s="925" t="n"/>
      <c r="BP8" s="926" t="n"/>
      <c r="BQ8" s="926" t="n"/>
      <c r="BR8" s="926" t="n"/>
      <c r="BS8" s="926" t="n"/>
      <c r="BT8" s="927" t="n"/>
      <c r="BU8" s="925" t="n"/>
      <c r="BV8" s="926" t="n"/>
      <c r="BW8" s="926" t="n"/>
      <c r="BX8" s="926" t="n"/>
      <c r="BY8" s="926" t="n"/>
      <c r="BZ8" s="1191" t="n"/>
    </row>
    <row r="9" ht="16.5" customHeight="1" s="838">
      <c r="B9" s="756" t="n"/>
      <c r="C9" s="738" t="n"/>
      <c r="D9" s="739" t="n"/>
      <c r="E9" s="456" t="inlineStr">
        <is>
          <t>저감율</t>
        </is>
      </c>
      <c r="F9" s="167">
        <f>IFERROR(F8/F6,"")</f>
        <v/>
      </c>
      <c r="G9" s="168">
        <f>IFERROR(G8/G6,"")</f>
        <v/>
      </c>
      <c r="H9" s="168">
        <f>IFERROR(H8/H6,"")</f>
        <v/>
      </c>
      <c r="I9" s="168">
        <f>IFERROR(I8/I6,"")</f>
        <v/>
      </c>
      <c r="J9" s="168">
        <f>IFERROR(J8/J6,"")</f>
        <v/>
      </c>
      <c r="K9" s="169">
        <f>IFERROR(K8/K6,"")</f>
        <v/>
      </c>
      <c r="L9" s="167">
        <f>IFERROR(L8/L6,"")</f>
        <v/>
      </c>
      <c r="M9" s="168">
        <f>IFERROR(M8/M6,"")</f>
        <v/>
      </c>
      <c r="N9" s="168">
        <f>IFERROR(N8/N6,"")</f>
        <v/>
      </c>
      <c r="O9" s="168">
        <f>IFERROR(O8/O6,"")</f>
        <v/>
      </c>
      <c r="P9" s="169">
        <f>IFERROR(P8/P6,"")</f>
        <v/>
      </c>
      <c r="Q9" s="167">
        <f>IFERROR(Q8/Q6,"")</f>
        <v/>
      </c>
      <c r="R9" s="168">
        <f>IFERROR(R8/R6,"")</f>
        <v/>
      </c>
      <c r="S9" s="168">
        <f>IFERROR(S8/S6,"")</f>
        <v/>
      </c>
      <c r="T9" s="168">
        <f>IFERROR(T8/T6,"")</f>
        <v/>
      </c>
      <c r="U9" s="168">
        <f>IFERROR(U8/U6,"")</f>
        <v/>
      </c>
      <c r="V9" s="169">
        <f>IFERROR(V8/V6,"")</f>
        <v/>
      </c>
      <c r="W9" s="167">
        <f>IFERROR(W8/W6,"")</f>
        <v/>
      </c>
      <c r="X9" s="168">
        <f>IFERROR(X8/X6,"")</f>
        <v/>
      </c>
      <c r="Y9" s="168">
        <f>IFERROR(Y8/Y6,"")</f>
        <v/>
      </c>
      <c r="Z9" s="168">
        <f>IFERROR(Z8/Z6,"")</f>
        <v/>
      </c>
      <c r="AA9" s="168">
        <f>IFERROR(AA8/AA6,"")</f>
        <v/>
      </c>
      <c r="AB9" s="169">
        <f>IFERROR(AB8/AB6,"")</f>
        <v/>
      </c>
      <c r="AC9" s="167" t="n"/>
      <c r="AD9" s="168" t="n"/>
      <c r="AE9" s="168" t="n"/>
      <c r="AF9" s="168" t="n"/>
      <c r="AG9" s="168" t="n"/>
      <c r="AH9" s="168" t="n"/>
      <c r="AI9" s="169" t="n"/>
      <c r="AJ9" s="167" t="n"/>
      <c r="AK9" s="168" t="n"/>
      <c r="AL9" s="168" t="n"/>
      <c r="AM9" s="168" t="n"/>
      <c r="AN9" s="168" t="n"/>
      <c r="AO9" s="169" t="n"/>
      <c r="AP9" s="167" t="n"/>
      <c r="AQ9" s="457" t="n"/>
      <c r="AR9" s="168" t="n"/>
      <c r="AS9" s="168" t="n"/>
      <c r="AT9" s="168" t="n"/>
      <c r="AU9" s="169" t="n"/>
      <c r="AV9" s="167" t="n"/>
      <c r="AW9" s="457" t="n"/>
      <c r="AX9" s="168" t="n"/>
      <c r="AY9" s="168" t="n"/>
      <c r="AZ9" s="168" t="n"/>
      <c r="BA9" s="168" t="n"/>
      <c r="BB9" s="169" t="n"/>
      <c r="BC9" s="167" t="n"/>
      <c r="BD9" s="457" t="n"/>
      <c r="BE9" s="168" t="n"/>
      <c r="BF9" s="168" t="n"/>
      <c r="BG9" s="168" t="n"/>
      <c r="BH9" s="169" t="n"/>
      <c r="BI9" s="167" t="n"/>
      <c r="BJ9" s="168" t="n"/>
      <c r="BK9" s="168" t="n"/>
      <c r="BL9" s="168" t="n"/>
      <c r="BM9" s="168" t="n"/>
      <c r="BN9" s="169" t="n"/>
      <c r="BO9" s="167" t="n"/>
      <c r="BP9" s="168" t="n"/>
      <c r="BQ9" s="168" t="n"/>
      <c r="BR9" s="168" t="n"/>
      <c r="BS9" s="168" t="n"/>
      <c r="BT9" s="169" t="n"/>
      <c r="BU9" s="167" t="n"/>
      <c r="BV9" s="168" t="n"/>
      <c r="BW9" s="168" t="n"/>
      <c r="BX9" s="168" t="n"/>
      <c r="BY9" s="168" t="n"/>
      <c r="BZ9" s="458" t="n"/>
    </row>
    <row r="10" ht="16.5" customHeight="1" s="838">
      <c r="B10" s="756" t="n"/>
      <c r="C10" s="738" t="n"/>
      <c r="D10" s="754" t="inlineStr">
        <is>
          <t>실적</t>
        </is>
      </c>
      <c r="E10" s="459" t="inlineStr">
        <is>
          <t>Base</t>
        </is>
      </c>
      <c r="F10" s="1114" t="n">
        <v>33.650726</v>
      </c>
      <c r="G10" s="831" t="n">
        <v>14.119224</v>
      </c>
      <c r="H10" s="831" t="n">
        <v>14.119224</v>
      </c>
      <c r="I10" s="831" t="n">
        <v>14.119224</v>
      </c>
      <c r="J10" s="831" t="n">
        <v>14.119224</v>
      </c>
      <c r="K10" s="151" t="n">
        <v>14.119224</v>
      </c>
      <c r="L10" s="1114" t="n">
        <v>8.952104</v>
      </c>
      <c r="M10" s="831" t="n">
        <v>14.119224</v>
      </c>
      <c r="N10" s="831" t="n">
        <v>14.119224</v>
      </c>
      <c r="O10" s="831" t="n">
        <v>14.119224</v>
      </c>
      <c r="P10" s="151" t="n">
        <v>14.119224</v>
      </c>
      <c r="Q10" s="1114" t="n">
        <v>33.650726</v>
      </c>
      <c r="R10" s="831" t="n">
        <v>14.119224</v>
      </c>
      <c r="S10" s="831" t="n">
        <v>14.119224</v>
      </c>
      <c r="T10" s="831" t="n">
        <v>14.119224</v>
      </c>
      <c r="U10" s="831" t="n">
        <v>14.119224</v>
      </c>
      <c r="V10" s="151" t="n">
        <v>14.119224</v>
      </c>
      <c r="W10" s="1114" t="n">
        <v>33.650726</v>
      </c>
      <c r="X10" s="831" t="n">
        <v>14.119224</v>
      </c>
      <c r="Y10" s="831" t="n">
        <v>14.119224</v>
      </c>
      <c r="Z10" s="831" t="n">
        <v>14.119224</v>
      </c>
      <c r="AA10" s="831" t="n">
        <v>14.119224</v>
      </c>
      <c r="AB10" s="151" t="n">
        <v>14.119224</v>
      </c>
      <c r="AC10" s="925" t="n"/>
      <c r="AD10" s="926" t="n"/>
      <c r="AE10" s="926" t="n"/>
      <c r="AF10" s="926" t="n"/>
      <c r="AG10" s="926" t="n"/>
      <c r="AH10" s="926" t="n"/>
      <c r="AI10" s="927" t="n"/>
      <c r="AJ10" s="925" t="n"/>
      <c r="AK10" s="926" t="n"/>
      <c r="AL10" s="926" t="n"/>
      <c r="AM10" s="926" t="n"/>
      <c r="AN10" s="926" t="n"/>
      <c r="AO10" s="927" t="n"/>
      <c r="AP10" s="150" t="n"/>
      <c r="AQ10" s="460" t="n"/>
      <c r="AR10" s="831" t="n"/>
      <c r="AS10" s="831" t="n"/>
      <c r="AT10" s="831" t="n"/>
      <c r="AU10" s="151" t="n"/>
      <c r="AV10" s="150" t="n"/>
      <c r="AW10" s="460" t="n"/>
      <c r="AX10" s="831" t="n"/>
      <c r="AY10" s="831" t="n"/>
      <c r="AZ10" s="831" t="n"/>
      <c r="BA10" s="831" t="n"/>
      <c r="BB10" s="151" t="n"/>
      <c r="BC10" s="150" t="n"/>
      <c r="BD10" s="460" t="n"/>
      <c r="BE10" s="831" t="n"/>
      <c r="BF10" s="831" t="n"/>
      <c r="BG10" s="831" t="n"/>
      <c r="BH10" s="151" t="n"/>
      <c r="BI10" s="150" t="n"/>
      <c r="BJ10" s="831" t="n"/>
      <c r="BK10" s="831" t="n"/>
      <c r="BL10" s="831" t="n"/>
      <c r="BM10" s="831" t="n"/>
      <c r="BN10" s="151" t="n"/>
      <c r="BO10" s="150" t="n"/>
      <c r="BP10" s="831" t="n"/>
      <c r="BQ10" s="831" t="n"/>
      <c r="BR10" s="831" t="n"/>
      <c r="BS10" s="831" t="n"/>
      <c r="BT10" s="151" t="n"/>
      <c r="BU10" s="150" t="n"/>
      <c r="BV10" s="831" t="n"/>
      <c r="BW10" s="831" t="n"/>
      <c r="BX10" s="831" t="n"/>
      <c r="BY10" s="831" t="n"/>
      <c r="BZ10" s="152" t="n"/>
    </row>
    <row r="11" ht="16.5" customHeight="1" s="838">
      <c r="B11" s="756" t="n"/>
      <c r="C11" s="738" t="n"/>
      <c r="D11" s="738" t="n"/>
      <c r="E11" s="454" t="inlineStr">
        <is>
          <t>발주금액</t>
        </is>
      </c>
      <c r="F11" s="1114" t="n">
        <v>40.806567</v>
      </c>
      <c r="G11" s="831" t="n">
        <v>13.976576</v>
      </c>
      <c r="H11" s="831" t="n">
        <v>13.976576</v>
      </c>
      <c r="I11" s="831" t="n">
        <v>13.976576</v>
      </c>
      <c r="J11" s="831" t="n">
        <v>13.976576</v>
      </c>
      <c r="K11" s="151" t="n">
        <v>13.976576</v>
      </c>
      <c r="L11" s="1114" t="n">
        <v>11.675561</v>
      </c>
      <c r="M11" s="831" t="n">
        <v>13.976576</v>
      </c>
      <c r="N11" s="831" t="n">
        <v>13.976576</v>
      </c>
      <c r="O11" s="831" t="n">
        <v>13.976576</v>
      </c>
      <c r="P11" s="151" t="n">
        <v>13.976576</v>
      </c>
      <c r="Q11" s="1114" t="n">
        <v>40.806567</v>
      </c>
      <c r="R11" s="831" t="n">
        <v>13.976576</v>
      </c>
      <c r="S11" s="831" t="n">
        <v>13.976576</v>
      </c>
      <c r="T11" s="831" t="n">
        <v>13.976576</v>
      </c>
      <c r="U11" s="831" t="n">
        <v>13.976576</v>
      </c>
      <c r="V11" s="151" t="n">
        <v>13.976576</v>
      </c>
      <c r="W11" s="1114" t="n">
        <v>40.806567</v>
      </c>
      <c r="X11" s="831" t="n">
        <v>13.976576</v>
      </c>
      <c r="Y11" s="831" t="n">
        <v>13.976576</v>
      </c>
      <c r="Z11" s="831" t="n">
        <v>13.976576</v>
      </c>
      <c r="AA11" s="831" t="n">
        <v>13.976576</v>
      </c>
      <c r="AB11" s="151" t="n">
        <v>13.976576</v>
      </c>
      <c r="AC11" s="925" t="n"/>
      <c r="AD11" s="926" t="n"/>
      <c r="AE11" s="926" t="n"/>
      <c r="AF11" s="926" t="n"/>
      <c r="AG11" s="926" t="n"/>
      <c r="AH11" s="926" t="n"/>
      <c r="AI11" s="927" t="n"/>
      <c r="AJ11" s="925" t="n"/>
      <c r="AK11" s="926" t="n"/>
      <c r="AL11" s="926" t="n"/>
      <c r="AM11" s="926" t="n"/>
      <c r="AN11" s="926" t="n"/>
      <c r="AO11" s="927" t="n"/>
      <c r="AP11" s="150" t="n"/>
      <c r="AQ11" s="460" t="n"/>
      <c r="AR11" s="831" t="n"/>
      <c r="AS11" s="831" t="n"/>
      <c r="AT11" s="831" t="n"/>
      <c r="AU11" s="151" t="n"/>
      <c r="AV11" s="150" t="n"/>
      <c r="AW11" s="460" t="n"/>
      <c r="AX11" s="831" t="n"/>
      <c r="AY11" s="831" t="n"/>
      <c r="AZ11" s="831" t="n"/>
      <c r="BA11" s="831" t="n"/>
      <c r="BB11" s="151" t="n"/>
      <c r="BC11" s="150" t="n"/>
      <c r="BD11" s="460" t="n"/>
      <c r="BE11" s="831" t="n"/>
      <c r="BF11" s="831" t="n"/>
      <c r="BG11" s="831" t="n"/>
      <c r="BH11" s="151" t="n"/>
      <c r="BI11" s="150" t="n"/>
      <c r="BJ11" s="831" t="n"/>
      <c r="BK11" s="831" t="n"/>
      <c r="BL11" s="831" t="n"/>
      <c r="BM11" s="831" t="n"/>
      <c r="BN11" s="151" t="n"/>
      <c r="BO11" s="150" t="n"/>
      <c r="BP11" s="831" t="n"/>
      <c r="BQ11" s="831" t="n"/>
      <c r="BR11" s="831" t="n"/>
      <c r="BS11" s="831" t="n"/>
      <c r="BT11" s="151" t="n"/>
      <c r="BU11" s="150" t="n"/>
      <c r="BV11" s="831" t="n"/>
      <c r="BW11" s="831" t="n"/>
      <c r="BX11" s="831" t="n"/>
      <c r="BY11" s="831" t="n"/>
      <c r="BZ11" s="152" t="n"/>
    </row>
    <row r="12" ht="16.5" customHeight="1" s="838">
      <c r="B12" s="756" t="n"/>
      <c r="C12" s="738" t="n"/>
      <c r="D12" s="738" t="n"/>
      <c r="E12" s="454" t="inlineStr">
        <is>
          <t>저감금액</t>
        </is>
      </c>
      <c r="F12" s="1114">
        <f>F10-F11</f>
        <v/>
      </c>
      <c r="G12" s="946">
        <f>G10-G11</f>
        <v/>
      </c>
      <c r="H12" s="946">
        <f>H10-H11</f>
        <v/>
      </c>
      <c r="I12" s="946">
        <f>I10-I11</f>
        <v/>
      </c>
      <c r="J12" s="946">
        <f>J10-J11</f>
        <v/>
      </c>
      <c r="K12" s="1111">
        <f>K10-K11</f>
        <v/>
      </c>
      <c r="L12" s="1114">
        <f>L10-L11</f>
        <v/>
      </c>
      <c r="M12" s="946">
        <f>M10-M11</f>
        <v/>
      </c>
      <c r="N12" s="946">
        <f>N10-N11</f>
        <v/>
      </c>
      <c r="O12" s="946">
        <f>O10-O11</f>
        <v/>
      </c>
      <c r="P12" s="1111">
        <f>P10-P11</f>
        <v/>
      </c>
      <c r="Q12" s="1114">
        <f>Q10-Q11</f>
        <v/>
      </c>
      <c r="R12" s="946">
        <f>R10-R11</f>
        <v/>
      </c>
      <c r="S12" s="946">
        <f>S10-S11</f>
        <v/>
      </c>
      <c r="T12" s="946">
        <f>T10-T11</f>
        <v/>
      </c>
      <c r="U12" s="946">
        <f>U10-U11</f>
        <v/>
      </c>
      <c r="V12" s="1111">
        <f>V10-V11</f>
        <v/>
      </c>
      <c r="W12" s="1114">
        <f>W10-W11</f>
        <v/>
      </c>
      <c r="X12" s="946">
        <f>X10-X11</f>
        <v/>
      </c>
      <c r="Y12" s="946">
        <f>Y10-Y11</f>
        <v/>
      </c>
      <c r="Z12" s="946">
        <f>Z10-Z11</f>
        <v/>
      </c>
      <c r="AA12" s="946">
        <f>AA10-AA11</f>
        <v/>
      </c>
      <c r="AB12" s="1111">
        <f>AB10-AB11</f>
        <v/>
      </c>
      <c r="AC12" s="1114" t="n"/>
      <c r="AD12" s="946" t="n"/>
      <c r="AE12" s="946" t="n"/>
      <c r="AF12" s="946" t="n"/>
      <c r="AG12" s="946" t="n"/>
      <c r="AH12" s="946" t="n"/>
      <c r="AI12" s="1111" t="n"/>
      <c r="AJ12" s="1114" t="n"/>
      <c r="AK12" s="946" t="n"/>
      <c r="AL12" s="946" t="n"/>
      <c r="AM12" s="946" t="n"/>
      <c r="AN12" s="946" t="n"/>
      <c r="AO12" s="1111" t="n"/>
      <c r="AP12" s="150" t="n"/>
      <c r="AQ12" s="460" t="n"/>
      <c r="AR12" s="831" t="n"/>
      <c r="AS12" s="831" t="n"/>
      <c r="AT12" s="831" t="n"/>
      <c r="AU12" s="151" t="n"/>
      <c r="AV12" s="150" t="n"/>
      <c r="AW12" s="460" t="n"/>
      <c r="AX12" s="831" t="n"/>
      <c r="AY12" s="831" t="n"/>
      <c r="AZ12" s="831" t="n"/>
      <c r="BA12" s="831" t="n"/>
      <c r="BB12" s="151" t="n"/>
      <c r="BC12" s="150" t="n"/>
      <c r="BD12" s="460" t="n"/>
      <c r="BE12" s="831" t="n"/>
      <c r="BF12" s="831" t="n"/>
      <c r="BG12" s="831" t="n"/>
      <c r="BH12" s="151" t="n"/>
      <c r="BI12" s="150" t="n"/>
      <c r="BJ12" s="831" t="n"/>
      <c r="BK12" s="831" t="n"/>
      <c r="BL12" s="831" t="n"/>
      <c r="BM12" s="831" t="n"/>
      <c r="BN12" s="151" t="n"/>
      <c r="BO12" s="150" t="n"/>
      <c r="BP12" s="831" t="n"/>
      <c r="BQ12" s="831" t="n"/>
      <c r="BR12" s="831" t="n"/>
      <c r="BS12" s="831" t="n"/>
      <c r="BT12" s="151" t="n"/>
      <c r="BU12" s="150" t="n"/>
      <c r="BV12" s="831" t="n"/>
      <c r="BW12" s="831" t="n"/>
      <c r="BX12" s="831" t="n"/>
      <c r="BY12" s="831" t="n"/>
      <c r="BZ12" s="152" t="n"/>
    </row>
    <row r="13" ht="17.25" customHeight="1" s="838" thickBot="1">
      <c r="B13" s="770" t="n"/>
      <c r="C13" s="739" t="n"/>
      <c r="D13" s="739" t="n"/>
      <c r="E13" s="784" t="inlineStr">
        <is>
          <t>저감율</t>
        </is>
      </c>
      <c r="F13" s="461">
        <f>IFERROR(F12/F10,"")</f>
        <v/>
      </c>
      <c r="G13" s="462">
        <f>IFERROR(G12/G10,"")</f>
        <v/>
      </c>
      <c r="H13" s="462">
        <f>IFERROR(H12/H10,"")</f>
        <v/>
      </c>
      <c r="I13" s="462">
        <f>IFERROR(I12/I10,"")</f>
        <v/>
      </c>
      <c r="J13" s="462">
        <f>IFERROR(J12/J10,"")</f>
        <v/>
      </c>
      <c r="K13" s="463">
        <f>IFERROR(K12/K10,"")</f>
        <v/>
      </c>
      <c r="L13" s="461">
        <f>IFERROR(L12/L10,"")</f>
        <v/>
      </c>
      <c r="M13" s="462">
        <f>IFERROR(M12/M10,"")</f>
        <v/>
      </c>
      <c r="N13" s="462">
        <f>IFERROR(N12/N10,"")</f>
        <v/>
      </c>
      <c r="O13" s="462">
        <f>IFERROR(O12/O10,"")</f>
        <v/>
      </c>
      <c r="P13" s="463">
        <f>IFERROR(P12/P10,"")</f>
        <v/>
      </c>
      <c r="Q13" s="461">
        <f>IFERROR(Q12/Q10,"")</f>
        <v/>
      </c>
      <c r="R13" s="462">
        <f>IFERROR(R12/R10,"")</f>
        <v/>
      </c>
      <c r="S13" s="462">
        <f>IFERROR(S12/S10,"")</f>
        <v/>
      </c>
      <c r="T13" s="462">
        <f>IFERROR(T12/T10,"")</f>
        <v/>
      </c>
      <c r="U13" s="462">
        <f>IFERROR(U12/U10,"")</f>
        <v/>
      </c>
      <c r="V13" s="463">
        <f>IFERROR(V12/V10,"")</f>
        <v/>
      </c>
      <c r="W13" s="461">
        <f>IFERROR(W12/W10,"")</f>
        <v/>
      </c>
      <c r="X13" s="462">
        <f>IFERROR(X12/X10,"")</f>
        <v/>
      </c>
      <c r="Y13" s="462">
        <f>IFERROR(Y12/Y10,"")</f>
        <v/>
      </c>
      <c r="Z13" s="462">
        <f>IFERROR(Z12/Z10,"")</f>
        <v/>
      </c>
      <c r="AA13" s="462">
        <f>IFERROR(AA12/AA10,"")</f>
        <v/>
      </c>
      <c r="AB13" s="463">
        <f>IFERROR(AB12/AB10,"")</f>
        <v/>
      </c>
      <c r="AC13" s="461" t="n"/>
      <c r="AD13" s="462" t="n"/>
      <c r="AE13" s="462" t="n"/>
      <c r="AF13" s="462" t="n"/>
      <c r="AG13" s="462" t="n"/>
      <c r="AH13" s="462" t="n"/>
      <c r="AI13" s="463" t="n"/>
      <c r="AJ13" s="461" t="n"/>
      <c r="AK13" s="462" t="n"/>
      <c r="AL13" s="462" t="n"/>
      <c r="AM13" s="462" t="n"/>
      <c r="AN13" s="462" t="n"/>
      <c r="AO13" s="463" t="n"/>
      <c r="AP13" s="144" t="n"/>
      <c r="AQ13" s="464" t="n"/>
      <c r="AR13" s="145" t="n"/>
      <c r="AS13" s="145" t="n"/>
      <c r="AT13" s="145" t="n"/>
      <c r="AU13" s="146" t="n"/>
      <c r="AV13" s="144" t="n"/>
      <c r="AW13" s="464" t="n"/>
      <c r="AX13" s="145" t="n"/>
      <c r="AY13" s="145" t="n"/>
      <c r="AZ13" s="145" t="n"/>
      <c r="BA13" s="145" t="n"/>
      <c r="BB13" s="146" t="n"/>
      <c r="BC13" s="144" t="n"/>
      <c r="BD13" s="464" t="n"/>
      <c r="BE13" s="145" t="n"/>
      <c r="BF13" s="145" t="n"/>
      <c r="BG13" s="145" t="n"/>
      <c r="BH13" s="146" t="n"/>
      <c r="BI13" s="144" t="n"/>
      <c r="BJ13" s="145" t="n"/>
      <c r="BK13" s="145" t="n"/>
      <c r="BL13" s="145" t="n"/>
      <c r="BM13" s="145" t="n"/>
      <c r="BN13" s="146" t="n"/>
      <c r="BO13" s="144" t="n"/>
      <c r="BP13" s="145" t="n"/>
      <c r="BQ13" s="145" t="n"/>
      <c r="BR13" s="145" t="n"/>
      <c r="BS13" s="145" t="n"/>
      <c r="BT13" s="146" t="n"/>
      <c r="BU13" s="144" t="n"/>
      <c r="BV13" s="145" t="n"/>
      <c r="BW13" s="145" t="n"/>
      <c r="BX13" s="145" t="n"/>
      <c r="BY13" s="145" t="n"/>
      <c r="BZ13" s="147" t="n"/>
    </row>
    <row r="14" ht="16.5" customHeight="1" s="838">
      <c r="B14" s="785" t="inlineStr">
        <is>
          <t>투자비 (금형)</t>
        </is>
      </c>
      <c r="C14" s="750" t="inlineStr">
        <is>
          <t>제품1 + 제품2</t>
        </is>
      </c>
      <c r="D14" s="750" t="inlineStr">
        <is>
          <t>목표</t>
        </is>
      </c>
      <c r="E14" s="802" t="inlineStr">
        <is>
          <t>Base</t>
        </is>
      </c>
      <c r="F14" s="1186">
        <f>SUM(F22,F30)</f>
        <v/>
      </c>
      <c r="G14" s="1187">
        <f>SUM(G22,G30)</f>
        <v/>
      </c>
      <c r="H14" s="1187">
        <f>SUM(H22,H30)</f>
        <v/>
      </c>
      <c r="I14" s="1187">
        <f>SUM(I22,I30)</f>
        <v/>
      </c>
      <c r="J14" s="1187">
        <f>SUM(J22,J30)</f>
        <v/>
      </c>
      <c r="K14" s="1187">
        <f>SUM(K22,K30)</f>
        <v/>
      </c>
      <c r="L14" s="1186">
        <f>SUM(L22,L30)</f>
        <v/>
      </c>
      <c r="M14" s="1187">
        <f>SUM(M22,M30)</f>
        <v/>
      </c>
      <c r="N14" s="1187">
        <f>SUM(N22,N30)</f>
        <v/>
      </c>
      <c r="O14" s="1187">
        <f>SUM(O22,O30)</f>
        <v/>
      </c>
      <c r="P14" s="1188">
        <f>SUM(P22,P30)</f>
        <v/>
      </c>
      <c r="Q14" s="1186">
        <f>SUM(Q22,Q30)</f>
        <v/>
      </c>
      <c r="R14" s="1187">
        <f>SUM(R22,R30)</f>
        <v/>
      </c>
      <c r="S14" s="1187">
        <f>SUM(S22,S30)</f>
        <v/>
      </c>
      <c r="T14" s="1187">
        <f>SUM(T22,T30)</f>
        <v/>
      </c>
      <c r="U14" s="1187">
        <f>SUM(U22,U30)</f>
        <v/>
      </c>
      <c r="V14" s="1188">
        <f>SUM(V22,V30)</f>
        <v/>
      </c>
      <c r="W14" s="1186">
        <f>SUM(W22,W30)</f>
        <v/>
      </c>
      <c r="X14" s="1187">
        <f>SUM(X22,X30)</f>
        <v/>
      </c>
      <c r="Y14" s="1187">
        <f>SUM(Y22,Y30)</f>
        <v/>
      </c>
      <c r="Z14" s="1187">
        <f>SUM(Z22,Z30)</f>
        <v/>
      </c>
      <c r="AA14" s="1187">
        <f>SUM(AA22,AA30)</f>
        <v/>
      </c>
      <c r="AB14" s="1188">
        <f>SUM(AB22,AB30)</f>
        <v/>
      </c>
      <c r="AC14" s="1186" t="n"/>
      <c r="AD14" s="1187" t="n"/>
      <c r="AE14" s="1187" t="n"/>
      <c r="AF14" s="1187" t="n"/>
      <c r="AG14" s="1187" t="n"/>
      <c r="AH14" s="1187" t="n"/>
      <c r="AI14" s="1188" t="n"/>
      <c r="AJ14" s="1186" t="n"/>
      <c r="AK14" s="1187" t="n"/>
      <c r="AL14" s="1187" t="n"/>
      <c r="AM14" s="1187" t="n"/>
      <c r="AN14" s="1187" t="n"/>
      <c r="AO14" s="1188" t="n"/>
      <c r="AP14" s="1186" t="n"/>
      <c r="AQ14" s="1192" t="n"/>
      <c r="AR14" s="1187" t="n"/>
      <c r="AS14" s="1187" t="n"/>
      <c r="AT14" s="1187" t="n"/>
      <c r="AU14" s="1188" t="n"/>
      <c r="AV14" s="1186" t="n"/>
      <c r="AW14" s="1192" t="n"/>
      <c r="AX14" s="1187" t="n"/>
      <c r="AY14" s="1187" t="n"/>
      <c r="AZ14" s="1187" t="n"/>
      <c r="BA14" s="1187" t="n"/>
      <c r="BB14" s="1188" t="n"/>
      <c r="BC14" s="1186" t="n"/>
      <c r="BD14" s="1192" t="n"/>
      <c r="BE14" s="1187" t="n"/>
      <c r="BF14" s="1187" t="n"/>
      <c r="BG14" s="1187" t="n"/>
      <c r="BH14" s="1188" t="n"/>
      <c r="BI14" s="1186" t="n"/>
      <c r="BJ14" s="1187" t="n"/>
      <c r="BK14" s="1187" t="n"/>
      <c r="BL14" s="1187" t="n"/>
      <c r="BM14" s="1187" t="n"/>
      <c r="BN14" s="1188" t="n"/>
      <c r="BO14" s="1186" t="n"/>
      <c r="BP14" s="1187" t="n"/>
      <c r="BQ14" s="1187" t="n"/>
      <c r="BR14" s="1187" t="n"/>
      <c r="BS14" s="1187" t="n"/>
      <c r="BT14" s="1188" t="n"/>
      <c r="BU14" s="1186" t="n"/>
      <c r="BV14" s="1187" t="n"/>
      <c r="BW14" s="1187" t="n"/>
      <c r="BX14" s="1187" t="n"/>
      <c r="BY14" s="1187" t="n"/>
      <c r="BZ14" s="1190" t="n"/>
    </row>
    <row r="15" ht="16.5" customHeight="1" s="838">
      <c r="B15" s="756" t="n"/>
      <c r="C15" s="738" t="n"/>
      <c r="D15" s="738" t="n"/>
      <c r="E15" s="782" t="inlineStr">
        <is>
          <t>발주금액</t>
        </is>
      </c>
      <c r="F15" s="1114">
        <f>SUM(F23,F31)</f>
        <v/>
      </c>
      <c r="G15" s="946">
        <f>SUM(G23,G31)</f>
        <v/>
      </c>
      <c r="H15" s="946">
        <f>SUM(H23,H31)</f>
        <v/>
      </c>
      <c r="I15" s="946">
        <f>SUM(I23,I31)</f>
        <v/>
      </c>
      <c r="J15" s="946">
        <f>SUM(J23,J31)</f>
        <v/>
      </c>
      <c r="K15" s="946">
        <f>SUM(K23,K31)</f>
        <v/>
      </c>
      <c r="L15" s="1114">
        <f>SUM(L23,L31)</f>
        <v/>
      </c>
      <c r="M15" s="946">
        <f>SUM(M23,M31)</f>
        <v/>
      </c>
      <c r="N15" s="946">
        <f>SUM(N23,N31)</f>
        <v/>
      </c>
      <c r="O15" s="946">
        <f>SUM(O23,O31)</f>
        <v/>
      </c>
      <c r="P15" s="1111">
        <f>SUM(P23,P31)</f>
        <v/>
      </c>
      <c r="Q15" s="1114">
        <f>SUM(Q23,Q31)</f>
        <v/>
      </c>
      <c r="R15" s="946">
        <f>SUM(R23,R31)</f>
        <v/>
      </c>
      <c r="S15" s="946">
        <f>SUM(S23,S31)</f>
        <v/>
      </c>
      <c r="T15" s="946">
        <f>SUM(T23,T31)</f>
        <v/>
      </c>
      <c r="U15" s="946">
        <f>SUM(U23,U31)</f>
        <v/>
      </c>
      <c r="V15" s="1111">
        <f>SUM(V23,V31)</f>
        <v/>
      </c>
      <c r="W15" s="1114">
        <f>SUM(W23,W31)</f>
        <v/>
      </c>
      <c r="X15" s="946">
        <f>SUM(X23,X31)</f>
        <v/>
      </c>
      <c r="Y15" s="946">
        <f>SUM(Y23,Y31)</f>
        <v/>
      </c>
      <c r="Z15" s="946">
        <f>SUM(Z23,Z31)</f>
        <v/>
      </c>
      <c r="AA15" s="946">
        <f>SUM(AA23,AA31)</f>
        <v/>
      </c>
      <c r="AB15" s="1111">
        <f>SUM(AB23,AB31)</f>
        <v/>
      </c>
      <c r="AC15" s="1114" t="n"/>
      <c r="AD15" s="946" t="n"/>
      <c r="AE15" s="946" t="n"/>
      <c r="AF15" s="946" t="n"/>
      <c r="AG15" s="946" t="n"/>
      <c r="AH15" s="946" t="n"/>
      <c r="AI15" s="1111" t="n"/>
      <c r="AJ15" s="1114" t="n"/>
      <c r="AK15" s="946" t="n"/>
      <c r="AL15" s="946" t="n"/>
      <c r="AM15" s="946" t="n"/>
      <c r="AN15" s="946" t="n"/>
      <c r="AO15" s="1111" t="n"/>
      <c r="AP15" s="1114" t="n"/>
      <c r="AQ15" s="1116" t="n"/>
      <c r="AR15" s="946" t="n"/>
      <c r="AS15" s="946" t="n"/>
      <c r="AT15" s="946" t="n"/>
      <c r="AU15" s="1111" t="n"/>
      <c r="AV15" s="1114" t="n"/>
      <c r="AW15" s="1116" t="n"/>
      <c r="AX15" s="946" t="n"/>
      <c r="AY15" s="946" t="n"/>
      <c r="AZ15" s="946" t="n"/>
      <c r="BA15" s="946" t="n"/>
      <c r="BB15" s="1111" t="n"/>
      <c r="BC15" s="1114" t="n"/>
      <c r="BD15" s="1116" t="n"/>
      <c r="BE15" s="946" t="n"/>
      <c r="BF15" s="946" t="n"/>
      <c r="BG15" s="946" t="n"/>
      <c r="BH15" s="1111" t="n"/>
      <c r="BI15" s="1114" t="n"/>
      <c r="BJ15" s="946" t="n"/>
      <c r="BK15" s="946" t="n"/>
      <c r="BL15" s="946" t="n"/>
      <c r="BM15" s="946" t="n"/>
      <c r="BN15" s="1111" t="n"/>
      <c r="BO15" s="1114" t="n"/>
      <c r="BP15" s="946" t="n"/>
      <c r="BQ15" s="946" t="n"/>
      <c r="BR15" s="946" t="n"/>
      <c r="BS15" s="946" t="n"/>
      <c r="BT15" s="1111" t="n"/>
      <c r="BU15" s="1114" t="n"/>
      <c r="BV15" s="946" t="n"/>
      <c r="BW15" s="946" t="n"/>
      <c r="BX15" s="946" t="n"/>
      <c r="BY15" s="946" t="n"/>
      <c r="BZ15" s="928" t="n"/>
    </row>
    <row r="16" ht="16.5" customHeight="1" s="838">
      <c r="B16" s="756" t="n"/>
      <c r="C16" s="738" t="n"/>
      <c r="D16" s="738" t="n"/>
      <c r="E16" s="782" t="inlineStr">
        <is>
          <t>저감금액</t>
        </is>
      </c>
      <c r="F16" s="1193">
        <f>F14-F15</f>
        <v/>
      </c>
      <c r="G16" s="958">
        <f>G14-G15</f>
        <v/>
      </c>
      <c r="H16" s="958">
        <f>H14-H15</f>
        <v/>
      </c>
      <c r="I16" s="958">
        <f>I14-I15</f>
        <v/>
      </c>
      <c r="J16" s="958">
        <f>J14-J15</f>
        <v/>
      </c>
      <c r="K16" s="958">
        <f>K14-K15</f>
        <v/>
      </c>
      <c r="L16" s="1193">
        <f>L14-L15</f>
        <v/>
      </c>
      <c r="M16" s="958">
        <f>M14-M15</f>
        <v/>
      </c>
      <c r="N16" s="958">
        <f>N14-N15</f>
        <v/>
      </c>
      <c r="O16" s="958">
        <f>O14-O15</f>
        <v/>
      </c>
      <c r="P16" s="1194">
        <f>P14-P15</f>
        <v/>
      </c>
      <c r="Q16" s="1193">
        <f>Q14-Q15</f>
        <v/>
      </c>
      <c r="R16" s="958">
        <f>R14-R15</f>
        <v/>
      </c>
      <c r="S16" s="958">
        <f>S14-S15</f>
        <v/>
      </c>
      <c r="T16" s="958">
        <f>T14-T15</f>
        <v/>
      </c>
      <c r="U16" s="958">
        <f>U14-U15</f>
        <v/>
      </c>
      <c r="V16" s="1194">
        <f>V14-V15</f>
        <v/>
      </c>
      <c r="W16" s="1193">
        <f>W14-W15</f>
        <v/>
      </c>
      <c r="X16" s="958">
        <f>X14-X15</f>
        <v/>
      </c>
      <c r="Y16" s="958">
        <f>Y14-Y15</f>
        <v/>
      </c>
      <c r="Z16" s="958">
        <f>Z14-Z15</f>
        <v/>
      </c>
      <c r="AA16" s="958">
        <f>AA14-AA15</f>
        <v/>
      </c>
      <c r="AB16" s="1194">
        <f>AB14-AB15</f>
        <v/>
      </c>
      <c r="AC16" s="1193" t="n"/>
      <c r="AD16" s="958" t="n"/>
      <c r="AE16" s="958" t="n"/>
      <c r="AF16" s="958" t="n"/>
      <c r="AG16" s="958" t="n"/>
      <c r="AH16" s="958" t="n"/>
      <c r="AI16" s="1194" t="n"/>
      <c r="AJ16" s="1193" t="n"/>
      <c r="AK16" s="958" t="n"/>
      <c r="AL16" s="958" t="n"/>
      <c r="AM16" s="958" t="n"/>
      <c r="AN16" s="958" t="n"/>
      <c r="AO16" s="1194" t="n"/>
      <c r="AP16" s="1193" t="n"/>
      <c r="AQ16" s="1195" t="n"/>
      <c r="AR16" s="958" t="n"/>
      <c r="AS16" s="958" t="n"/>
      <c r="AT16" s="958" t="n"/>
      <c r="AU16" s="1194" t="n"/>
      <c r="AV16" s="1193" t="n"/>
      <c r="AW16" s="1195" t="n"/>
      <c r="AX16" s="958" t="n"/>
      <c r="AY16" s="958" t="n"/>
      <c r="AZ16" s="958" t="n"/>
      <c r="BA16" s="958" t="n"/>
      <c r="BB16" s="1194" t="n"/>
      <c r="BC16" s="1193" t="n"/>
      <c r="BD16" s="1195" t="n"/>
      <c r="BE16" s="958" t="n"/>
      <c r="BF16" s="958" t="n"/>
      <c r="BG16" s="958" t="n"/>
      <c r="BH16" s="1194" t="n"/>
      <c r="BI16" s="1193" t="n"/>
      <c r="BJ16" s="958" t="n"/>
      <c r="BK16" s="958" t="n"/>
      <c r="BL16" s="958" t="n"/>
      <c r="BM16" s="958" t="n"/>
      <c r="BN16" s="1194" t="n"/>
      <c r="BO16" s="1193" t="n"/>
      <c r="BP16" s="958" t="n"/>
      <c r="BQ16" s="958" t="n"/>
      <c r="BR16" s="958" t="n"/>
      <c r="BS16" s="958" t="n"/>
      <c r="BT16" s="1194" t="n"/>
      <c r="BU16" s="1193" t="n"/>
      <c r="BV16" s="958" t="n"/>
      <c r="BW16" s="958" t="n"/>
      <c r="BX16" s="958" t="n"/>
      <c r="BY16" s="958" t="n"/>
      <c r="BZ16" s="1191" t="n"/>
    </row>
    <row r="17" ht="16.5" customHeight="1" s="838">
      <c r="B17" s="756" t="n"/>
      <c r="C17" s="738" t="n"/>
      <c r="D17" s="739" t="n"/>
      <c r="E17" s="782" t="inlineStr">
        <is>
          <t>저감율</t>
        </is>
      </c>
      <c r="F17" s="929">
        <f>F16/F14</f>
        <v/>
      </c>
      <c r="G17" s="931">
        <f>G16/G14</f>
        <v/>
      </c>
      <c r="H17" s="931">
        <f>H16/H14</f>
        <v/>
      </c>
      <c r="I17" s="931">
        <f>I16/I14</f>
        <v/>
      </c>
      <c r="J17" s="931">
        <f>J16/J14</f>
        <v/>
      </c>
      <c r="K17" s="931">
        <f>K16/K14</f>
        <v/>
      </c>
      <c r="L17" s="929">
        <f>L16/L14</f>
        <v/>
      </c>
      <c r="M17" s="931">
        <f>M16/M14</f>
        <v/>
      </c>
      <c r="N17" s="931">
        <f>N16/N14</f>
        <v/>
      </c>
      <c r="O17" s="931">
        <f>O16/O14</f>
        <v/>
      </c>
      <c r="P17" s="938">
        <f>P16/P14</f>
        <v/>
      </c>
      <c r="Q17" s="929">
        <f>Q16/Q14</f>
        <v/>
      </c>
      <c r="R17" s="931">
        <f>R16/R14</f>
        <v/>
      </c>
      <c r="S17" s="931">
        <f>S16/S14</f>
        <v/>
      </c>
      <c r="T17" s="931">
        <f>T16/T14</f>
        <v/>
      </c>
      <c r="U17" s="931">
        <f>U16/U14</f>
        <v/>
      </c>
      <c r="V17" s="938">
        <f>V16/V14</f>
        <v/>
      </c>
      <c r="W17" s="929">
        <f>W16/W14</f>
        <v/>
      </c>
      <c r="X17" s="931">
        <f>X16/X14</f>
        <v/>
      </c>
      <c r="Y17" s="931">
        <f>Y16/Y14</f>
        <v/>
      </c>
      <c r="Z17" s="931">
        <f>Z16/Z14</f>
        <v/>
      </c>
      <c r="AA17" s="931">
        <f>AA16/AA14</f>
        <v/>
      </c>
      <c r="AB17" s="938">
        <f>AB16/AB14</f>
        <v/>
      </c>
      <c r="AC17" s="929" t="n"/>
      <c r="AD17" s="931" t="n"/>
      <c r="AE17" s="931" t="n"/>
      <c r="AF17" s="931" t="n"/>
      <c r="AG17" s="931" t="n"/>
      <c r="AH17" s="931" t="n"/>
      <c r="AI17" s="938" t="n"/>
      <c r="AJ17" s="929" t="n"/>
      <c r="AK17" s="931" t="n"/>
      <c r="AL17" s="931" t="n"/>
      <c r="AM17" s="931" t="n"/>
      <c r="AN17" s="931" t="n"/>
      <c r="AO17" s="938" t="n"/>
      <c r="AP17" s="929" t="n"/>
      <c r="AQ17" s="1040" t="n"/>
      <c r="AR17" s="931" t="n"/>
      <c r="AS17" s="931" t="n"/>
      <c r="AT17" s="931" t="n"/>
      <c r="AU17" s="938" t="n"/>
      <c r="AV17" s="929" t="n"/>
      <c r="AW17" s="1040" t="n"/>
      <c r="AX17" s="931" t="n"/>
      <c r="AY17" s="931" t="n"/>
      <c r="AZ17" s="931" t="n"/>
      <c r="BA17" s="931" t="n"/>
      <c r="BB17" s="938" t="n"/>
      <c r="BC17" s="929" t="n"/>
      <c r="BD17" s="1040" t="n"/>
      <c r="BE17" s="931" t="n"/>
      <c r="BF17" s="931" t="n"/>
      <c r="BG17" s="931" t="n"/>
      <c r="BH17" s="938" t="n"/>
      <c r="BI17" s="929" t="n"/>
      <c r="BJ17" s="931" t="n"/>
      <c r="BK17" s="931" t="n"/>
      <c r="BL17" s="931" t="n"/>
      <c r="BM17" s="931" t="n"/>
      <c r="BN17" s="938" t="n"/>
      <c r="BO17" s="929" t="n"/>
      <c r="BP17" s="931" t="n"/>
      <c r="BQ17" s="931" t="n"/>
      <c r="BR17" s="931" t="n"/>
      <c r="BS17" s="931" t="n"/>
      <c r="BT17" s="938" t="n"/>
      <c r="BU17" s="929" t="n"/>
      <c r="BV17" s="931" t="n"/>
      <c r="BW17" s="931" t="n"/>
      <c r="BX17" s="931" t="n"/>
      <c r="BY17" s="931" t="n"/>
      <c r="BZ17" s="939" t="n"/>
    </row>
    <row r="18" ht="16.5" customHeight="1" s="838">
      <c r="B18" s="756" t="n"/>
      <c r="C18" s="738" t="n"/>
      <c r="D18" s="737" t="inlineStr">
        <is>
          <t>실적</t>
        </is>
      </c>
      <c r="E18" s="797" t="inlineStr">
        <is>
          <t>Base</t>
        </is>
      </c>
      <c r="F18" s="940">
        <f>SUM(F26,F34)</f>
        <v/>
      </c>
      <c r="G18" s="941">
        <f>SUM(G26,G34)</f>
        <v/>
      </c>
      <c r="H18" s="941">
        <f>SUM(H26,H34)</f>
        <v/>
      </c>
      <c r="I18" s="941">
        <f>SUM(I26,I34)</f>
        <v/>
      </c>
      <c r="J18" s="941">
        <f>SUM(J26,J34)</f>
        <v/>
      </c>
      <c r="K18" s="941">
        <f>SUM(K26,K34)</f>
        <v/>
      </c>
      <c r="L18" s="940">
        <f>SUM(L26,L34)</f>
        <v/>
      </c>
      <c r="M18" s="941">
        <f>SUM(M26,M34)</f>
        <v/>
      </c>
      <c r="N18" s="941">
        <f>SUM(N26,N34)</f>
        <v/>
      </c>
      <c r="O18" s="941">
        <f>SUM(O26,O34)</f>
        <v/>
      </c>
      <c r="P18" s="942">
        <f>SUM(P26,P34)</f>
        <v/>
      </c>
      <c r="Q18" s="940">
        <f>SUM(Q26,Q34)</f>
        <v/>
      </c>
      <c r="R18" s="941">
        <f>SUM(R26,R34)</f>
        <v/>
      </c>
      <c r="S18" s="941">
        <f>SUM(S26,S34)</f>
        <v/>
      </c>
      <c r="T18" s="941">
        <f>SUM(T26,T34)</f>
        <v/>
      </c>
      <c r="U18" s="941">
        <f>SUM(U26,U34)</f>
        <v/>
      </c>
      <c r="V18" s="942">
        <f>SUM(V26,V34)</f>
        <v/>
      </c>
      <c r="W18" s="940">
        <f>SUM(W26,W34)</f>
        <v/>
      </c>
      <c r="X18" s="941">
        <f>SUM(X26,X34)</f>
        <v/>
      </c>
      <c r="Y18" s="941">
        <f>SUM(Y26,Y34)</f>
        <v/>
      </c>
      <c r="Z18" s="941">
        <f>SUM(Z26,Z34)</f>
        <v/>
      </c>
      <c r="AA18" s="941">
        <f>SUM(AA26,AA34)</f>
        <v/>
      </c>
      <c r="AB18" s="942">
        <f>SUM(AB26,AB34)</f>
        <v/>
      </c>
      <c r="AC18" s="940" t="n"/>
      <c r="AD18" s="941" t="n"/>
      <c r="AE18" s="941" t="n"/>
      <c r="AF18" s="941" t="n"/>
      <c r="AG18" s="941" t="n"/>
      <c r="AH18" s="941" t="n"/>
      <c r="AI18" s="942" t="n"/>
      <c r="AJ18" s="940" t="n"/>
      <c r="AK18" s="941" t="n"/>
      <c r="AL18" s="941" t="n"/>
      <c r="AM18" s="941" t="n"/>
      <c r="AN18" s="941" t="n"/>
      <c r="AO18" s="942" t="n"/>
      <c r="AP18" s="940" t="n"/>
      <c r="AQ18" s="1108" t="n"/>
      <c r="AR18" s="941" t="n"/>
      <c r="AS18" s="941" t="n"/>
      <c r="AT18" s="941" t="n"/>
      <c r="AU18" s="942" t="n"/>
      <c r="AV18" s="940" t="n"/>
      <c r="AW18" s="1108" t="n"/>
      <c r="AX18" s="941" t="n"/>
      <c r="AY18" s="941" t="n"/>
      <c r="AZ18" s="941" t="n"/>
      <c r="BA18" s="941" t="n"/>
      <c r="BB18" s="942" t="n"/>
      <c r="BC18" s="940" t="n"/>
      <c r="BD18" s="1108" t="n"/>
      <c r="BE18" s="941" t="n"/>
      <c r="BF18" s="941" t="n"/>
      <c r="BG18" s="941" t="n"/>
      <c r="BH18" s="942" t="n"/>
      <c r="BI18" s="940" t="n"/>
      <c r="BJ18" s="941" t="n"/>
      <c r="BK18" s="941" t="n"/>
      <c r="BL18" s="941" t="n"/>
      <c r="BM18" s="941" t="n"/>
      <c r="BN18" s="942" t="n"/>
      <c r="BO18" s="940" t="n"/>
      <c r="BP18" s="941" t="n"/>
      <c r="BQ18" s="941" t="n"/>
      <c r="BR18" s="941" t="n"/>
      <c r="BS18" s="941" t="n"/>
      <c r="BT18" s="942" t="n"/>
      <c r="BU18" s="940" t="n"/>
      <c r="BV18" s="941" t="n"/>
      <c r="BW18" s="941" t="n"/>
      <c r="BX18" s="941" t="n"/>
      <c r="BY18" s="941" t="n"/>
      <c r="BZ18" s="936" t="n"/>
    </row>
    <row r="19" ht="16.5" customHeight="1" s="838">
      <c r="B19" s="756" t="n"/>
      <c r="C19" s="738" t="n"/>
      <c r="D19" s="738" t="n"/>
      <c r="E19" s="782" t="inlineStr">
        <is>
          <t>발주금액</t>
        </is>
      </c>
      <c r="F19" s="1114">
        <f>SUM(F27,F35)</f>
        <v/>
      </c>
      <c r="G19" s="946">
        <f>SUM(G27,G35)</f>
        <v/>
      </c>
      <c r="H19" s="946">
        <f>SUM(H27,H35)</f>
        <v/>
      </c>
      <c r="I19" s="946">
        <f>SUM(I27,I35)</f>
        <v/>
      </c>
      <c r="J19" s="946">
        <f>SUM(J27,J35)</f>
        <v/>
      </c>
      <c r="K19" s="946">
        <f>SUM(K27,K35)</f>
        <v/>
      </c>
      <c r="L19" s="1114">
        <f>SUM(L27,L35)</f>
        <v/>
      </c>
      <c r="M19" s="946">
        <f>SUM(M27,M35)</f>
        <v/>
      </c>
      <c r="N19" s="946">
        <f>SUM(N27,N35)</f>
        <v/>
      </c>
      <c r="O19" s="946">
        <f>SUM(O27,O35)</f>
        <v/>
      </c>
      <c r="P19" s="1111">
        <f>SUM(P27,P35)</f>
        <v/>
      </c>
      <c r="Q19" s="1114">
        <f>SUM(Q27,Q35)</f>
        <v/>
      </c>
      <c r="R19" s="946">
        <f>SUM(R27,R35)</f>
        <v/>
      </c>
      <c r="S19" s="946">
        <f>SUM(S27,S35)</f>
        <v/>
      </c>
      <c r="T19" s="946">
        <f>SUM(T27,T35)</f>
        <v/>
      </c>
      <c r="U19" s="946">
        <f>SUM(U27,U35)</f>
        <v/>
      </c>
      <c r="V19" s="1111">
        <f>SUM(V27,V35)</f>
        <v/>
      </c>
      <c r="W19" s="1114">
        <f>SUM(W27,W35)</f>
        <v/>
      </c>
      <c r="X19" s="946">
        <f>SUM(X27,X35)</f>
        <v/>
      </c>
      <c r="Y19" s="946">
        <f>SUM(Y27,Y35)</f>
        <v/>
      </c>
      <c r="Z19" s="946">
        <f>SUM(Z27,Z35)</f>
        <v/>
      </c>
      <c r="AA19" s="946">
        <f>SUM(AA27,AA35)</f>
        <v/>
      </c>
      <c r="AB19" s="1111">
        <f>SUM(AB27,AB35)</f>
        <v/>
      </c>
      <c r="AC19" s="1114" t="n"/>
      <c r="AD19" s="946" t="n"/>
      <c r="AE19" s="946" t="n"/>
      <c r="AF19" s="946" t="n"/>
      <c r="AG19" s="946" t="n"/>
      <c r="AH19" s="946" t="n"/>
      <c r="AI19" s="1111" t="n"/>
      <c r="AJ19" s="1114" t="n"/>
      <c r="AK19" s="946" t="n"/>
      <c r="AL19" s="946" t="n"/>
      <c r="AM19" s="946" t="n"/>
      <c r="AN19" s="946" t="n"/>
      <c r="AO19" s="1111" t="n"/>
      <c r="AP19" s="1114" t="n"/>
      <c r="AQ19" s="1116" t="n"/>
      <c r="AR19" s="946" t="n"/>
      <c r="AS19" s="946" t="n"/>
      <c r="AT19" s="946" t="n"/>
      <c r="AU19" s="1111" t="n"/>
      <c r="AV19" s="1114" t="n"/>
      <c r="AW19" s="1116" t="n"/>
      <c r="AX19" s="946" t="n"/>
      <c r="AY19" s="946" t="n"/>
      <c r="AZ19" s="946" t="n"/>
      <c r="BA19" s="946" t="n"/>
      <c r="BB19" s="1111" t="n"/>
      <c r="BC19" s="1114" t="n"/>
      <c r="BD19" s="1116" t="n"/>
      <c r="BE19" s="946" t="n"/>
      <c r="BF19" s="946" t="n"/>
      <c r="BG19" s="946" t="n"/>
      <c r="BH19" s="1111" t="n"/>
      <c r="BI19" s="1114" t="n"/>
      <c r="BJ19" s="946" t="n"/>
      <c r="BK19" s="946" t="n"/>
      <c r="BL19" s="946" t="n"/>
      <c r="BM19" s="946" t="n"/>
      <c r="BN19" s="1111" t="n"/>
      <c r="BO19" s="1114" t="n"/>
      <c r="BP19" s="946" t="n"/>
      <c r="BQ19" s="946" t="n"/>
      <c r="BR19" s="946" t="n"/>
      <c r="BS19" s="946" t="n"/>
      <c r="BT19" s="1111" t="n"/>
      <c r="BU19" s="1114" t="n"/>
      <c r="BV19" s="946" t="n"/>
      <c r="BW19" s="946" t="n"/>
      <c r="BX19" s="946" t="n"/>
      <c r="BY19" s="946" t="n"/>
      <c r="BZ19" s="928" t="n"/>
    </row>
    <row r="20" ht="16.5" customHeight="1" s="838">
      <c r="B20" s="756" t="n"/>
      <c r="C20" s="738" t="n"/>
      <c r="D20" s="738" t="n"/>
      <c r="E20" s="782" t="inlineStr">
        <is>
          <t>저감금액</t>
        </is>
      </c>
      <c r="F20" s="1114">
        <f>F18-F19</f>
        <v/>
      </c>
      <c r="G20" s="946">
        <f>G18-G19</f>
        <v/>
      </c>
      <c r="H20" s="946">
        <f>H18-H19</f>
        <v/>
      </c>
      <c r="I20" s="946">
        <f>I18-I19</f>
        <v/>
      </c>
      <c r="J20" s="946">
        <f>J18-J19</f>
        <v/>
      </c>
      <c r="K20" s="946">
        <f>K18-K19</f>
        <v/>
      </c>
      <c r="L20" s="1114">
        <f>L18-L19</f>
        <v/>
      </c>
      <c r="M20" s="946">
        <f>M18-M19</f>
        <v/>
      </c>
      <c r="N20" s="946">
        <f>N18-N19</f>
        <v/>
      </c>
      <c r="O20" s="958">
        <f>O18-O19</f>
        <v/>
      </c>
      <c r="P20" s="1194">
        <f>P18-P19</f>
        <v/>
      </c>
      <c r="Q20" s="1114">
        <f>Q18-Q19</f>
        <v/>
      </c>
      <c r="R20" s="946">
        <f>R18-R19</f>
        <v/>
      </c>
      <c r="S20" s="946">
        <f>S18-S19</f>
        <v/>
      </c>
      <c r="T20" s="946">
        <f>T18-T19</f>
        <v/>
      </c>
      <c r="U20" s="946">
        <f>U18-U19</f>
        <v/>
      </c>
      <c r="V20" s="1111">
        <f>V18-V19</f>
        <v/>
      </c>
      <c r="W20" s="1114">
        <f>W18-W19</f>
        <v/>
      </c>
      <c r="X20" s="946">
        <f>X18-X19</f>
        <v/>
      </c>
      <c r="Y20" s="946">
        <f>Y18-Y19</f>
        <v/>
      </c>
      <c r="Z20" s="946">
        <f>Z18-Z19</f>
        <v/>
      </c>
      <c r="AA20" s="946">
        <f>AA18-AA19</f>
        <v/>
      </c>
      <c r="AB20" s="1111">
        <f>AB18-AB19</f>
        <v/>
      </c>
      <c r="AC20" s="1114" t="n"/>
      <c r="AD20" s="946" t="n"/>
      <c r="AE20" s="946" t="n"/>
      <c r="AF20" s="946" t="n"/>
      <c r="AG20" s="946" t="n"/>
      <c r="AH20" s="946" t="n"/>
      <c r="AI20" s="1111" t="n"/>
      <c r="AJ20" s="1114" t="n"/>
      <c r="AK20" s="946" t="n"/>
      <c r="AL20" s="946" t="n"/>
      <c r="AM20" s="946" t="n"/>
      <c r="AN20" s="946" t="n"/>
      <c r="AO20" s="1111" t="n"/>
      <c r="AP20" s="1114" t="n"/>
      <c r="AQ20" s="1116" t="n"/>
      <c r="AR20" s="946" t="n"/>
      <c r="AS20" s="946" t="n"/>
      <c r="AT20" s="946" t="n"/>
      <c r="AU20" s="1111" t="n"/>
      <c r="AV20" s="1193" t="n"/>
      <c r="AW20" s="1195" t="n"/>
      <c r="AX20" s="958" t="n"/>
      <c r="AY20" s="958" t="n"/>
      <c r="AZ20" s="958" t="n"/>
      <c r="BA20" s="958" t="n"/>
      <c r="BB20" s="1194" t="n"/>
      <c r="BC20" s="1193" t="n"/>
      <c r="BD20" s="1195" t="n"/>
      <c r="BE20" s="958" t="n"/>
      <c r="BF20" s="958" t="n"/>
      <c r="BG20" s="958" t="n"/>
      <c r="BH20" s="1194" t="n"/>
      <c r="BI20" s="1193" t="n"/>
      <c r="BJ20" s="958" t="n"/>
      <c r="BK20" s="958" t="n"/>
      <c r="BL20" s="958" t="n"/>
      <c r="BM20" s="958" t="n"/>
      <c r="BN20" s="1194" t="n"/>
      <c r="BO20" s="1193" t="n"/>
      <c r="BP20" s="958" t="n"/>
      <c r="BQ20" s="958" t="n"/>
      <c r="BR20" s="958" t="n"/>
      <c r="BS20" s="958" t="n"/>
      <c r="BT20" s="1194" t="n"/>
      <c r="BU20" s="1193" t="n"/>
      <c r="BV20" s="958" t="n"/>
      <c r="BW20" s="958" t="n"/>
      <c r="BX20" s="958" t="n"/>
      <c r="BY20" s="958" t="n"/>
      <c r="BZ20" s="928" t="n"/>
    </row>
    <row r="21" ht="16.5" customHeight="1" s="838">
      <c r="B21" s="756" t="n"/>
      <c r="C21" s="739" t="n"/>
      <c r="D21" s="739" t="n"/>
      <c r="E21" s="754" t="inlineStr">
        <is>
          <t>저감율</t>
        </is>
      </c>
      <c r="F21" s="167">
        <f>F20/F18</f>
        <v/>
      </c>
      <c r="G21" s="168">
        <f>G20/G18</f>
        <v/>
      </c>
      <c r="H21" s="168">
        <f>H20/H18</f>
        <v/>
      </c>
      <c r="I21" s="168">
        <f>I20/I18</f>
        <v/>
      </c>
      <c r="J21" s="168">
        <f>J20/J18</f>
        <v/>
      </c>
      <c r="K21" s="168">
        <f>K20/K18</f>
        <v/>
      </c>
      <c r="L21" s="167">
        <f>L20/L18</f>
        <v/>
      </c>
      <c r="M21" s="168">
        <f>M20/M18</f>
        <v/>
      </c>
      <c r="N21" s="168">
        <f>N20/N18</f>
        <v/>
      </c>
      <c r="O21" s="168">
        <f>O20/O18</f>
        <v/>
      </c>
      <c r="P21" s="169">
        <f>P20/P18</f>
        <v/>
      </c>
      <c r="Q21" s="167">
        <f>Q20/Q18</f>
        <v/>
      </c>
      <c r="R21" s="168">
        <f>R20/R18</f>
        <v/>
      </c>
      <c r="S21" s="168">
        <f>S20/S18</f>
        <v/>
      </c>
      <c r="T21" s="168">
        <f>T20/T18</f>
        <v/>
      </c>
      <c r="U21" s="168">
        <f>U20/U18</f>
        <v/>
      </c>
      <c r="V21" s="169">
        <f>V20/V18</f>
        <v/>
      </c>
      <c r="W21" s="167">
        <f>W20/W18</f>
        <v/>
      </c>
      <c r="X21" s="168">
        <f>X20/X18</f>
        <v/>
      </c>
      <c r="Y21" s="168">
        <f>Y20/Y18</f>
        <v/>
      </c>
      <c r="Z21" s="168">
        <f>Z20/Z18</f>
        <v/>
      </c>
      <c r="AA21" s="168">
        <f>AA20/AA18</f>
        <v/>
      </c>
      <c r="AB21" s="169">
        <f>AB20/AB18</f>
        <v/>
      </c>
      <c r="AC21" s="167" t="n"/>
      <c r="AD21" s="168" t="n"/>
      <c r="AE21" s="168" t="n"/>
      <c r="AF21" s="168" t="n"/>
      <c r="AG21" s="168" t="n"/>
      <c r="AH21" s="168" t="n"/>
      <c r="AI21" s="169" t="n"/>
      <c r="AJ21" s="167" t="n"/>
      <c r="AK21" s="168" t="n"/>
      <c r="AL21" s="168" t="n"/>
      <c r="AM21" s="168" t="n"/>
      <c r="AN21" s="168" t="n"/>
      <c r="AO21" s="169" t="n"/>
      <c r="AP21" s="167" t="n"/>
      <c r="AQ21" s="457" t="n"/>
      <c r="AR21" s="168" t="n"/>
      <c r="AS21" s="168" t="n"/>
      <c r="AT21" s="168" t="n"/>
      <c r="AU21" s="169" t="n"/>
      <c r="AV21" s="132" t="n"/>
      <c r="AW21" s="469" t="n"/>
      <c r="AX21" s="133" t="n"/>
      <c r="AY21" s="133" t="n"/>
      <c r="AZ21" s="133" t="n"/>
      <c r="BA21" s="133" t="n"/>
      <c r="BB21" s="134" t="n"/>
      <c r="BC21" s="132" t="n"/>
      <c r="BD21" s="469" t="n"/>
      <c r="BE21" s="133" t="n"/>
      <c r="BF21" s="133" t="n"/>
      <c r="BG21" s="133" t="n"/>
      <c r="BH21" s="134" t="n"/>
      <c r="BI21" s="132" t="n"/>
      <c r="BJ21" s="133" t="n"/>
      <c r="BK21" s="133" t="n"/>
      <c r="BL21" s="133" t="n"/>
      <c r="BM21" s="133" t="n"/>
      <c r="BN21" s="134" t="n"/>
      <c r="BO21" s="132" t="n"/>
      <c r="BP21" s="133" t="n"/>
      <c r="BQ21" s="133" t="n"/>
      <c r="BR21" s="133" t="n"/>
      <c r="BS21" s="133" t="n"/>
      <c r="BT21" s="134" t="n"/>
      <c r="BU21" s="132" t="n"/>
      <c r="BV21" s="133" t="n"/>
      <c r="BW21" s="133" t="n"/>
      <c r="BX21" s="133" t="n"/>
      <c r="BY21" s="133" t="n"/>
      <c r="BZ21" s="135" t="n"/>
    </row>
    <row r="22" ht="16.5" customHeight="1" s="838">
      <c r="B22" s="756" t="n"/>
      <c r="C22" s="754" t="inlineStr">
        <is>
          <t>제품1</t>
        </is>
      </c>
      <c r="D22" s="754" t="inlineStr">
        <is>
          <t>목표</t>
        </is>
      </c>
      <c r="E22" s="624" t="inlineStr">
        <is>
          <t>Base</t>
        </is>
      </c>
      <c r="F22" s="1114" t="n">
        <v>90.01267900000001</v>
      </c>
      <c r="G22" s="946" t="n">
        <v>90.01267900000001</v>
      </c>
      <c r="H22" s="946" t="n">
        <v>90.01267900000001</v>
      </c>
      <c r="I22" s="946" t="n">
        <v>90.01267900000001</v>
      </c>
      <c r="J22" s="946" t="n">
        <v>90.01267900000001</v>
      </c>
      <c r="K22" s="946" t="n">
        <v>90.01267900000001</v>
      </c>
      <c r="L22" s="1114" t="n">
        <v>67.67650500000001</v>
      </c>
      <c r="M22" s="946" t="n">
        <v>67.67650500000001</v>
      </c>
      <c r="N22" s="946" t="n">
        <v>67.67650500000001</v>
      </c>
      <c r="O22" s="946" t="n">
        <v>67.67650500000001</v>
      </c>
      <c r="P22" s="1111" t="n">
        <v>67.67650500000001</v>
      </c>
      <c r="Q22" s="1114" t="n">
        <v>94.374656</v>
      </c>
      <c r="R22" s="946" t="n">
        <v>94.374656</v>
      </c>
      <c r="S22" s="946" t="n">
        <v>94.374656</v>
      </c>
      <c r="T22" s="946" t="n">
        <v>94.374656</v>
      </c>
      <c r="U22" s="946" t="n">
        <v>94.374656</v>
      </c>
      <c r="V22" s="1111" t="n">
        <v>94.374656</v>
      </c>
      <c r="W22" s="1114" t="n">
        <v>28.888039</v>
      </c>
      <c r="X22" s="946" t="n">
        <v>28.888039</v>
      </c>
      <c r="Y22" s="946" t="n">
        <v>28.888039</v>
      </c>
      <c r="Z22" s="946" t="n">
        <v>28.888039</v>
      </c>
      <c r="AA22" s="946" t="n">
        <v>28.888039</v>
      </c>
      <c r="AB22" s="1111" t="n">
        <v>28.888039</v>
      </c>
      <c r="AC22" s="1114" t="n"/>
      <c r="AD22" s="946" t="n"/>
      <c r="AE22" s="946" t="n"/>
      <c r="AF22" s="946" t="n"/>
      <c r="AG22" s="946" t="n"/>
      <c r="AH22" s="946" t="n"/>
      <c r="AI22" s="1111" t="n"/>
      <c r="AJ22" s="1114" t="n"/>
      <c r="AK22" s="946" t="n"/>
      <c r="AL22" s="946" t="n"/>
      <c r="AM22" s="946" t="n"/>
      <c r="AN22" s="946" t="n"/>
      <c r="AO22" s="1111" t="n"/>
      <c r="AP22" s="1114" t="n"/>
      <c r="AQ22" s="1116" t="n"/>
      <c r="AR22" s="946" t="n"/>
      <c r="AS22" s="946" t="n"/>
      <c r="AT22" s="946" t="n"/>
      <c r="AU22" s="1111" t="n"/>
      <c r="AV22" s="1114" t="n"/>
      <c r="AW22" s="1116" t="n"/>
      <c r="AX22" s="946" t="n"/>
      <c r="AY22" s="946" t="n"/>
      <c r="AZ22" s="946" t="n"/>
      <c r="BA22" s="946" t="n"/>
      <c r="BB22" s="1111" t="n"/>
      <c r="BC22" s="1114" t="n"/>
      <c r="BD22" s="1116" t="n"/>
      <c r="BE22" s="946" t="n"/>
      <c r="BF22" s="946" t="n"/>
      <c r="BG22" s="946" t="n"/>
      <c r="BH22" s="1111" t="n"/>
      <c r="BI22" s="1114" t="n"/>
      <c r="BJ22" s="946" t="n"/>
      <c r="BK22" s="946" t="n"/>
      <c r="BL22" s="946" t="n"/>
      <c r="BM22" s="946" t="n"/>
      <c r="BN22" s="1111" t="n"/>
      <c r="BO22" s="1114" t="n"/>
      <c r="BP22" s="946" t="n"/>
      <c r="BQ22" s="946" t="n"/>
      <c r="BR22" s="946" t="n"/>
      <c r="BS22" s="946" t="n"/>
      <c r="BT22" s="1111" t="n"/>
      <c r="BU22" s="1114" t="n"/>
      <c r="BV22" s="946" t="n"/>
      <c r="BW22" s="946" t="n"/>
      <c r="BX22" s="946" t="n"/>
      <c r="BY22" s="946" t="n"/>
      <c r="BZ22" s="928" t="n"/>
    </row>
    <row r="23" ht="16.5" customHeight="1" s="838">
      <c r="B23" s="756" t="n"/>
      <c r="C23" s="738" t="n"/>
      <c r="D23" s="738" t="n"/>
      <c r="E23" s="782" t="inlineStr">
        <is>
          <t>발주금액</t>
        </is>
      </c>
      <c r="F23" s="1114">
        <f>F22-F24</f>
        <v/>
      </c>
      <c r="G23" s="946">
        <f>G22-G24</f>
        <v/>
      </c>
      <c r="H23" s="946">
        <f>H22-H24</f>
        <v/>
      </c>
      <c r="I23" s="946">
        <f>I22-I24</f>
        <v/>
      </c>
      <c r="J23" s="946">
        <f>J22-J24</f>
        <v/>
      </c>
      <c r="K23" s="946">
        <f>K22-K24</f>
        <v/>
      </c>
      <c r="L23" s="1114">
        <f>L22-L24</f>
        <v/>
      </c>
      <c r="M23" s="946">
        <f>M22-M24</f>
        <v/>
      </c>
      <c r="N23" s="946">
        <f>N22-N24</f>
        <v/>
      </c>
      <c r="O23" s="946">
        <f>O22-O24</f>
        <v/>
      </c>
      <c r="P23" s="1111">
        <f>P22-P24</f>
        <v/>
      </c>
      <c r="Q23" s="1114">
        <f>Q22-Q24</f>
        <v/>
      </c>
      <c r="R23" s="946">
        <f>R22-R24</f>
        <v/>
      </c>
      <c r="S23" s="946">
        <f>S22-S24</f>
        <v/>
      </c>
      <c r="T23" s="946">
        <f>T22-T24</f>
        <v/>
      </c>
      <c r="U23" s="946">
        <f>U22-U24</f>
        <v/>
      </c>
      <c r="V23" s="1111">
        <f>V22-V24</f>
        <v/>
      </c>
      <c r="W23" s="1114">
        <f>W22-W24</f>
        <v/>
      </c>
      <c r="X23" s="946">
        <f>X22-X24</f>
        <v/>
      </c>
      <c r="Y23" s="946">
        <f>Y22-Y24</f>
        <v/>
      </c>
      <c r="Z23" s="946">
        <f>Z22-Z24</f>
        <v/>
      </c>
      <c r="AA23" s="946">
        <f>AA22-AA24</f>
        <v/>
      </c>
      <c r="AB23" s="1111">
        <f>AB22-AB24</f>
        <v/>
      </c>
      <c r="AC23" s="1114" t="n"/>
      <c r="AD23" s="946" t="n"/>
      <c r="AE23" s="946" t="n"/>
      <c r="AF23" s="946" t="n"/>
      <c r="AG23" s="946" t="n"/>
      <c r="AH23" s="946" t="n"/>
      <c r="AI23" s="1111" t="n"/>
      <c r="AJ23" s="1114" t="n"/>
      <c r="AK23" s="946" t="n"/>
      <c r="AL23" s="946" t="n"/>
      <c r="AM23" s="946" t="n"/>
      <c r="AN23" s="946" t="n"/>
      <c r="AO23" s="1111" t="n"/>
      <c r="AP23" s="1114" t="n"/>
      <c r="AQ23" s="1116" t="n"/>
      <c r="AR23" s="946" t="n"/>
      <c r="AS23" s="946" t="n"/>
      <c r="AT23" s="946" t="n"/>
      <c r="AU23" s="1111" t="n"/>
      <c r="AV23" s="1114" t="n"/>
      <c r="AW23" s="1116" t="n"/>
      <c r="AX23" s="946" t="n"/>
      <c r="AY23" s="946" t="n"/>
      <c r="AZ23" s="946" t="n"/>
      <c r="BA23" s="946" t="n"/>
      <c r="BB23" s="1111" t="n"/>
      <c r="BC23" s="1114" t="n"/>
      <c r="BD23" s="1116" t="n"/>
      <c r="BE23" s="946" t="n"/>
      <c r="BF23" s="946" t="n"/>
      <c r="BG23" s="946" t="n"/>
      <c r="BH23" s="1111" t="n"/>
      <c r="BI23" s="1114" t="n"/>
      <c r="BJ23" s="946" t="n"/>
      <c r="BK23" s="946" t="n"/>
      <c r="BL23" s="946" t="n"/>
      <c r="BM23" s="946" t="n"/>
      <c r="BN23" s="1111" t="n"/>
      <c r="BO23" s="1114" t="n"/>
      <c r="BP23" s="946" t="n"/>
      <c r="BQ23" s="946" t="n"/>
      <c r="BR23" s="946" t="n"/>
      <c r="BS23" s="946" t="n"/>
      <c r="BT23" s="1111" t="n"/>
      <c r="BU23" s="1114" t="n"/>
      <c r="BV23" s="946" t="n"/>
      <c r="BW23" s="946" t="n"/>
      <c r="BX23" s="946" t="n"/>
      <c r="BY23" s="946" t="n"/>
      <c r="BZ23" s="928" t="n"/>
    </row>
    <row r="24" ht="16.5" customHeight="1" s="838">
      <c r="B24" s="756" t="n"/>
      <c r="C24" s="738" t="n"/>
      <c r="D24" s="738" t="n"/>
      <c r="E24" s="782" t="inlineStr">
        <is>
          <t>저감금액</t>
        </is>
      </c>
      <c r="F24" s="1114" t="n">
        <v>21.365528</v>
      </c>
      <c r="G24" s="946" t="n">
        <v>21.365528</v>
      </c>
      <c r="H24" s="946" t="n">
        <v>21.365528</v>
      </c>
      <c r="I24" s="946" t="n">
        <v>21.365528</v>
      </c>
      <c r="J24" s="946" t="n">
        <v>21.365528</v>
      </c>
      <c r="K24" s="946" t="n">
        <v>21.365528</v>
      </c>
      <c r="L24" s="1114" t="n">
        <v>12.48862251</v>
      </c>
      <c r="M24" s="946" t="n">
        <v>12.48862251</v>
      </c>
      <c r="N24" s="946" t="n">
        <v>12.48862251</v>
      </c>
      <c r="O24" s="946" t="n">
        <v>12.48862251</v>
      </c>
      <c r="P24" s="1111" t="n">
        <v>12.48862251</v>
      </c>
      <c r="Q24" s="1114" t="n">
        <v>8.793067000000001</v>
      </c>
      <c r="R24" s="946" t="n">
        <v>8.793067000000001</v>
      </c>
      <c r="S24" s="946" t="n">
        <v>8.793067000000001</v>
      </c>
      <c r="T24" s="946" t="n">
        <v>8.793067000000001</v>
      </c>
      <c r="U24" s="946" t="n">
        <v>8.793067000000001</v>
      </c>
      <c r="V24" s="1111" t="n">
        <v>8.793067000000001</v>
      </c>
      <c r="W24" s="925" t="n">
        <v>2.57618359</v>
      </c>
      <c r="X24" s="926" t="n">
        <v>2.57618359</v>
      </c>
      <c r="Y24" s="926" t="n">
        <v>2.57618359</v>
      </c>
      <c r="Z24" s="926" t="n">
        <v>2.57618359</v>
      </c>
      <c r="AA24" s="926" t="n">
        <v>2.57618359</v>
      </c>
      <c r="AB24" s="927" t="n">
        <v>2.57618359</v>
      </c>
      <c r="AC24" s="925" t="n"/>
      <c r="AD24" s="926" t="n"/>
      <c r="AE24" s="926" t="n"/>
      <c r="AF24" s="926" t="n"/>
      <c r="AG24" s="926" t="n"/>
      <c r="AH24" s="926" t="n"/>
      <c r="AI24" s="927" t="n"/>
      <c r="AJ24" s="925" t="n"/>
      <c r="AK24" s="926" t="n"/>
      <c r="AL24" s="926" t="n"/>
      <c r="AM24" s="926" t="n"/>
      <c r="AN24" s="926" t="n"/>
      <c r="AO24" s="927" t="n"/>
      <c r="AP24" s="925" t="n"/>
      <c r="AQ24" s="1056" t="n"/>
      <c r="AR24" s="926" t="n"/>
      <c r="AS24" s="926" t="n"/>
      <c r="AT24" s="926" t="n"/>
      <c r="AU24" s="927" t="n"/>
      <c r="AV24" s="925" t="n"/>
      <c r="AW24" s="1056" t="n"/>
      <c r="AX24" s="926" t="n"/>
      <c r="AY24" s="926" t="n"/>
      <c r="AZ24" s="926" t="n"/>
      <c r="BA24" s="926" t="n"/>
      <c r="BB24" s="927" t="n"/>
      <c r="BC24" s="925" t="n"/>
      <c r="BD24" s="1056" t="n"/>
      <c r="BE24" s="926" t="n"/>
      <c r="BF24" s="926" t="n"/>
      <c r="BG24" s="926" t="n"/>
      <c r="BH24" s="927" t="n"/>
      <c r="BI24" s="925" t="n"/>
      <c r="BJ24" s="926" t="n"/>
      <c r="BK24" s="926" t="n"/>
      <c r="BL24" s="926" t="n"/>
      <c r="BM24" s="926" t="n"/>
      <c r="BN24" s="927" t="n"/>
      <c r="BO24" s="925" t="n"/>
      <c r="BP24" s="926" t="n"/>
      <c r="BQ24" s="926" t="n"/>
      <c r="BR24" s="926" t="n"/>
      <c r="BS24" s="926" t="n"/>
      <c r="BT24" s="927" t="n"/>
      <c r="BU24" s="925" t="n"/>
      <c r="BV24" s="926" t="n"/>
      <c r="BW24" s="926" t="n"/>
      <c r="BX24" s="926" t="n"/>
      <c r="BY24" s="926" t="n"/>
      <c r="BZ24" s="928" t="n"/>
    </row>
    <row r="25" ht="16.5" customHeight="1" s="838">
      <c r="B25" s="756" t="n"/>
      <c r="C25" s="738" t="n"/>
      <c r="D25" s="739" t="n"/>
      <c r="E25" s="782" t="inlineStr">
        <is>
          <t>저감율</t>
        </is>
      </c>
      <c r="F25" s="929">
        <f>F24/F22</f>
        <v/>
      </c>
      <c r="G25" s="931">
        <f>G24/G22</f>
        <v/>
      </c>
      <c r="H25" s="931">
        <f>H24/H22</f>
        <v/>
      </c>
      <c r="I25" s="931">
        <f>I24/I22</f>
        <v/>
      </c>
      <c r="J25" s="931">
        <f>J24/J22</f>
        <v/>
      </c>
      <c r="K25" s="931">
        <f>K24/K22</f>
        <v/>
      </c>
      <c r="L25" s="929">
        <f>L24/L22</f>
        <v/>
      </c>
      <c r="M25" s="931">
        <f>M24/M22</f>
        <v/>
      </c>
      <c r="N25" s="931">
        <f>N24/N22</f>
        <v/>
      </c>
      <c r="O25" s="931">
        <f>O24/O22</f>
        <v/>
      </c>
      <c r="P25" s="938">
        <f>P24/P22</f>
        <v/>
      </c>
      <c r="Q25" s="929">
        <f>Q24/Q22</f>
        <v/>
      </c>
      <c r="R25" s="931">
        <f>R24/R22</f>
        <v/>
      </c>
      <c r="S25" s="931">
        <f>S24/S22</f>
        <v/>
      </c>
      <c r="T25" s="931">
        <f>T24/T22</f>
        <v/>
      </c>
      <c r="U25" s="931">
        <f>U24/U22</f>
        <v/>
      </c>
      <c r="V25" s="938">
        <f>V24/V22</f>
        <v/>
      </c>
      <c r="W25" s="929">
        <f>W24/W22</f>
        <v/>
      </c>
      <c r="X25" s="931">
        <f>X24/X22</f>
        <v/>
      </c>
      <c r="Y25" s="931">
        <f>Y24/Y22</f>
        <v/>
      </c>
      <c r="Z25" s="931">
        <f>Z24/Z22</f>
        <v/>
      </c>
      <c r="AA25" s="931">
        <f>AA24/AA22</f>
        <v/>
      </c>
      <c r="AB25" s="938">
        <f>AB24/AB22</f>
        <v/>
      </c>
      <c r="AC25" s="929" t="n"/>
      <c r="AD25" s="931" t="n"/>
      <c r="AE25" s="931" t="n"/>
      <c r="AF25" s="931" t="n"/>
      <c r="AG25" s="931" t="n"/>
      <c r="AH25" s="931" t="n"/>
      <c r="AI25" s="938" t="n"/>
      <c r="AJ25" s="929" t="n"/>
      <c r="AK25" s="931" t="n"/>
      <c r="AL25" s="931" t="n"/>
      <c r="AM25" s="931" t="n"/>
      <c r="AN25" s="931" t="n"/>
      <c r="AO25" s="938" t="n"/>
      <c r="AP25" s="929" t="n"/>
      <c r="AQ25" s="1040" t="n"/>
      <c r="AR25" s="931" t="n"/>
      <c r="AS25" s="931" t="n"/>
      <c r="AT25" s="931" t="n"/>
      <c r="AU25" s="938" t="n"/>
      <c r="AV25" s="929" t="n"/>
      <c r="AW25" s="1040" t="n"/>
      <c r="AX25" s="931" t="n"/>
      <c r="AY25" s="931" t="n"/>
      <c r="AZ25" s="931" t="n"/>
      <c r="BA25" s="931" t="n"/>
      <c r="BB25" s="938" t="n"/>
      <c r="BC25" s="929" t="n"/>
      <c r="BD25" s="1040" t="n"/>
      <c r="BE25" s="931" t="n"/>
      <c r="BF25" s="931" t="n"/>
      <c r="BG25" s="931" t="n"/>
      <c r="BH25" s="938" t="n"/>
      <c r="BI25" s="929" t="n"/>
      <c r="BJ25" s="931" t="n"/>
      <c r="BK25" s="931" t="n"/>
      <c r="BL25" s="931" t="n"/>
      <c r="BM25" s="931" t="n"/>
      <c r="BN25" s="938" t="n"/>
      <c r="BO25" s="929" t="n"/>
      <c r="BP25" s="931" t="n"/>
      <c r="BQ25" s="931" t="n"/>
      <c r="BR25" s="931" t="n"/>
      <c r="BS25" s="931" t="n"/>
      <c r="BT25" s="938" t="n"/>
      <c r="BU25" s="929" t="n"/>
      <c r="BV25" s="931" t="n"/>
      <c r="BW25" s="931" t="n"/>
      <c r="BX25" s="931" t="n"/>
      <c r="BY25" s="931" t="n"/>
      <c r="BZ25" s="939" t="n"/>
    </row>
    <row r="26" ht="16.5" customHeight="1" s="838">
      <c r="B26" s="756" t="n"/>
      <c r="C26" s="738" t="n"/>
      <c r="D26" s="737" t="inlineStr">
        <is>
          <t>실적</t>
        </is>
      </c>
      <c r="E26" s="797" t="inlineStr">
        <is>
          <t>Base</t>
        </is>
      </c>
      <c r="F26" s="940" t="n">
        <v>105.254486</v>
      </c>
      <c r="G26" s="941" t="n">
        <v>39.471596</v>
      </c>
      <c r="H26" s="941" t="n">
        <v>39.471596</v>
      </c>
      <c r="I26" s="941" t="n">
        <v>103.071878</v>
      </c>
      <c r="J26" s="941" t="n">
        <v>103.071878</v>
      </c>
      <c r="K26" s="941" t="n">
        <v>39.471596</v>
      </c>
      <c r="L26" s="940" t="n">
        <v>112.841521</v>
      </c>
      <c r="M26" s="941" t="n">
        <v>12.734455</v>
      </c>
      <c r="N26" s="941" t="n">
        <v>12.734455</v>
      </c>
      <c r="O26" s="941" t="n">
        <v>112.841521</v>
      </c>
      <c r="P26" s="942" t="n">
        <v>112.841521</v>
      </c>
      <c r="Q26" s="940">
        <f>U26</f>
        <v/>
      </c>
      <c r="R26" s="941" t="n">
        <v>90.527968</v>
      </c>
      <c r="S26" s="941" t="n">
        <v>51.388613</v>
      </c>
      <c r="T26" s="470" t="n">
        <v>78.073142</v>
      </c>
      <c r="U26" s="470" t="n">
        <v>78.073142</v>
      </c>
      <c r="V26" s="220" t="n">
        <v>78.073142</v>
      </c>
      <c r="W26" s="940" t="n">
        <v>35.472681</v>
      </c>
      <c r="X26" s="941" t="n">
        <v>6.935</v>
      </c>
      <c r="Y26" s="941" t="n">
        <v>32.873788</v>
      </c>
      <c r="Z26" s="941" t="n">
        <v>76.217636</v>
      </c>
      <c r="AA26" s="941" t="n">
        <v>76.217636</v>
      </c>
      <c r="AB26" s="942" t="n">
        <v>35.472681</v>
      </c>
      <c r="AC26" s="940" t="n"/>
      <c r="AD26" s="941" t="n"/>
      <c r="AE26" s="941" t="n"/>
      <c r="AF26" s="941" t="n"/>
      <c r="AG26" s="941" t="n"/>
      <c r="AH26" s="941" t="n"/>
      <c r="AI26" s="942" t="n"/>
      <c r="AJ26" s="940" t="n"/>
      <c r="AK26" s="941" t="n"/>
      <c r="AL26" s="941" t="n"/>
      <c r="AM26" s="941" t="n"/>
      <c r="AN26" s="941" t="n"/>
      <c r="AO26" s="942" t="n"/>
      <c r="AP26" s="940" t="n"/>
      <c r="AQ26" s="1108" t="n"/>
      <c r="AR26" s="941" t="n"/>
      <c r="AS26" s="941" t="n"/>
      <c r="AT26" s="941" t="n"/>
      <c r="AU26" s="942" t="n"/>
      <c r="AV26" s="940" t="n"/>
      <c r="AW26" s="1108" t="n"/>
      <c r="AX26" s="941" t="n"/>
      <c r="AY26" s="941" t="n"/>
      <c r="AZ26" s="941" t="n"/>
      <c r="BA26" s="941" t="n"/>
      <c r="BB26" s="942" t="n"/>
      <c r="BC26" s="940" t="n"/>
      <c r="BD26" s="1108" t="n"/>
      <c r="BE26" s="941" t="n"/>
      <c r="BF26" s="941" t="n"/>
      <c r="BG26" s="941" t="n"/>
      <c r="BH26" s="942" t="n"/>
      <c r="BI26" s="940" t="n"/>
      <c r="BJ26" s="941" t="n"/>
      <c r="BK26" s="941" t="n"/>
      <c r="BL26" s="941" t="n"/>
      <c r="BM26" s="941" t="n"/>
      <c r="BN26" s="942" t="n"/>
      <c r="BO26" s="940" t="n"/>
      <c r="BP26" s="941" t="n"/>
      <c r="BQ26" s="941" t="n"/>
      <c r="BR26" s="941" t="n"/>
      <c r="BS26" s="941" t="n"/>
      <c r="BT26" s="942" t="n"/>
      <c r="BU26" s="940" t="n"/>
      <c r="BV26" s="941" t="n"/>
      <c r="BW26" s="941" t="n"/>
      <c r="BX26" s="941" t="n"/>
      <c r="BY26" s="941" t="n"/>
      <c r="BZ26" s="943" t="n"/>
    </row>
    <row r="27" ht="16.5" customHeight="1" s="838">
      <c r="B27" s="756" t="n"/>
      <c r="C27" s="738" t="n"/>
      <c r="D27" s="738" t="n"/>
      <c r="E27" s="782" t="inlineStr">
        <is>
          <t>발주금액</t>
        </is>
      </c>
      <c r="F27" s="1114" t="n">
        <v>46.143529</v>
      </c>
      <c r="G27" s="946" t="n">
        <v>64.90731599999999</v>
      </c>
      <c r="H27" s="946" t="n">
        <v>64.90731599999999</v>
      </c>
      <c r="I27" s="946" t="n">
        <v>93.71009100000001</v>
      </c>
      <c r="J27" s="946" t="n">
        <v>93.71009100000001</v>
      </c>
      <c r="K27" s="946" t="n">
        <v>64.90731599999999</v>
      </c>
      <c r="L27" s="1114" t="n">
        <v>68.27741899999999</v>
      </c>
      <c r="M27" s="946" t="n">
        <v>11.931998</v>
      </c>
      <c r="N27" s="946" t="n">
        <v>11.931998</v>
      </c>
      <c r="O27" s="946" t="n">
        <v>68.27741899999999</v>
      </c>
      <c r="P27" s="1111" t="n">
        <v>68.27741899999999</v>
      </c>
      <c r="Q27" s="1114">
        <f>U27</f>
        <v/>
      </c>
      <c r="R27" s="946" t="n">
        <v>86.41451000000001</v>
      </c>
      <c r="S27" s="946" t="n">
        <v>27.896837</v>
      </c>
      <c r="T27" s="946" t="n">
        <v>26.304242</v>
      </c>
      <c r="U27" s="946" t="n">
        <v>26.304242</v>
      </c>
      <c r="V27" s="1111" t="n">
        <v>26.304242</v>
      </c>
      <c r="W27" s="1114" t="n">
        <v>27.608224</v>
      </c>
      <c r="X27" s="946" t="n">
        <v>2.92905278</v>
      </c>
      <c r="Y27" s="946" t="n">
        <v>48.459616</v>
      </c>
      <c r="Z27" s="946" t="n">
        <v>21.965945</v>
      </c>
      <c r="AA27" s="946" t="n">
        <v>21.965945</v>
      </c>
      <c r="AB27" s="1111" t="n">
        <v>27.608224</v>
      </c>
      <c r="AC27" s="1114" t="n"/>
      <c r="AD27" s="946" t="n"/>
      <c r="AE27" s="946" t="n"/>
      <c r="AF27" s="946" t="n"/>
      <c r="AG27" s="946" t="n"/>
      <c r="AH27" s="946" t="n"/>
      <c r="AI27" s="1111" t="n"/>
      <c r="AJ27" s="1114" t="n"/>
      <c r="AK27" s="946" t="n"/>
      <c r="AL27" s="946" t="n"/>
      <c r="AM27" s="946" t="n"/>
      <c r="AN27" s="946" t="n"/>
      <c r="AO27" s="1111" t="n"/>
      <c r="AP27" s="1114" t="n"/>
      <c r="AQ27" s="1116" t="n"/>
      <c r="AR27" s="946" t="n"/>
      <c r="AS27" s="946" t="n"/>
      <c r="AT27" s="946" t="n"/>
      <c r="AU27" s="1111" t="n"/>
      <c r="AV27" s="1114" t="n"/>
      <c r="AW27" s="1116" t="n"/>
      <c r="AX27" s="946" t="n"/>
      <c r="AY27" s="946" t="n"/>
      <c r="AZ27" s="946" t="n"/>
      <c r="BA27" s="946" t="n"/>
      <c r="BB27" s="1111" t="n"/>
      <c r="BC27" s="1114" t="n"/>
      <c r="BD27" s="1116" t="n"/>
      <c r="BE27" s="946" t="n"/>
      <c r="BF27" s="946" t="n"/>
      <c r="BG27" s="946" t="n"/>
      <c r="BH27" s="1111" t="n"/>
      <c r="BI27" s="1114" t="n"/>
      <c r="BJ27" s="946" t="n"/>
      <c r="BK27" s="946" t="n"/>
      <c r="BL27" s="946" t="n"/>
      <c r="BM27" s="946" t="n"/>
      <c r="BN27" s="1111" t="n"/>
      <c r="BO27" s="1114" t="n"/>
      <c r="BP27" s="946" t="n"/>
      <c r="BQ27" s="946" t="n"/>
      <c r="BR27" s="946" t="n"/>
      <c r="BS27" s="946" t="n"/>
      <c r="BT27" s="1111" t="n"/>
      <c r="BU27" s="1114" t="n"/>
      <c r="BV27" s="946" t="n"/>
      <c r="BW27" s="946" t="n"/>
      <c r="BX27" s="946" t="n"/>
      <c r="BY27" s="946" t="n"/>
      <c r="BZ27" s="1118" t="n"/>
    </row>
    <row r="28" ht="16.5" customHeight="1" s="838">
      <c r="B28" s="756" t="n"/>
      <c r="C28" s="738" t="n"/>
      <c r="D28" s="738" t="n"/>
      <c r="E28" s="782" t="inlineStr">
        <is>
          <t>저감금액</t>
        </is>
      </c>
      <c r="F28" s="1114">
        <f>F26-F27</f>
        <v/>
      </c>
      <c r="G28" s="946">
        <f>G26-G27</f>
        <v/>
      </c>
      <c r="H28" s="946">
        <f>H26-H27</f>
        <v/>
      </c>
      <c r="I28" s="946">
        <f>I26-I27</f>
        <v/>
      </c>
      <c r="J28" s="946">
        <f>J26-J27</f>
        <v/>
      </c>
      <c r="K28" s="946">
        <f>K26-K27</f>
        <v/>
      </c>
      <c r="L28" s="1114">
        <f>L26-L27</f>
        <v/>
      </c>
      <c r="M28" s="946">
        <f>M26-M27</f>
        <v/>
      </c>
      <c r="N28" s="946">
        <f>N26-N27</f>
        <v/>
      </c>
      <c r="O28" s="946">
        <f>O26-O27</f>
        <v/>
      </c>
      <c r="P28" s="1111">
        <f>P26-P27</f>
        <v/>
      </c>
      <c r="Q28" s="1114">
        <f>Q26-Q27</f>
        <v/>
      </c>
      <c r="R28" s="946">
        <f>R26-R27</f>
        <v/>
      </c>
      <c r="S28" s="946">
        <f>S26-S27</f>
        <v/>
      </c>
      <c r="T28" s="946">
        <f>T26-T27</f>
        <v/>
      </c>
      <c r="U28" s="946">
        <f>U26-U27</f>
        <v/>
      </c>
      <c r="V28" s="1111">
        <f>V26-V27</f>
        <v/>
      </c>
      <c r="W28" s="1114">
        <f>W26-W27</f>
        <v/>
      </c>
      <c r="X28" s="946">
        <f>X26-X27</f>
        <v/>
      </c>
      <c r="Y28" s="946">
        <f>Y26-Y27</f>
        <v/>
      </c>
      <c r="Z28" s="946">
        <f>Z26-Z27</f>
        <v/>
      </c>
      <c r="AA28" s="946">
        <f>AA26-AA27</f>
        <v/>
      </c>
      <c r="AB28" s="1111">
        <f>AB26-AB27</f>
        <v/>
      </c>
      <c r="AC28" s="1114" t="n"/>
      <c r="AD28" s="946" t="n"/>
      <c r="AE28" s="946" t="n"/>
      <c r="AF28" s="946" t="n"/>
      <c r="AG28" s="946" t="n"/>
      <c r="AH28" s="946" t="n"/>
      <c r="AI28" s="1111" t="n"/>
      <c r="AJ28" s="1114" t="n"/>
      <c r="AK28" s="946" t="n"/>
      <c r="AL28" s="946" t="n"/>
      <c r="AM28" s="946" t="n"/>
      <c r="AN28" s="946" t="n"/>
      <c r="AO28" s="1111" t="n"/>
      <c r="AP28" s="1114" t="n"/>
      <c r="AQ28" s="1116" t="n"/>
      <c r="AR28" s="946" t="n"/>
      <c r="AS28" s="946" t="n"/>
      <c r="AT28" s="946" t="n"/>
      <c r="AU28" s="1111" t="n"/>
      <c r="AV28" s="1114" t="n"/>
      <c r="AW28" s="1116" t="n"/>
      <c r="AX28" s="946" t="n"/>
      <c r="AY28" s="946" t="n"/>
      <c r="AZ28" s="946" t="n"/>
      <c r="BA28" s="946" t="n"/>
      <c r="BB28" s="1111" t="n"/>
      <c r="BC28" s="1114" t="n"/>
      <c r="BD28" s="1116" t="n"/>
      <c r="BE28" s="946" t="n"/>
      <c r="BF28" s="946" t="n"/>
      <c r="BG28" s="946" t="n"/>
      <c r="BH28" s="1111" t="n"/>
      <c r="BI28" s="1114" t="n"/>
      <c r="BJ28" s="946" t="n"/>
      <c r="BK28" s="946" t="n"/>
      <c r="BL28" s="946" t="n"/>
      <c r="BM28" s="946" t="n"/>
      <c r="BN28" s="1111" t="n"/>
      <c r="BO28" s="1114" t="n"/>
      <c r="BP28" s="946" t="n"/>
      <c r="BQ28" s="946" t="n"/>
      <c r="BR28" s="946" t="n"/>
      <c r="BS28" s="946" t="n"/>
      <c r="BT28" s="1111" t="n"/>
      <c r="BU28" s="1114" t="n"/>
      <c r="BV28" s="946" t="n"/>
      <c r="BW28" s="946" t="n"/>
      <c r="BX28" s="946" t="n"/>
      <c r="BY28" s="946" t="n"/>
      <c r="BZ28" s="1118" t="n"/>
    </row>
    <row r="29" ht="16.5" customHeight="1" s="838">
      <c r="B29" s="756" t="n"/>
      <c r="C29" s="739" t="n"/>
      <c r="D29" s="739" t="n"/>
      <c r="E29" s="754" t="inlineStr">
        <is>
          <t>저감율</t>
        </is>
      </c>
      <c r="F29" s="167">
        <f>F28/F26</f>
        <v/>
      </c>
      <c r="G29" s="168">
        <f>G28/G26</f>
        <v/>
      </c>
      <c r="H29" s="168">
        <f>H28/H26</f>
        <v/>
      </c>
      <c r="I29" s="168">
        <f>I28/I26</f>
        <v/>
      </c>
      <c r="J29" s="168">
        <f>J28/J26</f>
        <v/>
      </c>
      <c r="K29" s="168">
        <f>K28/K26</f>
        <v/>
      </c>
      <c r="L29" s="167">
        <f>L28/L26</f>
        <v/>
      </c>
      <c r="M29" s="168">
        <f>M28/M26</f>
        <v/>
      </c>
      <c r="N29" s="168">
        <f>N28/N26</f>
        <v/>
      </c>
      <c r="O29" s="168">
        <f>O28/O26</f>
        <v/>
      </c>
      <c r="P29" s="169">
        <f>P28/P26</f>
        <v/>
      </c>
      <c r="Q29" s="167">
        <f>Q28/Q26</f>
        <v/>
      </c>
      <c r="R29" s="168">
        <f>R28/R26</f>
        <v/>
      </c>
      <c r="S29" s="168">
        <f>S28/S26</f>
        <v/>
      </c>
      <c r="T29" s="168">
        <f>T28/T26</f>
        <v/>
      </c>
      <c r="U29" s="168">
        <f>U28/U26</f>
        <v/>
      </c>
      <c r="V29" s="169">
        <f>V28/V26</f>
        <v/>
      </c>
      <c r="W29" s="167">
        <f>W28/W26</f>
        <v/>
      </c>
      <c r="X29" s="168">
        <f>X28/X26</f>
        <v/>
      </c>
      <c r="Y29" s="168">
        <f>Y28/Y26</f>
        <v/>
      </c>
      <c r="Z29" s="168">
        <f>Z28/Z26</f>
        <v/>
      </c>
      <c r="AA29" s="168">
        <f>AA28/AA26</f>
        <v/>
      </c>
      <c r="AB29" s="169">
        <f>AB28/AB26</f>
        <v/>
      </c>
      <c r="AC29" s="167" t="n"/>
      <c r="AD29" s="168" t="n"/>
      <c r="AE29" s="168" t="n"/>
      <c r="AF29" s="168" t="n"/>
      <c r="AG29" s="168" t="n"/>
      <c r="AH29" s="168" t="n"/>
      <c r="AI29" s="169" t="n"/>
      <c r="AJ29" s="167" t="n"/>
      <c r="AK29" s="168" t="n"/>
      <c r="AL29" s="168" t="n"/>
      <c r="AM29" s="168" t="n"/>
      <c r="AN29" s="168" t="n"/>
      <c r="AO29" s="169" t="n"/>
      <c r="AP29" s="167" t="n"/>
      <c r="AQ29" s="457" t="n"/>
      <c r="AR29" s="168" t="n"/>
      <c r="AS29" s="168" t="n"/>
      <c r="AT29" s="168" t="n"/>
      <c r="AU29" s="169" t="n"/>
      <c r="AV29" s="167" t="n"/>
      <c r="AW29" s="457" t="n"/>
      <c r="AX29" s="168" t="n"/>
      <c r="AY29" s="168" t="n"/>
      <c r="AZ29" s="168" t="n"/>
      <c r="BA29" s="168" t="n"/>
      <c r="BB29" s="947" t="n"/>
      <c r="BC29" s="944" t="n"/>
      <c r="BD29" s="1123" t="n"/>
      <c r="BE29" s="945" t="n"/>
      <c r="BF29" s="945" t="n"/>
      <c r="BG29" s="945" t="n"/>
      <c r="BH29" s="947" t="n"/>
      <c r="BI29" s="944" t="n"/>
      <c r="BJ29" s="945" t="n"/>
      <c r="BK29" s="945" t="n"/>
      <c r="BL29" s="945" t="n"/>
      <c r="BM29" s="945" t="n"/>
      <c r="BN29" s="947" t="n"/>
      <c r="BO29" s="944" t="n"/>
      <c r="BP29" s="945" t="n"/>
      <c r="BQ29" s="945" t="n"/>
      <c r="BR29" s="945" t="n"/>
      <c r="BS29" s="945" t="n"/>
      <c r="BT29" s="947" t="n"/>
      <c r="BU29" s="944" t="n"/>
      <c r="BV29" s="945" t="n"/>
      <c r="BW29" s="945" t="n"/>
      <c r="BX29" s="945" t="n"/>
      <c r="BY29" s="945" t="n"/>
      <c r="BZ29" s="948" t="n"/>
    </row>
    <row r="30" ht="16.5" customHeight="1" s="838">
      <c r="B30" s="756" t="n"/>
      <c r="C30" s="754" t="inlineStr">
        <is>
          <t>제품2</t>
        </is>
      </c>
      <c r="D30" s="737" t="inlineStr">
        <is>
          <t>목표</t>
        </is>
      </c>
      <c r="E30" s="797" t="inlineStr">
        <is>
          <t>Base</t>
        </is>
      </c>
      <c r="F30" s="940" t="n">
        <v>2.98225566</v>
      </c>
      <c r="G30" s="941" t="n">
        <v>2.98225566</v>
      </c>
      <c r="H30" s="941" t="n">
        <v>2.98225566</v>
      </c>
      <c r="I30" s="941" t="n">
        <v>2.98225566</v>
      </c>
      <c r="J30" s="941" t="n">
        <v>2.98225566</v>
      </c>
      <c r="K30" s="941" t="n">
        <v>2.98225566</v>
      </c>
      <c r="L30" s="940" t="n">
        <v>2.47669926</v>
      </c>
      <c r="M30" s="941" t="n">
        <v>2.47669926</v>
      </c>
      <c r="N30" s="941" t="n">
        <v>2.47669926</v>
      </c>
      <c r="O30" s="941" t="n">
        <v>2.47669926</v>
      </c>
      <c r="P30" s="942" t="n">
        <v>2.47669926</v>
      </c>
      <c r="Q30" s="940" t="n">
        <v>2.47409139</v>
      </c>
      <c r="R30" s="941" t="n">
        <v>2.47409139</v>
      </c>
      <c r="S30" s="941" t="n">
        <v>2.47409139</v>
      </c>
      <c r="T30" s="941" t="n">
        <v>2.47409139</v>
      </c>
      <c r="U30" s="941" t="n">
        <v>2.47409139</v>
      </c>
      <c r="V30" s="942" t="n">
        <v>2.47409139</v>
      </c>
      <c r="W30" s="940" t="n">
        <v>5.4077801</v>
      </c>
      <c r="X30" s="941" t="n">
        <v>5.4077801</v>
      </c>
      <c r="Y30" s="941" t="n">
        <v>5.4077801</v>
      </c>
      <c r="Z30" s="941" t="n">
        <v>5.4077801</v>
      </c>
      <c r="AA30" s="941" t="n">
        <v>5.4077801</v>
      </c>
      <c r="AB30" s="942" t="n">
        <v>5.4077801</v>
      </c>
      <c r="AC30" s="940" t="n"/>
      <c r="AD30" s="941" t="n"/>
      <c r="AE30" s="941" t="n"/>
      <c r="AF30" s="941" t="n"/>
      <c r="AG30" s="941" t="n"/>
      <c r="AH30" s="941" t="n"/>
      <c r="AI30" s="942" t="n"/>
      <c r="AJ30" s="940" t="n"/>
      <c r="AK30" s="941" t="n"/>
      <c r="AL30" s="941" t="n"/>
      <c r="AM30" s="941" t="n"/>
      <c r="AN30" s="941" t="n"/>
      <c r="AO30" s="942" t="n"/>
      <c r="AP30" s="940" t="n"/>
      <c r="AQ30" s="1108" t="n"/>
      <c r="AR30" s="941" t="n"/>
      <c r="AS30" s="941" t="n"/>
      <c r="AT30" s="941" t="n"/>
      <c r="AU30" s="942" t="n"/>
      <c r="AV30" s="940" t="n"/>
      <c r="AW30" s="1108" t="n"/>
      <c r="AX30" s="941" t="n"/>
      <c r="AY30" s="941" t="n"/>
      <c r="AZ30" s="941" t="n"/>
      <c r="BA30" s="941" t="n"/>
      <c r="BB30" s="942" t="n"/>
      <c r="BC30" s="940" t="n"/>
      <c r="BD30" s="1108" t="n"/>
      <c r="BE30" s="941" t="n"/>
      <c r="BF30" s="941" t="n"/>
      <c r="BG30" s="941" t="n"/>
      <c r="BH30" s="942" t="n"/>
      <c r="BI30" s="940" t="n"/>
      <c r="BJ30" s="941" t="n"/>
      <c r="BK30" s="941" t="n"/>
      <c r="BL30" s="941" t="n"/>
      <c r="BM30" s="941" t="n"/>
      <c r="BN30" s="942" t="n"/>
      <c r="BO30" s="940" t="n"/>
      <c r="BP30" s="941" t="n"/>
      <c r="BQ30" s="941" t="n"/>
      <c r="BR30" s="941" t="n"/>
      <c r="BS30" s="941" t="n"/>
      <c r="BT30" s="942" t="n"/>
      <c r="BU30" s="940" t="n"/>
      <c r="BV30" s="941" t="n"/>
      <c r="BW30" s="941" t="n"/>
      <c r="BX30" s="941" t="n"/>
      <c r="BY30" s="941" t="n"/>
      <c r="BZ30" s="936" t="n"/>
    </row>
    <row r="31" ht="16.5" customHeight="1" s="838">
      <c r="B31" s="756" t="n"/>
      <c r="C31" s="738" t="n"/>
      <c r="D31" s="738" t="n"/>
      <c r="E31" s="782" t="inlineStr">
        <is>
          <t>발주금액</t>
        </is>
      </c>
      <c r="F31" s="1114">
        <f>F30-F32</f>
        <v/>
      </c>
      <c r="G31" s="946">
        <f>G30-G32</f>
        <v/>
      </c>
      <c r="H31" s="946">
        <f>H30-H32</f>
        <v/>
      </c>
      <c r="I31" s="946">
        <f>I30-I32</f>
        <v/>
      </c>
      <c r="J31" s="946">
        <f>J30-J32</f>
        <v/>
      </c>
      <c r="K31" s="946">
        <f>K30-K32</f>
        <v/>
      </c>
      <c r="L31" s="1114">
        <f>L30-L32</f>
        <v/>
      </c>
      <c r="M31" s="946">
        <f>M30-M32</f>
        <v/>
      </c>
      <c r="N31" s="946">
        <f>N30-N32</f>
        <v/>
      </c>
      <c r="O31" s="946">
        <f>O30-O32</f>
        <v/>
      </c>
      <c r="P31" s="1111">
        <f>P30-P32</f>
        <v/>
      </c>
      <c r="Q31" s="1114">
        <f>Q30-Q32</f>
        <v/>
      </c>
      <c r="R31" s="946">
        <f>R30-R32</f>
        <v/>
      </c>
      <c r="S31" s="946">
        <f>S30-S32</f>
        <v/>
      </c>
      <c r="T31" s="946">
        <f>T30-T32</f>
        <v/>
      </c>
      <c r="U31" s="946">
        <f>U30-U32</f>
        <v/>
      </c>
      <c r="V31" s="1111">
        <f>V30-V32</f>
        <v/>
      </c>
      <c r="W31" s="1114">
        <f>W30-W32</f>
        <v/>
      </c>
      <c r="X31" s="946">
        <f>X30-X32</f>
        <v/>
      </c>
      <c r="Y31" s="946">
        <f>Y30-Y32</f>
        <v/>
      </c>
      <c r="Z31" s="946">
        <f>Z30-Z32</f>
        <v/>
      </c>
      <c r="AA31" s="946">
        <f>AA30-AA32</f>
        <v/>
      </c>
      <c r="AB31" s="1111">
        <f>AB30-AB32</f>
        <v/>
      </c>
      <c r="AC31" s="1114" t="n"/>
      <c r="AD31" s="946" t="n"/>
      <c r="AE31" s="946" t="n"/>
      <c r="AF31" s="946" t="n"/>
      <c r="AG31" s="946" t="n"/>
      <c r="AH31" s="946" t="n"/>
      <c r="AI31" s="1111" t="n"/>
      <c r="AJ31" s="1114" t="n"/>
      <c r="AK31" s="946" t="n"/>
      <c r="AL31" s="946" t="n"/>
      <c r="AM31" s="946" t="n"/>
      <c r="AN31" s="946" t="n"/>
      <c r="AO31" s="1111" t="n"/>
      <c r="AP31" s="1114" t="n"/>
      <c r="AQ31" s="1116" t="n"/>
      <c r="AR31" s="946" t="n"/>
      <c r="AS31" s="946" t="n"/>
      <c r="AT31" s="946" t="n"/>
      <c r="AU31" s="1111" t="n"/>
      <c r="AV31" s="1114" t="n"/>
      <c r="AW31" s="1116" t="n"/>
      <c r="AX31" s="946" t="n"/>
      <c r="AY31" s="946" t="n"/>
      <c r="AZ31" s="946" t="n"/>
      <c r="BA31" s="946" t="n"/>
      <c r="BB31" s="1111" t="n"/>
      <c r="BC31" s="1114" t="n"/>
      <c r="BD31" s="1116" t="n"/>
      <c r="BE31" s="946" t="n"/>
      <c r="BF31" s="946" t="n"/>
      <c r="BG31" s="946" t="n"/>
      <c r="BH31" s="1111" t="n"/>
      <c r="BI31" s="1114" t="n"/>
      <c r="BJ31" s="946" t="n"/>
      <c r="BK31" s="946" t="n"/>
      <c r="BL31" s="946" t="n"/>
      <c r="BM31" s="946" t="n"/>
      <c r="BN31" s="1111" t="n"/>
      <c r="BO31" s="1114" t="n"/>
      <c r="BP31" s="946" t="n"/>
      <c r="BQ31" s="946" t="n"/>
      <c r="BR31" s="946" t="n"/>
      <c r="BS31" s="946" t="n"/>
      <c r="BT31" s="1111" t="n"/>
      <c r="BU31" s="1114" t="n"/>
      <c r="BV31" s="946" t="n"/>
      <c r="BW31" s="946" t="n"/>
      <c r="BX31" s="946" t="n"/>
      <c r="BY31" s="946" t="n"/>
      <c r="BZ31" s="928" t="n"/>
    </row>
    <row r="32" ht="16.5" customHeight="1" s="838">
      <c r="B32" s="756" t="n"/>
      <c r="C32" s="738" t="n"/>
      <c r="D32" s="738" t="n"/>
      <c r="E32" s="782" t="inlineStr">
        <is>
          <t>저감금액</t>
        </is>
      </c>
      <c r="F32" s="1114" t="n">
        <v>0.64849564</v>
      </c>
      <c r="G32" s="946" t="n">
        <v>0.64849564</v>
      </c>
      <c r="H32" s="946" t="n">
        <v>0.64849564</v>
      </c>
      <c r="I32" s="946" t="n">
        <v>0.64849564</v>
      </c>
      <c r="J32" s="946" t="n">
        <v>0.64849564</v>
      </c>
      <c r="K32" s="946" t="n">
        <v>0.64849564</v>
      </c>
      <c r="L32" s="1114" t="n">
        <v>0.98788078</v>
      </c>
      <c r="M32" s="946" t="n">
        <v>0.98788078</v>
      </c>
      <c r="N32" s="946" t="n">
        <v>0.98788078</v>
      </c>
      <c r="O32" s="946" t="n">
        <v>0.98788078</v>
      </c>
      <c r="P32" s="1111" t="n">
        <v>0.98788078</v>
      </c>
      <c r="Q32" s="1114" t="n">
        <v>0.95</v>
      </c>
      <c r="R32" s="946" t="n">
        <v>0.95</v>
      </c>
      <c r="S32" s="946" t="n">
        <v>0.95</v>
      </c>
      <c r="T32" s="946" t="n">
        <v>0.95</v>
      </c>
      <c r="U32" s="946" t="n">
        <v>0.95</v>
      </c>
      <c r="V32" s="1111" t="n">
        <v>0.95</v>
      </c>
      <c r="W32" s="1114" t="n">
        <v>1.91912698</v>
      </c>
      <c r="X32" s="946" t="n">
        <v>1.91912698</v>
      </c>
      <c r="Y32" s="946" t="n">
        <v>1.91912698</v>
      </c>
      <c r="Z32" s="946" t="n">
        <v>1.91912698</v>
      </c>
      <c r="AA32" s="946" t="n">
        <v>1.91912698</v>
      </c>
      <c r="AB32" s="1111" t="n">
        <v>1.91912698</v>
      </c>
      <c r="AC32" s="1114" t="n"/>
      <c r="AD32" s="946" t="n"/>
      <c r="AE32" s="946" t="n"/>
      <c r="AF32" s="946" t="n"/>
      <c r="AG32" s="946" t="n"/>
      <c r="AH32" s="946" t="n"/>
      <c r="AI32" s="1111" t="n"/>
      <c r="AJ32" s="1114" t="n"/>
      <c r="AK32" s="946" t="n"/>
      <c r="AL32" s="946" t="n"/>
      <c r="AM32" s="946" t="n"/>
      <c r="AN32" s="946" t="n"/>
      <c r="AO32" s="1111" t="n"/>
      <c r="AP32" s="1114" t="n"/>
      <c r="AQ32" s="1116" t="n"/>
      <c r="AR32" s="946" t="n"/>
      <c r="AS32" s="946" t="n"/>
      <c r="AT32" s="946" t="n"/>
      <c r="AU32" s="1111" t="n"/>
      <c r="AV32" s="1114" t="n"/>
      <c r="AW32" s="1116" t="n"/>
      <c r="AX32" s="946" t="n"/>
      <c r="AY32" s="946" t="n"/>
      <c r="AZ32" s="946" t="n"/>
      <c r="BA32" s="946" t="n"/>
      <c r="BB32" s="1111" t="n"/>
      <c r="BC32" s="1114" t="n"/>
      <c r="BD32" s="1116" t="n"/>
      <c r="BE32" s="946" t="n"/>
      <c r="BF32" s="946" t="n"/>
      <c r="BG32" s="946" t="n"/>
      <c r="BH32" s="1111" t="n"/>
      <c r="BI32" s="1114" t="n"/>
      <c r="BJ32" s="946" t="n"/>
      <c r="BK32" s="946" t="n"/>
      <c r="BL32" s="946" t="n"/>
      <c r="BM32" s="946" t="n"/>
      <c r="BN32" s="1111" t="n"/>
      <c r="BO32" s="1114" t="n"/>
      <c r="BP32" s="946" t="n"/>
      <c r="BQ32" s="946" t="n"/>
      <c r="BR32" s="946" t="n"/>
      <c r="BS32" s="946" t="n"/>
      <c r="BT32" s="1111" t="n"/>
      <c r="BU32" s="1114" t="n"/>
      <c r="BV32" s="946" t="n"/>
      <c r="BW32" s="946" t="n"/>
      <c r="BX32" s="946" t="n"/>
      <c r="BY32" s="946" t="n"/>
      <c r="BZ32" s="928" t="n"/>
    </row>
    <row r="33" ht="16.5" customHeight="1" s="838">
      <c r="B33" s="756" t="n"/>
      <c r="C33" s="738" t="n"/>
      <c r="D33" s="739" t="n"/>
      <c r="E33" s="754" t="inlineStr">
        <is>
          <t>저감율</t>
        </is>
      </c>
      <c r="F33" s="921">
        <f>F32/F30</f>
        <v/>
      </c>
      <c r="G33" s="922">
        <f>G32/G30</f>
        <v/>
      </c>
      <c r="H33" s="922">
        <f>H32/H30</f>
        <v/>
      </c>
      <c r="I33" s="922">
        <f>I32/I30</f>
        <v/>
      </c>
      <c r="J33" s="922">
        <f>J32/J30</f>
        <v/>
      </c>
      <c r="K33" s="922">
        <f>K32/K30</f>
        <v/>
      </c>
      <c r="L33" s="921">
        <f>L32/L30</f>
        <v/>
      </c>
      <c r="M33" s="922">
        <f>M32/M30</f>
        <v/>
      </c>
      <c r="N33" s="922">
        <f>N32/N30</f>
        <v/>
      </c>
      <c r="O33" s="922">
        <f>O32/O30</f>
        <v/>
      </c>
      <c r="P33" s="923">
        <f>P32/P30</f>
        <v/>
      </c>
      <c r="Q33" s="921">
        <f>Q32/Q30</f>
        <v/>
      </c>
      <c r="R33" s="922">
        <f>R32/R30</f>
        <v/>
      </c>
      <c r="S33" s="922">
        <f>S32/S30</f>
        <v/>
      </c>
      <c r="T33" s="922">
        <f>T32/T30</f>
        <v/>
      </c>
      <c r="U33" s="922">
        <f>U32/U30</f>
        <v/>
      </c>
      <c r="V33" s="923">
        <f>V32/V30</f>
        <v/>
      </c>
      <c r="W33" s="921">
        <f>W32/W30</f>
        <v/>
      </c>
      <c r="X33" s="922">
        <f>X32/X30</f>
        <v/>
      </c>
      <c r="Y33" s="922">
        <f>Y32/Y30</f>
        <v/>
      </c>
      <c r="Z33" s="922">
        <f>Z32/Z30</f>
        <v/>
      </c>
      <c r="AA33" s="922">
        <f>AA32/AA30</f>
        <v/>
      </c>
      <c r="AB33" s="923">
        <f>AB32/AB30</f>
        <v/>
      </c>
      <c r="AC33" s="921" t="n"/>
      <c r="AD33" s="922" t="n"/>
      <c r="AE33" s="922" t="n"/>
      <c r="AF33" s="922" t="n"/>
      <c r="AG33" s="922" t="n"/>
      <c r="AH33" s="922" t="n"/>
      <c r="AI33" s="923" t="n"/>
      <c r="AJ33" s="921" t="n"/>
      <c r="AK33" s="922" t="n"/>
      <c r="AL33" s="922" t="n"/>
      <c r="AM33" s="922" t="n"/>
      <c r="AN33" s="922" t="n"/>
      <c r="AO33" s="923" t="n"/>
      <c r="AP33" s="921" t="n"/>
      <c r="AQ33" s="1079" t="n"/>
      <c r="AR33" s="922" t="n"/>
      <c r="AS33" s="922" t="n"/>
      <c r="AT33" s="922" t="n"/>
      <c r="AU33" s="923" t="n"/>
      <c r="AV33" s="921" t="n"/>
      <c r="AW33" s="1079" t="n"/>
      <c r="AX33" s="922" t="n"/>
      <c r="AY33" s="922" t="n"/>
      <c r="AZ33" s="922" t="n"/>
      <c r="BA33" s="922" t="n"/>
      <c r="BB33" s="923" t="n"/>
      <c r="BC33" s="921" t="n"/>
      <c r="BD33" s="1079" t="n"/>
      <c r="BE33" s="922" t="n"/>
      <c r="BF33" s="922" t="n"/>
      <c r="BG33" s="922" t="n"/>
      <c r="BH33" s="923" t="n"/>
      <c r="BI33" s="921" t="n"/>
      <c r="BJ33" s="922" t="n"/>
      <c r="BK33" s="922" t="n"/>
      <c r="BL33" s="922" t="n"/>
      <c r="BM33" s="922" t="n"/>
      <c r="BN33" s="923" t="n"/>
      <c r="BO33" s="921" t="n"/>
      <c r="BP33" s="922" t="n"/>
      <c r="BQ33" s="922" t="n"/>
      <c r="BR33" s="922" t="n"/>
      <c r="BS33" s="922" t="n"/>
      <c r="BT33" s="923" t="n"/>
      <c r="BU33" s="921" t="n"/>
      <c r="BV33" s="922" t="n"/>
      <c r="BW33" s="922" t="n"/>
      <c r="BX33" s="922" t="n"/>
      <c r="BY33" s="922" t="n"/>
      <c r="BZ33" s="1196" t="n"/>
    </row>
    <row r="34" ht="16.5" customHeight="1" s="838">
      <c r="B34" s="756" t="n"/>
      <c r="C34" s="738" t="n"/>
      <c r="D34" s="754" t="inlineStr">
        <is>
          <t>실적</t>
        </is>
      </c>
      <c r="E34" s="624" t="inlineStr">
        <is>
          <t>Base</t>
        </is>
      </c>
      <c r="F34" s="1114" t="n">
        <v>3.31065612</v>
      </c>
      <c r="G34" s="946" t="n">
        <v>1.20149846</v>
      </c>
      <c r="H34" s="946" t="n">
        <v>1.20149846</v>
      </c>
      <c r="I34" s="946" t="n">
        <v>3.31065612</v>
      </c>
      <c r="J34" s="946" t="n">
        <v>3.31065612</v>
      </c>
      <c r="K34" s="946" t="n">
        <v>1.20149846</v>
      </c>
      <c r="L34" s="1114" t="n">
        <v>2.95374671</v>
      </c>
      <c r="M34" s="946" t="n">
        <v>0.68946851</v>
      </c>
      <c r="N34" s="946" t="n">
        <v>0.68946851</v>
      </c>
      <c r="O34" s="946" t="n">
        <v>0.68946851</v>
      </c>
      <c r="P34" s="1111" t="n">
        <v>2.95374671</v>
      </c>
      <c r="Q34" s="1114" t="n">
        <v>3.31065612</v>
      </c>
      <c r="R34" s="946" t="n">
        <v>1.20149846</v>
      </c>
      <c r="S34" s="946" t="n">
        <v>1.20149846</v>
      </c>
      <c r="T34" s="946" t="n">
        <v>3.31065612</v>
      </c>
      <c r="U34" s="946" t="n">
        <v>3.31065612</v>
      </c>
      <c r="V34" s="946" t="n">
        <v>1.20149846</v>
      </c>
      <c r="W34" s="1114" t="n">
        <v>3.31065612</v>
      </c>
      <c r="X34" s="946" t="n">
        <v>1.20149846</v>
      </c>
      <c r="Y34" s="946" t="n">
        <v>1.20149846</v>
      </c>
      <c r="Z34" s="946" t="n">
        <v>3.31065612</v>
      </c>
      <c r="AA34" s="946" t="n">
        <v>3.31065612</v>
      </c>
      <c r="AB34" s="946" t="n">
        <v>1.20149846</v>
      </c>
      <c r="AC34" s="1114" t="n"/>
      <c r="AD34" s="946" t="n"/>
      <c r="AE34" s="946" t="n"/>
      <c r="AF34" s="946" t="n"/>
      <c r="AG34" s="946" t="n"/>
      <c r="AH34" s="946" t="n"/>
      <c r="AI34" s="1111" t="n"/>
      <c r="AJ34" s="1114" t="n"/>
      <c r="AK34" s="946" t="n"/>
      <c r="AL34" s="946" t="n"/>
      <c r="AM34" s="946" t="n"/>
      <c r="AN34" s="946" t="n"/>
      <c r="AO34" s="1111" t="n"/>
      <c r="AP34" s="1114" t="n"/>
      <c r="AQ34" s="1116" t="n"/>
      <c r="AR34" s="946" t="n"/>
      <c r="AS34" s="946" t="n"/>
      <c r="AT34" s="946" t="n"/>
      <c r="AU34" s="1111" t="n"/>
      <c r="AV34" s="1114" t="n"/>
      <c r="AW34" s="1116" t="n"/>
      <c r="AX34" s="946" t="n"/>
      <c r="AY34" s="946" t="n"/>
      <c r="AZ34" s="946" t="n"/>
      <c r="BA34" s="946" t="n"/>
      <c r="BB34" s="1111" t="n"/>
      <c r="BC34" s="1114" t="n"/>
      <c r="BD34" s="1116" t="n"/>
      <c r="BE34" s="946" t="n"/>
      <c r="BF34" s="946" t="n"/>
      <c r="BG34" s="946" t="n"/>
      <c r="BH34" s="1111" t="n"/>
      <c r="BI34" s="1114" t="n"/>
      <c r="BJ34" s="946" t="n"/>
      <c r="BK34" s="946" t="n"/>
      <c r="BL34" s="946" t="n"/>
      <c r="BM34" s="946" t="n"/>
      <c r="BN34" s="1111" t="n"/>
      <c r="BO34" s="1114" t="n"/>
      <c r="BP34" s="946" t="n"/>
      <c r="BQ34" s="946" t="n"/>
      <c r="BR34" s="946" t="n"/>
      <c r="BS34" s="946" t="n"/>
      <c r="BT34" s="1111" t="n"/>
      <c r="BU34" s="1114" t="n"/>
      <c r="BV34" s="946" t="n"/>
      <c r="BW34" s="946" t="n"/>
      <c r="BX34" s="946" t="n"/>
      <c r="BY34" s="946" t="n"/>
      <c r="BZ34" s="1118" t="n"/>
    </row>
    <row r="35" ht="16.5" customHeight="1" s="838">
      <c r="B35" s="756" t="n"/>
      <c r="C35" s="738" t="n"/>
      <c r="D35" s="738" t="n"/>
      <c r="E35" s="782" t="inlineStr">
        <is>
          <t>발주금액</t>
        </is>
      </c>
      <c r="F35" s="1114" t="n">
        <v>1.20180052</v>
      </c>
      <c r="G35" s="946" t="n">
        <v>0.59742609</v>
      </c>
      <c r="H35" s="946" t="n">
        <v>0.59742609</v>
      </c>
      <c r="I35" s="946" t="n">
        <v>1.20180052</v>
      </c>
      <c r="J35" s="946" t="n">
        <v>1.20180052</v>
      </c>
      <c r="K35" s="946" t="n">
        <v>0.59742609</v>
      </c>
      <c r="L35" s="1114" t="n">
        <v>1.83660303</v>
      </c>
      <c r="M35" s="946" t="n">
        <v>0.43948521</v>
      </c>
      <c r="N35" s="946" t="n">
        <v>0.43948521</v>
      </c>
      <c r="O35" s="946" t="n">
        <v>0.43948521</v>
      </c>
      <c r="P35" s="1111" t="n">
        <v>1.83660303</v>
      </c>
      <c r="Q35" s="1114" t="n">
        <v>1.20180052</v>
      </c>
      <c r="R35" s="946" t="n">
        <v>0.59742609</v>
      </c>
      <c r="S35" s="946" t="n">
        <v>0.59742609</v>
      </c>
      <c r="T35" s="946" t="n">
        <v>1.20180052</v>
      </c>
      <c r="U35" s="946" t="n">
        <v>1.20180052</v>
      </c>
      <c r="V35" s="946" t="n">
        <v>0.59742609</v>
      </c>
      <c r="W35" s="1114" t="n">
        <v>1.20180052</v>
      </c>
      <c r="X35" s="946" t="n">
        <v>0.59742609</v>
      </c>
      <c r="Y35" s="946" t="n">
        <v>0.59742609</v>
      </c>
      <c r="Z35" s="946" t="n">
        <v>1.20180052</v>
      </c>
      <c r="AA35" s="946" t="n">
        <v>1.20180052</v>
      </c>
      <c r="AB35" s="946" t="n">
        <v>0.59742609</v>
      </c>
      <c r="AC35" s="1114" t="n"/>
      <c r="AD35" s="946" t="n"/>
      <c r="AE35" s="946" t="n"/>
      <c r="AF35" s="946" t="n"/>
      <c r="AG35" s="946" t="n"/>
      <c r="AH35" s="946" t="n"/>
      <c r="AI35" s="1111" t="n"/>
      <c r="AJ35" s="1114" t="n"/>
      <c r="AK35" s="946" t="n"/>
      <c r="AL35" s="946" t="n"/>
      <c r="AM35" s="946" t="n"/>
      <c r="AN35" s="946" t="n"/>
      <c r="AO35" s="1111" t="n"/>
      <c r="AP35" s="1114" t="n"/>
      <c r="AQ35" s="1116" t="n"/>
      <c r="AR35" s="946" t="n"/>
      <c r="AS35" s="946" t="n"/>
      <c r="AT35" s="946" t="n"/>
      <c r="AU35" s="1111" t="n"/>
      <c r="AV35" s="1114" t="n"/>
      <c r="AW35" s="1116" t="n"/>
      <c r="AX35" s="946" t="n"/>
      <c r="AY35" s="946" t="n"/>
      <c r="AZ35" s="946" t="n"/>
      <c r="BA35" s="946" t="n"/>
      <c r="BB35" s="1111" t="n"/>
      <c r="BC35" s="1114" t="n"/>
      <c r="BD35" s="1116" t="n"/>
      <c r="BE35" s="946" t="n"/>
      <c r="BF35" s="946" t="n"/>
      <c r="BG35" s="946" t="n"/>
      <c r="BH35" s="1111" t="n"/>
      <c r="BI35" s="1114" t="n"/>
      <c r="BJ35" s="946" t="n"/>
      <c r="BK35" s="946" t="n"/>
      <c r="BL35" s="946" t="n"/>
      <c r="BM35" s="946" t="n"/>
      <c r="BN35" s="1111" t="n"/>
      <c r="BO35" s="1114" t="n"/>
      <c r="BP35" s="946" t="n"/>
      <c r="BQ35" s="946" t="n"/>
      <c r="BR35" s="946" t="n"/>
      <c r="BS35" s="946" t="n"/>
      <c r="BT35" s="1111" t="n"/>
      <c r="BU35" s="1114" t="n"/>
      <c r="BV35" s="946" t="n"/>
      <c r="BW35" s="946" t="n"/>
      <c r="BX35" s="946" t="n"/>
      <c r="BY35" s="946" t="n"/>
      <c r="BZ35" s="1118" t="n"/>
    </row>
    <row r="36" ht="16.5" customHeight="1" s="838">
      <c r="B36" s="756" t="n"/>
      <c r="C36" s="738" t="n"/>
      <c r="D36" s="738" t="n"/>
      <c r="E36" s="782" t="inlineStr">
        <is>
          <t>저감금액</t>
        </is>
      </c>
      <c r="F36" s="1114">
        <f>F34-F35</f>
        <v/>
      </c>
      <c r="G36" s="946">
        <f>G34-G35</f>
        <v/>
      </c>
      <c r="H36" s="946">
        <f>H34-H35</f>
        <v/>
      </c>
      <c r="I36" s="946">
        <f>I34-I35</f>
        <v/>
      </c>
      <c r="J36" s="946">
        <f>J34-J35</f>
        <v/>
      </c>
      <c r="K36" s="946">
        <f>K34-K35</f>
        <v/>
      </c>
      <c r="L36" s="1114">
        <f>L34-L35</f>
        <v/>
      </c>
      <c r="M36" s="946">
        <f>M34-M35</f>
        <v/>
      </c>
      <c r="N36" s="946">
        <f>N34-N35</f>
        <v/>
      </c>
      <c r="O36" s="946">
        <f>O34-O35</f>
        <v/>
      </c>
      <c r="P36" s="1111">
        <f>P34-P35</f>
        <v/>
      </c>
      <c r="Q36" s="1114">
        <f>Q34-Q35</f>
        <v/>
      </c>
      <c r="R36" s="946">
        <f>R34-R35</f>
        <v/>
      </c>
      <c r="S36" s="946">
        <f>S34-S35</f>
        <v/>
      </c>
      <c r="T36" s="946">
        <f>T34-T35</f>
        <v/>
      </c>
      <c r="U36" s="946">
        <f>U34-U35</f>
        <v/>
      </c>
      <c r="V36" s="946">
        <f>V34-V35</f>
        <v/>
      </c>
      <c r="W36" s="1114">
        <f>W34-W35</f>
        <v/>
      </c>
      <c r="X36" s="946">
        <f>X34-X35</f>
        <v/>
      </c>
      <c r="Y36" s="946">
        <f>Y34-Y35</f>
        <v/>
      </c>
      <c r="Z36" s="946">
        <f>Z34-Z35</f>
        <v/>
      </c>
      <c r="AA36" s="946">
        <f>AA34-AA35</f>
        <v/>
      </c>
      <c r="AB36" s="946">
        <f>AB34-AB35</f>
        <v/>
      </c>
      <c r="AC36" s="1114" t="n"/>
      <c r="AD36" s="946" t="n"/>
      <c r="AE36" s="946" t="n"/>
      <c r="AF36" s="946" t="n"/>
      <c r="AG36" s="946" t="n"/>
      <c r="AH36" s="946" t="n"/>
      <c r="AI36" s="1111" t="n"/>
      <c r="AJ36" s="1114" t="n"/>
      <c r="AK36" s="946" t="n"/>
      <c r="AL36" s="946" t="n"/>
      <c r="AM36" s="946" t="n"/>
      <c r="AN36" s="946" t="n"/>
      <c r="AO36" s="1111" t="n"/>
      <c r="AP36" s="1114" t="n"/>
      <c r="AQ36" s="1116" t="n"/>
      <c r="AR36" s="946" t="n"/>
      <c r="AS36" s="946" t="n"/>
      <c r="AT36" s="946" t="n"/>
      <c r="AU36" s="1111" t="n"/>
      <c r="AV36" s="1114" t="n"/>
      <c r="AW36" s="1116" t="n"/>
      <c r="AX36" s="946" t="n"/>
      <c r="AY36" s="946" t="n"/>
      <c r="AZ36" s="946" t="n"/>
      <c r="BA36" s="946" t="n"/>
      <c r="BB36" s="1111" t="n"/>
      <c r="BC36" s="1114" t="n"/>
      <c r="BD36" s="1116" t="n"/>
      <c r="BE36" s="946" t="n"/>
      <c r="BF36" s="946" t="n"/>
      <c r="BG36" s="946" t="n"/>
      <c r="BH36" s="1111" t="n"/>
      <c r="BI36" s="1114" t="n"/>
      <c r="BJ36" s="946" t="n"/>
      <c r="BK36" s="946" t="n"/>
      <c r="BL36" s="946" t="n"/>
      <c r="BM36" s="946" t="n"/>
      <c r="BN36" s="1111" t="n"/>
      <c r="BO36" s="1114" t="n"/>
      <c r="BP36" s="946" t="n"/>
      <c r="BQ36" s="946" t="n"/>
      <c r="BR36" s="946" t="n"/>
      <c r="BS36" s="946" t="n"/>
      <c r="BT36" s="1111" t="n"/>
      <c r="BU36" s="1114" t="n"/>
      <c r="BV36" s="946" t="n"/>
      <c r="BW36" s="946" t="n"/>
      <c r="BX36" s="946" t="n"/>
      <c r="BY36" s="946" t="n"/>
      <c r="BZ36" s="1118" t="n"/>
    </row>
    <row r="37" ht="17.25" customHeight="1" s="838" thickBot="1">
      <c r="B37" s="770" t="n"/>
      <c r="C37" s="739" t="n"/>
      <c r="D37" s="739" t="n"/>
      <c r="E37" s="781" t="inlineStr">
        <is>
          <t>저감율</t>
        </is>
      </c>
      <c r="F37" s="461">
        <f>F36/F34</f>
        <v/>
      </c>
      <c r="G37" s="462">
        <f>G36/G34</f>
        <v/>
      </c>
      <c r="H37" s="462">
        <f>H36/H34</f>
        <v/>
      </c>
      <c r="I37" s="462">
        <f>I36/I34</f>
        <v/>
      </c>
      <c r="J37" s="462">
        <f>J36/J34</f>
        <v/>
      </c>
      <c r="K37" s="462">
        <f>K36/K34</f>
        <v/>
      </c>
      <c r="L37" s="461">
        <f>L36/L34</f>
        <v/>
      </c>
      <c r="M37" s="462">
        <f>M36/M34</f>
        <v/>
      </c>
      <c r="N37" s="462">
        <f>N36/N34</f>
        <v/>
      </c>
      <c r="O37" s="462">
        <f>O36/O34</f>
        <v/>
      </c>
      <c r="P37" s="463">
        <f>P36/P34</f>
        <v/>
      </c>
      <c r="Q37" s="461">
        <f>Q36/Q34</f>
        <v/>
      </c>
      <c r="R37" s="462">
        <f>R36/R34</f>
        <v/>
      </c>
      <c r="S37" s="462">
        <f>S36/S34</f>
        <v/>
      </c>
      <c r="T37" s="462">
        <f>T36/T34</f>
        <v/>
      </c>
      <c r="U37" s="462">
        <f>U36/U34</f>
        <v/>
      </c>
      <c r="V37" s="462">
        <f>V36/V34</f>
        <v/>
      </c>
      <c r="W37" s="461">
        <f>W36/W34</f>
        <v/>
      </c>
      <c r="X37" s="462">
        <f>X36/X34</f>
        <v/>
      </c>
      <c r="Y37" s="462">
        <f>Y36/Y34</f>
        <v/>
      </c>
      <c r="Z37" s="462">
        <f>Z36/Z34</f>
        <v/>
      </c>
      <c r="AA37" s="462">
        <f>AA36/AA34</f>
        <v/>
      </c>
      <c r="AB37" s="462">
        <f>AB36/AB34</f>
        <v/>
      </c>
      <c r="AC37" s="949" t="n"/>
      <c r="AD37" s="950" t="n"/>
      <c r="AE37" s="950" t="n"/>
      <c r="AF37" s="950" t="n"/>
      <c r="AG37" s="950" t="n"/>
      <c r="AH37" s="950" t="n"/>
      <c r="AI37" s="953" t="n"/>
      <c r="AJ37" s="949" t="n"/>
      <c r="AK37" s="950" t="n"/>
      <c r="AL37" s="950" t="n"/>
      <c r="AM37" s="950" t="n"/>
      <c r="AN37" s="950" t="n"/>
      <c r="AO37" s="953" t="n"/>
      <c r="AP37" s="949" t="n"/>
      <c r="AQ37" s="952" t="n"/>
      <c r="AR37" s="950" t="n"/>
      <c r="AS37" s="950" t="n"/>
      <c r="AT37" s="950" t="n"/>
      <c r="AU37" s="953" t="n"/>
      <c r="AV37" s="949" t="n"/>
      <c r="AW37" s="952" t="n"/>
      <c r="AX37" s="950" t="n"/>
      <c r="AY37" s="950" t="n"/>
      <c r="AZ37" s="950" t="n"/>
      <c r="BA37" s="950" t="n"/>
      <c r="BB37" s="953" t="n"/>
      <c r="BC37" s="949" t="n"/>
      <c r="BD37" s="952" t="n"/>
      <c r="BE37" s="950" t="n"/>
      <c r="BF37" s="950" t="n"/>
      <c r="BG37" s="950" t="n"/>
      <c r="BH37" s="953" t="n"/>
      <c r="BI37" s="949" t="n"/>
      <c r="BJ37" s="950" t="n"/>
      <c r="BK37" s="950" t="n"/>
      <c r="BL37" s="950" t="n"/>
      <c r="BM37" s="950" t="n"/>
      <c r="BN37" s="953" t="n"/>
      <c r="BO37" s="949" t="n"/>
      <c r="BP37" s="950" t="n"/>
      <c r="BQ37" s="950" t="n"/>
      <c r="BR37" s="950" t="n"/>
      <c r="BS37" s="950" t="n"/>
      <c r="BT37" s="953" t="n"/>
      <c r="BU37" s="949" t="n"/>
      <c r="BV37" s="950" t="n"/>
      <c r="BW37" s="950" t="n"/>
      <c r="BX37" s="950" t="n"/>
      <c r="BY37" s="950" t="n"/>
      <c r="BZ37" s="957" t="n"/>
    </row>
    <row r="38" ht="16.5" customHeight="1" s="838">
      <c r="L38" s="831" t="n"/>
      <c r="M38" s="831" t="n"/>
      <c r="N38" s="831" t="n"/>
      <c r="O38" s="831" t="n"/>
      <c r="P38" s="831" t="n"/>
      <c r="Q38" s="831" t="n"/>
      <c r="R38" s="831" t="n"/>
      <c r="S38" s="831" t="n"/>
      <c r="T38" s="831" t="n"/>
      <c r="U38" s="831" t="n"/>
      <c r="V38" s="831" t="n"/>
      <c r="W38" s="831" t="n"/>
      <c r="X38" s="831" t="n"/>
      <c r="Y38" s="831" t="n"/>
      <c r="Z38" s="831" t="n"/>
      <c r="AA38" s="831" t="n"/>
      <c r="AB38" s="831" t="n"/>
      <c r="AC38" s="831" t="n"/>
    </row>
    <row r="40" ht="16.5" customHeight="1" s="838">
      <c r="E40" s="429" t="n"/>
      <c r="F40" s="1197" t="n"/>
      <c r="G40" s="1197" t="n"/>
      <c r="H40" s="1197" t="n"/>
      <c r="I40" s="1197" t="n"/>
      <c r="J40" s="1197" t="n"/>
      <c r="K40" s="1197" t="n"/>
      <c r="L40" s="1197" t="n"/>
      <c r="Q40" s="1197" t="n"/>
      <c r="R40" s="1197" t="n"/>
      <c r="S40" s="1197" t="n"/>
      <c r="T40" s="1197" t="n"/>
      <c r="U40" s="1197" t="n"/>
      <c r="V40" s="1197" t="n"/>
      <c r="W40" s="1197" t="n"/>
      <c r="X40" s="1197" t="n"/>
      <c r="Y40" s="1197" t="n"/>
      <c r="Z40" s="1197" t="n"/>
      <c r="AA40" s="1197" t="n"/>
      <c r="AB40" s="1197" t="n"/>
      <c r="AC40" s="1197" t="n"/>
      <c r="AD40" s="1197" t="n"/>
      <c r="AE40" s="1197" t="n"/>
      <c r="AF40" s="1197" t="n"/>
      <c r="AG40" s="1197" t="n"/>
      <c r="AH40" s="1197" t="n"/>
      <c r="AI40" s="1197" t="n"/>
      <c r="AJ40" s="1197" t="n"/>
      <c r="AK40" s="1197" t="n"/>
      <c r="AL40" s="1197" t="n"/>
      <c r="AM40" s="1197" t="n"/>
      <c r="AN40" s="1197" t="n"/>
      <c r="AO40" s="1197" t="n"/>
      <c r="AP40" s="1197" t="n"/>
      <c r="AQ40" s="1197" t="n"/>
      <c r="AR40" s="1197" t="n"/>
      <c r="AS40" s="1197" t="n"/>
      <c r="AT40" s="1197" t="n"/>
      <c r="AU40" s="1197" t="n"/>
      <c r="AV40" s="1197" t="n"/>
      <c r="AW40" s="1197" t="n"/>
      <c r="AX40" s="1197" t="n"/>
      <c r="AY40" s="1197" t="n"/>
      <c r="AZ40" s="1197" t="n"/>
      <c r="BA40" s="1197" t="n"/>
      <c r="BB40" s="1197" t="n"/>
      <c r="BC40" s="1197" t="n"/>
      <c r="BD40" s="1197" t="n"/>
      <c r="BE40" s="1197" t="n"/>
      <c r="BF40" s="1197" t="n"/>
      <c r="BG40" s="1197" t="n"/>
      <c r="BH40" s="1197" t="n"/>
      <c r="BI40" s="1197" t="n"/>
      <c r="BJ40" s="1197" t="n"/>
      <c r="BK40" s="1197" t="n"/>
      <c r="BL40" s="1197" t="n"/>
      <c r="BM40" s="1197" t="n"/>
      <c r="BN40" s="1197" t="n"/>
      <c r="BO40" s="1197" t="n"/>
      <c r="BP40" s="1197" t="n"/>
      <c r="BQ40" s="1197" t="n"/>
      <c r="BR40" s="1197" t="n"/>
      <c r="BS40" s="1197" t="n"/>
      <c r="BT40" s="1197" t="n"/>
      <c r="BU40" s="1197" t="n"/>
      <c r="BV40" s="1197" t="n"/>
      <c r="BW40" s="1197" t="n"/>
      <c r="BX40" s="1197" t="n"/>
      <c r="BY40" s="1197" t="n"/>
      <c r="BZ40" s="1197" t="n"/>
    </row>
    <row r="41" ht="16.5" customHeight="1" s="838">
      <c r="E41" s="429" t="n"/>
      <c r="F41" s="1197" t="n"/>
      <c r="G41" s="1197" t="n"/>
      <c r="H41" s="1197" t="n"/>
      <c r="I41" s="1197" t="n"/>
      <c r="J41" s="1197" t="n"/>
      <c r="K41" s="1197" t="n"/>
      <c r="L41" s="1197" t="n"/>
      <c r="M41" s="1197" t="n"/>
      <c r="N41" s="1197" t="n"/>
      <c r="O41" s="1197" t="n"/>
      <c r="P41" s="1197" t="n"/>
      <c r="Q41" s="1197" t="n"/>
      <c r="R41" s="1197" t="n"/>
      <c r="S41" s="1197" t="n"/>
      <c r="T41" s="1197" t="n"/>
      <c r="U41" s="1197" t="n"/>
      <c r="V41" s="1197" t="n"/>
      <c r="W41" s="1197" t="n"/>
      <c r="X41" s="1197" t="n"/>
      <c r="Y41" s="1197" t="n"/>
      <c r="Z41" s="1197" t="n"/>
      <c r="AA41" s="1197" t="n"/>
      <c r="AB41" s="1197" t="n"/>
      <c r="AC41" s="1197" t="n"/>
      <c r="AD41" s="1197" t="n"/>
      <c r="AE41" s="1197" t="n"/>
      <c r="AF41" s="1197" t="n"/>
      <c r="AG41" s="1197" t="n"/>
      <c r="AH41" s="1197" t="n"/>
      <c r="AI41" s="1197" t="n"/>
      <c r="AJ41" s="1197" t="n"/>
      <c r="AK41" s="1197" t="n"/>
      <c r="AL41" s="1197" t="n"/>
      <c r="AM41" s="1197" t="n"/>
      <c r="AN41" s="1197" t="n"/>
      <c r="AO41" s="1197" t="n"/>
      <c r="AP41" s="1197" t="n"/>
      <c r="AQ41" s="1197" t="n"/>
      <c r="AR41" s="1197" t="n"/>
      <c r="AS41" s="1197" t="n"/>
      <c r="AT41" s="1197" t="n"/>
      <c r="AU41" s="1197" t="n"/>
      <c r="AV41" s="1197" t="n"/>
      <c r="AW41" s="1197" t="n"/>
      <c r="AX41" s="1197" t="n"/>
      <c r="AY41" s="1197" t="n"/>
      <c r="AZ41" s="1197" t="n"/>
      <c r="BA41" s="1197" t="n"/>
      <c r="BB41" s="1197" t="n"/>
      <c r="BC41" s="1197" t="n"/>
      <c r="BD41" s="1197" t="n"/>
      <c r="BE41" s="1197" t="n"/>
      <c r="BF41" s="1197" t="n"/>
      <c r="BG41" s="1197" t="n"/>
      <c r="BH41" s="1197" t="n"/>
      <c r="BI41" s="1197" t="n"/>
      <c r="BJ41" s="1197" t="n"/>
      <c r="BK41" s="1197" t="n"/>
      <c r="BL41" s="1197" t="n"/>
      <c r="BM41" s="1197" t="n"/>
      <c r="BN41" s="1197" t="n"/>
      <c r="BO41" s="1197" t="n"/>
      <c r="BP41" s="1197" t="n"/>
      <c r="BQ41" s="1197" t="n"/>
      <c r="BR41" s="1197" t="n"/>
      <c r="BS41" s="1197" t="n"/>
      <c r="BT41" s="1197" t="n"/>
      <c r="BU41" s="1197" t="n"/>
      <c r="BV41" s="1197" t="n"/>
      <c r="BW41" s="1197" t="n"/>
      <c r="BX41" s="1197" t="n"/>
      <c r="BY41" s="1197" t="n"/>
      <c r="BZ41" s="1197" t="n"/>
    </row>
    <row r="42" ht="16.5" customHeight="1" s="838">
      <c r="E42" s="429" t="n"/>
      <c r="F42" s="1197" t="n"/>
      <c r="G42" s="1197" t="n"/>
      <c r="H42" s="1197" t="n"/>
      <c r="I42" s="1197" t="n"/>
      <c r="J42" s="1197" t="n"/>
      <c r="K42" s="1197" t="n"/>
      <c r="L42" s="1197" t="n"/>
      <c r="M42" s="1197" t="n"/>
      <c r="N42" s="1197" t="n"/>
      <c r="O42" s="1197" t="n"/>
      <c r="P42" s="1197" t="n"/>
      <c r="Q42" s="1197" t="n"/>
      <c r="R42" s="1197" t="n"/>
      <c r="S42" s="1197" t="n"/>
      <c r="T42" s="1197" t="n"/>
      <c r="U42" s="1197" t="n"/>
      <c r="V42" s="1197" t="n"/>
      <c r="W42" s="1197" t="n"/>
      <c r="X42" s="1197" t="n"/>
      <c r="Y42" s="1197" t="n"/>
      <c r="Z42" s="1197" t="n"/>
      <c r="AA42" s="1197" t="n"/>
      <c r="AB42" s="1197" t="n"/>
      <c r="AC42" s="1197" t="n"/>
      <c r="AD42" s="1197" t="n"/>
      <c r="AE42" s="1197" t="n"/>
      <c r="AF42" s="1197" t="n"/>
      <c r="AG42" s="1197" t="n"/>
      <c r="AH42" s="1197" t="n"/>
      <c r="AI42" s="1197" t="n"/>
      <c r="AJ42" s="1197" t="n"/>
      <c r="AK42" s="1197" t="n"/>
      <c r="AL42" s="1197" t="n"/>
      <c r="AM42" s="1197" t="n"/>
      <c r="AN42" s="1197" t="n"/>
      <c r="AO42" s="1197" t="n"/>
      <c r="AP42" s="1197" t="n"/>
      <c r="AQ42" s="1197" t="n"/>
      <c r="AR42" s="1197" t="n"/>
      <c r="AS42" s="1197" t="n"/>
      <c r="AT42" s="1197" t="n"/>
      <c r="AU42" s="1197" t="n"/>
      <c r="AV42" s="1197" t="n"/>
      <c r="AW42" s="1197" t="n"/>
      <c r="AX42" s="1197" t="n"/>
      <c r="AY42" s="1197" t="n"/>
      <c r="AZ42" s="1197" t="n"/>
      <c r="BA42" s="1197" t="n"/>
      <c r="BB42" s="1197" t="n"/>
      <c r="BC42" s="1197" t="n"/>
      <c r="BD42" s="1197" t="n"/>
      <c r="BE42" s="1197" t="n"/>
      <c r="BF42" s="1197" t="n"/>
      <c r="BG42" s="1197" t="n"/>
      <c r="BH42" s="1197" t="n"/>
      <c r="BI42" s="1197" t="n"/>
      <c r="BJ42" s="1197" t="n"/>
      <c r="BK42" s="1197" t="n"/>
      <c r="BL42" s="1197" t="n"/>
      <c r="BM42" s="1197" t="n"/>
      <c r="BN42" s="1197" t="n"/>
      <c r="BO42" s="1197" t="n"/>
      <c r="BP42" s="1197" t="n"/>
      <c r="BQ42" s="1197" t="n"/>
      <c r="BR42" s="1197" t="n"/>
      <c r="BS42" s="1197" t="n"/>
      <c r="BT42" s="1197" t="n"/>
      <c r="BU42" s="1197" t="n"/>
      <c r="BV42" s="1197" t="n"/>
      <c r="BW42" s="1197" t="n"/>
      <c r="BX42" s="1197" t="n"/>
      <c r="BY42" s="1197" t="n"/>
      <c r="BZ42" s="1197" t="n"/>
    </row>
  </sheetData>
  <mergeCells count="29">
    <mergeCell ref="L2:P2"/>
    <mergeCell ref="D22:D25"/>
    <mergeCell ref="BO2:BT2"/>
    <mergeCell ref="D34:D37"/>
    <mergeCell ref="D6:D9"/>
    <mergeCell ref="C6:C13"/>
    <mergeCell ref="F2:K2"/>
    <mergeCell ref="AC2:AI2"/>
    <mergeCell ref="C14:C21"/>
    <mergeCell ref="B14:B37"/>
    <mergeCell ref="C30:C37"/>
    <mergeCell ref="AP2:AU2"/>
    <mergeCell ref="W2:AB2"/>
    <mergeCell ref="B4:C5"/>
    <mergeCell ref="C22:C29"/>
    <mergeCell ref="Q2:V2"/>
    <mergeCell ref="D18:D21"/>
    <mergeCell ref="D4:E4"/>
    <mergeCell ref="D30:D33"/>
    <mergeCell ref="B6:B13"/>
    <mergeCell ref="AV2:BB2"/>
    <mergeCell ref="D14:D17"/>
    <mergeCell ref="AJ2:AO2"/>
    <mergeCell ref="BC2:BH2"/>
    <mergeCell ref="BI2:BN2"/>
    <mergeCell ref="BU2:BZ2"/>
    <mergeCell ref="D5:E5"/>
    <mergeCell ref="D26:D29"/>
    <mergeCell ref="D10:D1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C00000"/>
    <outlinePr summaryBelow="1" summaryRight="1"/>
    <pageSetUpPr/>
  </sheetPr>
  <dimension ref="B2:BY42"/>
  <sheetViews>
    <sheetView showGridLines="0" zoomScale="70" zoomScaleNormal="7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25" sqref="J25"/>
    </sheetView>
  </sheetViews>
  <sheetFormatPr baseColWidth="8" defaultColWidth="9" defaultRowHeight="16.5" customHeight="1"/>
  <cols>
    <col width="2.875" customWidth="1" style="831" min="1" max="1"/>
    <col width="19.75" customWidth="1" style="831" min="2" max="2"/>
    <col width="13.75" customWidth="1" style="831" min="3" max="3"/>
    <col width="8.625" customWidth="1" style="831" min="4" max="4"/>
    <col width="6.875" customWidth="1" style="831" min="5" max="5"/>
    <col outlineLevel="1" width="6.875" customWidth="1" style="831" min="6" max="10"/>
    <col width="6.875" customWidth="1" style="831" min="11" max="11"/>
    <col outlineLevel="1" width="6.875" customWidth="1" style="831" min="12" max="15"/>
    <col width="9" customWidth="1" style="831" min="16" max="16"/>
    <col outlineLevel="1" width="9" customWidth="1" style="831" min="17" max="21"/>
    <col width="9" customWidth="1" style="831" min="22" max="22"/>
    <col outlineLevel="1" width="9" customWidth="1" style="831" min="23" max="25"/>
    <col outlineLevel="1" width="6.875" customWidth="1" style="831" min="26" max="26"/>
    <col outlineLevel="1" width="9" customWidth="1" style="831" min="27" max="27"/>
    <col width="9" customWidth="1" style="831" min="28" max="28"/>
    <col outlineLevel="1" width="9" customWidth="1" style="831" min="29" max="34"/>
    <col width="9" customWidth="1" style="831" min="35" max="35"/>
    <col outlineLevel="1" width="9" customWidth="1" style="831" min="36" max="40"/>
    <col width="9" customWidth="1" style="831" min="41" max="41"/>
    <col width="9" customWidth="1" style="831" min="42" max="16384"/>
  </cols>
  <sheetData>
    <row r="2" ht="16.5" customHeight="1" s="838">
      <c r="B2" s="788" t="n"/>
      <c r="C2" s="745" t="n"/>
      <c r="D2" s="734" t="n"/>
      <c r="E2" s="776" t="inlineStr">
        <is>
          <t>1월</t>
        </is>
      </c>
      <c r="F2" s="740" t="n"/>
      <c r="G2" s="740" t="n"/>
      <c r="H2" s="740" t="n"/>
      <c r="I2" s="740" t="n"/>
      <c r="J2" s="741" t="n"/>
      <c r="K2" s="776" t="inlineStr">
        <is>
          <t>2월</t>
        </is>
      </c>
      <c r="L2" s="740" t="n"/>
      <c r="M2" s="740" t="n"/>
      <c r="N2" s="740" t="n"/>
      <c r="O2" s="741" t="n"/>
      <c r="P2" s="776" t="inlineStr">
        <is>
          <t>3월</t>
        </is>
      </c>
      <c r="Q2" s="740" t="n"/>
      <c r="R2" s="740" t="n"/>
      <c r="S2" s="740" t="n"/>
      <c r="T2" s="740" t="n"/>
      <c r="U2" s="741" t="n"/>
      <c r="V2" s="776" t="inlineStr">
        <is>
          <t>4월</t>
        </is>
      </c>
      <c r="W2" s="740" t="n"/>
      <c r="X2" s="740" t="n"/>
      <c r="Y2" s="740" t="n"/>
      <c r="Z2" s="740" t="n"/>
      <c r="AA2" s="741" t="n"/>
      <c r="AB2" s="776" t="inlineStr">
        <is>
          <t>5월</t>
        </is>
      </c>
      <c r="AC2" s="740" t="n"/>
      <c r="AD2" s="740" t="n"/>
      <c r="AE2" s="740" t="n"/>
      <c r="AF2" s="740" t="n"/>
      <c r="AG2" s="740" t="n"/>
      <c r="AH2" s="741" t="n"/>
      <c r="AI2" s="776" t="inlineStr">
        <is>
          <t>6월</t>
        </is>
      </c>
      <c r="AJ2" s="740" t="n"/>
      <c r="AK2" s="740" t="n"/>
      <c r="AL2" s="740" t="n"/>
      <c r="AM2" s="740" t="n"/>
      <c r="AN2" s="741" t="n"/>
      <c r="AO2" s="776" t="inlineStr">
        <is>
          <t>7월</t>
        </is>
      </c>
      <c r="AP2" s="740" t="n"/>
      <c r="AQ2" s="740" t="n"/>
      <c r="AR2" s="740" t="n"/>
      <c r="AS2" s="740" t="n"/>
      <c r="AT2" s="741" t="n"/>
      <c r="AU2" s="776" t="inlineStr">
        <is>
          <t>8월</t>
        </is>
      </c>
      <c r="AV2" s="740" t="n"/>
      <c r="AW2" s="740" t="n"/>
      <c r="AX2" s="740" t="n"/>
      <c r="AY2" s="740" t="n"/>
      <c r="AZ2" s="740" t="n"/>
      <c r="BA2" s="741" t="n"/>
      <c r="BB2" s="776" t="inlineStr">
        <is>
          <t>9월</t>
        </is>
      </c>
      <c r="BC2" s="740" t="n"/>
      <c r="BD2" s="740" t="n"/>
      <c r="BE2" s="740" t="n"/>
      <c r="BF2" s="740" t="n"/>
      <c r="BG2" s="741" t="n"/>
      <c r="BH2" s="776" t="inlineStr">
        <is>
          <t>10월</t>
        </is>
      </c>
      <c r="BI2" s="740" t="n"/>
      <c r="BJ2" s="740" t="n"/>
      <c r="BK2" s="740" t="n"/>
      <c r="BL2" s="740" t="n"/>
      <c r="BM2" s="741" t="n"/>
      <c r="BN2" s="776" t="inlineStr">
        <is>
          <t>11월</t>
        </is>
      </c>
      <c r="BO2" s="740" t="n"/>
      <c r="BP2" s="740" t="n"/>
      <c r="BQ2" s="740" t="n"/>
      <c r="BR2" s="740" t="n"/>
      <c r="BS2" s="741" t="n"/>
      <c r="BT2" s="776" t="inlineStr">
        <is>
          <t>12월</t>
        </is>
      </c>
      <c r="BU2" s="740" t="n"/>
      <c r="BV2" s="740" t="n"/>
      <c r="BW2" s="740" t="n"/>
      <c r="BX2" s="740" t="n"/>
      <c r="BY2" s="741" t="n"/>
    </row>
    <row r="3" ht="17.25" customHeight="1" s="838">
      <c r="B3" s="735" t="n"/>
      <c r="C3" s="752" t="n"/>
      <c r="D3" s="736" t="n"/>
      <c r="E3" s="395" t="inlineStr">
        <is>
          <t>실적</t>
        </is>
      </c>
      <c r="F3" s="776" t="inlineStr">
        <is>
          <t>W1</t>
        </is>
      </c>
      <c r="G3" s="776" t="inlineStr">
        <is>
          <t>W2</t>
        </is>
      </c>
      <c r="H3" s="776" t="inlineStr">
        <is>
          <t>W3</t>
        </is>
      </c>
      <c r="I3" s="776" t="inlineStr">
        <is>
          <t>W4</t>
        </is>
      </c>
      <c r="J3" s="776" t="inlineStr">
        <is>
          <t>W5</t>
        </is>
      </c>
      <c r="K3" s="395" t="inlineStr">
        <is>
          <t>실적</t>
        </is>
      </c>
      <c r="L3" s="776" t="inlineStr">
        <is>
          <t>W6</t>
        </is>
      </c>
      <c r="M3" s="776" t="inlineStr">
        <is>
          <t>W7</t>
        </is>
      </c>
      <c r="N3" s="776" t="inlineStr">
        <is>
          <t>W8</t>
        </is>
      </c>
      <c r="O3" s="776" t="inlineStr">
        <is>
          <t>W9</t>
        </is>
      </c>
      <c r="P3" s="395" t="inlineStr">
        <is>
          <t>실적</t>
        </is>
      </c>
      <c r="Q3" s="776" t="inlineStr">
        <is>
          <t>W10</t>
        </is>
      </c>
      <c r="R3" s="776" t="inlineStr">
        <is>
          <t>W11</t>
        </is>
      </c>
      <c r="S3" s="776" t="inlineStr">
        <is>
          <t>W12</t>
        </is>
      </c>
      <c r="T3" s="776" t="inlineStr">
        <is>
          <t>W13</t>
        </is>
      </c>
      <c r="U3" s="776" t="inlineStr">
        <is>
          <t>W14</t>
        </is>
      </c>
      <c r="V3" s="395" t="inlineStr">
        <is>
          <t>실적</t>
        </is>
      </c>
      <c r="W3" s="776" t="inlineStr">
        <is>
          <t>W14</t>
        </is>
      </c>
      <c r="X3" s="776" t="inlineStr">
        <is>
          <t>W15</t>
        </is>
      </c>
      <c r="Y3" s="776" t="inlineStr">
        <is>
          <t>W16</t>
        </is>
      </c>
      <c r="Z3" s="776" t="inlineStr">
        <is>
          <t>W17</t>
        </is>
      </c>
      <c r="AA3" s="776" t="inlineStr">
        <is>
          <t>W18</t>
        </is>
      </c>
      <c r="AB3" s="395" t="inlineStr">
        <is>
          <t>실적</t>
        </is>
      </c>
      <c r="AC3" s="776" t="inlineStr">
        <is>
          <t>W18</t>
        </is>
      </c>
      <c r="AD3" s="776" t="inlineStr">
        <is>
          <t>W19</t>
        </is>
      </c>
      <c r="AE3" s="776" t="inlineStr">
        <is>
          <t>W20</t>
        </is>
      </c>
      <c r="AF3" s="776" t="inlineStr">
        <is>
          <t>W21</t>
        </is>
      </c>
      <c r="AG3" s="776" t="inlineStr">
        <is>
          <t>W22</t>
        </is>
      </c>
      <c r="AH3" s="776" t="inlineStr">
        <is>
          <t>W23</t>
        </is>
      </c>
      <c r="AI3" s="395" t="inlineStr">
        <is>
          <t>실적</t>
        </is>
      </c>
      <c r="AJ3" s="776" t="inlineStr">
        <is>
          <t>W23</t>
        </is>
      </c>
      <c r="AK3" s="776" t="inlineStr">
        <is>
          <t>W24</t>
        </is>
      </c>
      <c r="AL3" s="776" t="inlineStr">
        <is>
          <t>W25</t>
        </is>
      </c>
      <c r="AM3" s="776" t="inlineStr">
        <is>
          <t>W26</t>
        </is>
      </c>
      <c r="AN3" s="776" t="inlineStr">
        <is>
          <t>W27</t>
        </is>
      </c>
      <c r="AO3" s="473" t="inlineStr">
        <is>
          <t>실적</t>
        </is>
      </c>
      <c r="AP3" s="474" t="inlineStr">
        <is>
          <t>W27</t>
        </is>
      </c>
      <c r="AQ3" s="776" t="inlineStr">
        <is>
          <t>W28</t>
        </is>
      </c>
      <c r="AR3" s="776" t="inlineStr">
        <is>
          <t>W29</t>
        </is>
      </c>
      <c r="AS3" s="776" t="inlineStr">
        <is>
          <t>W30</t>
        </is>
      </c>
      <c r="AT3" s="776" t="inlineStr">
        <is>
          <t>W31</t>
        </is>
      </c>
      <c r="AU3" s="395" t="inlineStr">
        <is>
          <t>실적</t>
        </is>
      </c>
      <c r="AV3" s="776" t="inlineStr">
        <is>
          <t>W31</t>
        </is>
      </c>
      <c r="AW3" s="776" t="inlineStr">
        <is>
          <t>W32</t>
        </is>
      </c>
      <c r="AX3" s="776" t="inlineStr">
        <is>
          <t>W33</t>
        </is>
      </c>
      <c r="AY3" s="776" t="inlineStr">
        <is>
          <t>W34</t>
        </is>
      </c>
      <c r="AZ3" s="776" t="inlineStr">
        <is>
          <t>W35</t>
        </is>
      </c>
      <c r="BA3" s="776" t="inlineStr">
        <is>
          <t>W36</t>
        </is>
      </c>
      <c r="BB3" s="473" t="inlineStr">
        <is>
          <t>실적</t>
        </is>
      </c>
      <c r="BC3" s="474" t="inlineStr">
        <is>
          <t>W36</t>
        </is>
      </c>
      <c r="BD3" s="776" t="inlineStr">
        <is>
          <t>W37</t>
        </is>
      </c>
      <c r="BE3" s="776" t="inlineStr">
        <is>
          <t>W38</t>
        </is>
      </c>
      <c r="BF3" s="776" t="inlineStr">
        <is>
          <t>W39</t>
        </is>
      </c>
      <c r="BG3" s="475" t="inlineStr">
        <is>
          <t>W40</t>
        </is>
      </c>
      <c r="BH3" s="395" t="inlineStr">
        <is>
          <t>실적</t>
        </is>
      </c>
      <c r="BI3" s="776" t="inlineStr">
        <is>
          <t>W40</t>
        </is>
      </c>
      <c r="BJ3" s="776" t="inlineStr">
        <is>
          <t>W41</t>
        </is>
      </c>
      <c r="BK3" s="776" t="inlineStr">
        <is>
          <t>W42</t>
        </is>
      </c>
      <c r="BL3" s="776" t="inlineStr">
        <is>
          <t>W43</t>
        </is>
      </c>
      <c r="BM3" s="776" t="inlineStr">
        <is>
          <t>W44</t>
        </is>
      </c>
      <c r="BN3" s="395" t="inlineStr">
        <is>
          <t>실적</t>
        </is>
      </c>
      <c r="BO3" s="776" t="inlineStr">
        <is>
          <t>W45</t>
        </is>
      </c>
      <c r="BP3" s="776" t="inlineStr">
        <is>
          <t>W46</t>
        </is>
      </c>
      <c r="BQ3" s="776" t="inlineStr">
        <is>
          <t>W47</t>
        </is>
      </c>
      <c r="BR3" s="776" t="inlineStr">
        <is>
          <t>W48</t>
        </is>
      </c>
      <c r="BS3" s="776" t="inlineStr">
        <is>
          <t>W49</t>
        </is>
      </c>
      <c r="BT3" s="395" t="inlineStr">
        <is>
          <t>실적</t>
        </is>
      </c>
      <c r="BU3" s="776" t="inlineStr">
        <is>
          <t>W49</t>
        </is>
      </c>
      <c r="BV3" s="776" t="inlineStr">
        <is>
          <t>W50</t>
        </is>
      </c>
      <c r="BW3" s="776" t="inlineStr">
        <is>
          <t>W51</t>
        </is>
      </c>
      <c r="BX3" s="776" t="inlineStr">
        <is>
          <t>W52</t>
        </is>
      </c>
      <c r="BY3" s="776" t="inlineStr">
        <is>
          <t>W53</t>
        </is>
      </c>
    </row>
    <row r="4" ht="16.5" customHeight="1" s="838">
      <c r="B4" s="791" t="inlineStr">
        <is>
          <t>매출증분 + 원가인상 + 매출차감</t>
        </is>
      </c>
      <c r="C4" s="766" t="n"/>
      <c r="D4" s="831" t="inlineStr">
        <is>
          <t>`25 실적</t>
        </is>
      </c>
      <c r="E4" s="1198">
        <f>SUM(E10,E16,E22)</f>
        <v/>
      </c>
      <c r="F4" s="1199">
        <f>SUM(F10,F16,F22)</f>
        <v/>
      </c>
      <c r="G4" s="1199">
        <f>SUM(G10,G16,G22)</f>
        <v/>
      </c>
      <c r="H4" s="1199">
        <f>SUM(H10,H16,H22)</f>
        <v/>
      </c>
      <c r="I4" s="1199">
        <f>SUM(I10,I16,I22)</f>
        <v/>
      </c>
      <c r="J4" s="1199">
        <f>SUM(J10,J16,J22)</f>
        <v/>
      </c>
      <c r="K4" s="1200">
        <f>SUM(K10,K16,K22)</f>
        <v/>
      </c>
      <c r="L4" s="1199">
        <f>SUM(L10,L16,L22)</f>
        <v/>
      </c>
      <c r="M4" s="1199">
        <f>SUM(M10,M16,M22)</f>
        <v/>
      </c>
      <c r="N4" s="1199">
        <f>SUM(N10,N16,N22)</f>
        <v/>
      </c>
      <c r="O4" s="1201">
        <f>SUM(O10,O16,O22)</f>
        <v/>
      </c>
      <c r="P4" s="1198">
        <f>SUM(P10,P16,P22)</f>
        <v/>
      </c>
      <c r="Q4" s="1199">
        <f>SUM(Q10,Q16,Q22)</f>
        <v/>
      </c>
      <c r="R4" s="1199">
        <f>SUM(R10,R16,R22)</f>
        <v/>
      </c>
      <c r="S4" s="1199">
        <f>SUM(S10,S16,S22)</f>
        <v/>
      </c>
      <c r="T4" s="1199">
        <f>SUM(T10,T16,T22)</f>
        <v/>
      </c>
      <c r="U4" s="1199">
        <f>SUM(U10,U16,U22)</f>
        <v/>
      </c>
      <c r="V4" s="1200">
        <f>SUM(V10,V16,V22)</f>
        <v/>
      </c>
      <c r="W4" s="1199">
        <f>SUM(W10,W16,W22)</f>
        <v/>
      </c>
      <c r="X4" s="1199">
        <f>SUM(X10,X16,X22)</f>
        <v/>
      </c>
      <c r="Y4" s="1199">
        <f>SUM(Y10,Y16,Y22)</f>
        <v/>
      </c>
      <c r="Z4" s="1199">
        <f>SUM(Z10,Z16,Z22)</f>
        <v/>
      </c>
      <c r="AA4" s="1201">
        <f>SUM(AA10,AA16,AA22)</f>
        <v/>
      </c>
      <c r="AB4" s="1198" t="n"/>
      <c r="AC4" s="1199" t="n"/>
      <c r="AD4" s="1199" t="n"/>
      <c r="AE4" s="1199" t="n"/>
      <c r="AF4" s="1199" t="n"/>
      <c r="AG4" s="1199" t="n"/>
      <c r="AH4" s="1199" t="n"/>
      <c r="AI4" s="1200" t="n"/>
      <c r="AJ4" s="1199" t="n"/>
      <c r="AK4" s="1199" t="n"/>
      <c r="AL4" s="1199" t="n"/>
      <c r="AM4" s="1199" t="n"/>
      <c r="AN4" s="1201" t="n"/>
      <c r="AO4" s="1200" t="n"/>
      <c r="AP4" s="1199" t="n"/>
      <c r="AQ4" s="1199" t="n"/>
      <c r="AR4" s="1199" t="n"/>
      <c r="AS4" s="1199" t="n"/>
      <c r="AT4" s="1199" t="n"/>
      <c r="AU4" s="1200" t="n"/>
      <c r="AV4" s="1199" t="n"/>
      <c r="AW4" s="1199" t="n"/>
      <c r="AX4" s="1199" t="n"/>
      <c r="AY4" s="1199" t="n"/>
      <c r="AZ4" s="1199" t="n"/>
      <c r="BA4" s="1199" t="n"/>
      <c r="BB4" s="1200" t="n"/>
      <c r="BC4" s="1199" t="n"/>
      <c r="BD4" s="1199" t="n"/>
      <c r="BE4" s="1199" t="n"/>
      <c r="BF4" s="1199" t="n"/>
      <c r="BG4" s="1199" t="n"/>
      <c r="BH4" s="1200" t="n"/>
      <c r="BI4" s="1199" t="n"/>
      <c r="BJ4" s="1199" t="n"/>
      <c r="BK4" s="1199" t="n"/>
      <c r="BL4" s="1199" t="n"/>
      <c r="BM4" s="1201" t="n"/>
      <c r="BN4" s="1200" t="n"/>
      <c r="BO4" s="1199" t="n"/>
      <c r="BP4" s="1199" t="n"/>
      <c r="BQ4" s="1199" t="n"/>
      <c r="BR4" s="1199" t="n"/>
      <c r="BS4" s="1201" t="n"/>
      <c r="BT4" s="1200" t="n"/>
      <c r="BU4" s="1199" t="n"/>
      <c r="BV4" s="1199" t="n"/>
      <c r="BW4" s="1199" t="n"/>
      <c r="BX4" s="1199" t="n"/>
      <c r="BY4" s="1202" t="n"/>
    </row>
    <row r="5" ht="16.5" customHeight="1" s="838">
      <c r="B5" s="765" t="n"/>
      <c r="C5" s="766" t="n"/>
      <c r="D5" s="831" t="inlineStr">
        <is>
          <t>`26 목표</t>
        </is>
      </c>
      <c r="E5" s="1203">
        <f>SUM(E11,E17,E23)</f>
        <v/>
      </c>
      <c r="F5" s="1204">
        <f>SUM(F11,F17,F23)</f>
        <v/>
      </c>
      <c r="G5" s="1204">
        <f>SUM(G11,G17,G23)</f>
        <v/>
      </c>
      <c r="H5" s="1204">
        <f>SUM(H11,H17,H23)</f>
        <v/>
      </c>
      <c r="I5" s="1204">
        <f>SUM(I11,I17,I23)</f>
        <v/>
      </c>
      <c r="J5" s="1204">
        <f>SUM(J11,J17,J23)</f>
        <v/>
      </c>
      <c r="K5" s="1205">
        <f>SUM(K11,K17,K23)</f>
        <v/>
      </c>
      <c r="L5" s="1204">
        <f>SUM(L11,L17,L23)</f>
        <v/>
      </c>
      <c r="M5" s="1204">
        <f>SUM(M11,M17,M23)</f>
        <v/>
      </c>
      <c r="N5" s="1204">
        <f>SUM(N11,N17,N23)</f>
        <v/>
      </c>
      <c r="O5" s="1206">
        <f>SUM(O11,O17,O23)</f>
        <v/>
      </c>
      <c r="P5" s="1203">
        <f>SUM(P11,P17,P23)</f>
        <v/>
      </c>
      <c r="Q5" s="1204">
        <f>SUM(Q11,Q17,Q23)</f>
        <v/>
      </c>
      <c r="R5" s="1204">
        <f>SUM(R11,R17,R23)</f>
        <v/>
      </c>
      <c r="S5" s="1204">
        <f>SUM(S11,S17,S23)</f>
        <v/>
      </c>
      <c r="T5" s="1204">
        <f>SUM(T11,T17,T23)</f>
        <v/>
      </c>
      <c r="U5" s="1204">
        <f>SUM(U11,U17,U23)</f>
        <v/>
      </c>
      <c r="V5" s="1205">
        <f>SUM(V11,V17,V23)</f>
        <v/>
      </c>
      <c r="W5" s="1204">
        <f>SUM(W11,W17,W23)</f>
        <v/>
      </c>
      <c r="X5" s="1204">
        <f>SUM(X11,X17,X23)</f>
        <v/>
      </c>
      <c r="Y5" s="1204">
        <f>SUM(Y11,Y17,Y23)</f>
        <v/>
      </c>
      <c r="Z5" s="1204">
        <f>SUM(Z11,Z17,Z23)</f>
        <v/>
      </c>
      <c r="AA5" s="1206">
        <f>SUM(AA11,AA17,AA23)</f>
        <v/>
      </c>
      <c r="AB5" s="1203" t="n"/>
      <c r="AC5" s="1204" t="n"/>
      <c r="AD5" s="1204" t="n"/>
      <c r="AE5" s="1204" t="n"/>
      <c r="AF5" s="1204" t="n"/>
      <c r="AG5" s="1204" t="n"/>
      <c r="AH5" s="1204" t="n"/>
      <c r="AI5" s="1205" t="n"/>
      <c r="AJ5" s="1204" t="n"/>
      <c r="AK5" s="1204" t="n"/>
      <c r="AL5" s="1204" t="n"/>
      <c r="AM5" s="1204" t="n"/>
      <c r="AN5" s="1206" t="n"/>
      <c r="AO5" s="1205" t="n"/>
      <c r="AP5" s="1204" t="n"/>
      <c r="AQ5" s="1204" t="n"/>
      <c r="AR5" s="1204" t="n"/>
      <c r="AS5" s="1204" t="n"/>
      <c r="AT5" s="1204" t="n"/>
      <c r="AU5" s="1205" t="n"/>
      <c r="AV5" s="1204" t="n"/>
      <c r="AW5" s="1204" t="n"/>
      <c r="AX5" s="1204" t="n"/>
      <c r="AY5" s="1204" t="n"/>
      <c r="AZ5" s="1204" t="n"/>
      <c r="BA5" s="1204" t="n"/>
      <c r="BB5" s="1205" t="n"/>
      <c r="BC5" s="1204" t="n"/>
      <c r="BD5" s="1204" t="n"/>
      <c r="BE5" s="1204" t="n"/>
      <c r="BF5" s="1204" t="n"/>
      <c r="BG5" s="1204" t="n"/>
      <c r="BH5" s="1205" t="n"/>
      <c r="BI5" s="1204" t="n"/>
      <c r="BJ5" s="1204" t="n"/>
      <c r="BK5" s="1204" t="n"/>
      <c r="BL5" s="1204" t="n"/>
      <c r="BM5" s="1206" t="n"/>
      <c r="BN5" s="1205" t="n"/>
      <c r="BO5" s="1204" t="n"/>
      <c r="BP5" s="1204" t="n"/>
      <c r="BQ5" s="1204" t="n"/>
      <c r="BR5" s="1204" t="n"/>
      <c r="BS5" s="1206" t="n"/>
      <c r="BT5" s="1205" t="n"/>
      <c r="BU5" s="1204" t="n"/>
      <c r="BV5" s="1204" t="n"/>
      <c r="BW5" s="1204" t="n"/>
      <c r="BX5" s="1204" t="n"/>
      <c r="BY5" s="1207" t="n"/>
    </row>
    <row r="6" ht="16.5" customHeight="1" s="838">
      <c r="B6" s="767" t="n"/>
      <c r="C6" s="736" t="n"/>
      <c r="D6" s="831" t="inlineStr">
        <is>
          <t>`26 실적</t>
        </is>
      </c>
      <c r="E6" s="1203">
        <f>SUM(E12,E18,E24)</f>
        <v/>
      </c>
      <c r="F6" s="1204">
        <f>SUM(F12,F18,F24)</f>
        <v/>
      </c>
      <c r="G6" s="1204">
        <f>SUM(G12,G18,G24)</f>
        <v/>
      </c>
      <c r="H6" s="1204">
        <f>SUM(H12,H18,H24)</f>
        <v/>
      </c>
      <c r="I6" s="1204">
        <f>SUM(I12,I18,I24)</f>
        <v/>
      </c>
      <c r="J6" s="1204">
        <f>SUM(J12,J18,J24)</f>
        <v/>
      </c>
      <c r="K6" s="1205">
        <f>SUM(K12,K18,K24)</f>
        <v/>
      </c>
      <c r="L6" s="1204">
        <f>SUM(L12,L18,L24)</f>
        <v/>
      </c>
      <c r="M6" s="1204">
        <f>SUM(M12,M18,M24)</f>
        <v/>
      </c>
      <c r="N6" s="1204">
        <f>SUM(N12,N18,N24)</f>
        <v/>
      </c>
      <c r="O6" s="1206">
        <f>SUM(O12,O18,O24)</f>
        <v/>
      </c>
      <c r="P6" s="1203">
        <f>SUM(P12,P18,P24)</f>
        <v/>
      </c>
      <c r="Q6" s="1204">
        <f>SUM(Q12,Q18,Q24)</f>
        <v/>
      </c>
      <c r="R6" s="1204">
        <f>SUM(R12,R18,R24)</f>
        <v/>
      </c>
      <c r="S6" s="1204">
        <f>SUM(S12,S18,S24)</f>
        <v/>
      </c>
      <c r="T6" s="1204">
        <f>SUM(T12,T18,T24)</f>
        <v/>
      </c>
      <c r="U6" s="1204">
        <f>SUM(U12,U18,U24)</f>
        <v/>
      </c>
      <c r="V6" s="1205">
        <f>SUM(V12,V18,V24)</f>
        <v/>
      </c>
      <c r="W6" s="1204">
        <f>SUM(W12,W18,W24)</f>
        <v/>
      </c>
      <c r="X6" s="1204">
        <f>SUM(X12,X18,X24)</f>
        <v/>
      </c>
      <c r="Y6" s="1204">
        <f>SUM(Y12,Y18,Y24)</f>
        <v/>
      </c>
      <c r="Z6" s="1204">
        <f>SUM(Z12,Z18,Z24)</f>
        <v/>
      </c>
      <c r="AA6" s="1206">
        <f>SUM(AA12,AA18,AA24)</f>
        <v/>
      </c>
      <c r="AB6" s="1203" t="n"/>
      <c r="AC6" s="1204" t="n"/>
      <c r="AD6" s="1204" t="n"/>
      <c r="AE6" s="1204" t="n"/>
      <c r="AF6" s="1204" t="n"/>
      <c r="AG6" s="1204" t="n"/>
      <c r="AH6" s="1204" t="n"/>
      <c r="AI6" s="1205" t="n"/>
      <c r="AJ6" s="1204" t="n"/>
      <c r="AK6" s="1204" t="n"/>
      <c r="AL6" s="1204" t="n"/>
      <c r="AM6" s="1204" t="n"/>
      <c r="AN6" s="1206" t="n"/>
      <c r="AO6" s="1205" t="n"/>
      <c r="AP6" s="1204" t="n"/>
      <c r="AQ6" s="1204" t="n"/>
      <c r="AR6" s="1204" t="n"/>
      <c r="AS6" s="1204" t="n"/>
      <c r="AT6" s="1204" t="n"/>
      <c r="AU6" s="1205" t="n"/>
      <c r="AV6" s="1204" t="n"/>
      <c r="AW6" s="1204" t="n"/>
      <c r="AX6" s="1204" t="n"/>
      <c r="AY6" s="1204" t="n"/>
      <c r="AZ6" s="1204" t="n"/>
      <c r="BA6" s="1204" t="n"/>
      <c r="BB6" s="1205" t="n"/>
      <c r="BC6" s="1204" t="n"/>
      <c r="BD6" s="1204" t="n"/>
      <c r="BE6" s="1204" t="n"/>
      <c r="BF6" s="1204" t="n"/>
      <c r="BG6" s="1204" t="n"/>
      <c r="BH6" s="1205" t="n"/>
      <c r="BI6" s="1204" t="n"/>
      <c r="BJ6" s="1204" t="n"/>
      <c r="BK6" s="1204" t="n"/>
      <c r="BL6" s="1204" t="n"/>
      <c r="BM6" s="1206" t="n"/>
      <c r="BN6" s="1205" t="n"/>
      <c r="BO6" s="1204" t="n"/>
      <c r="BP6" s="1204" t="n"/>
      <c r="BQ6" s="1204" t="n"/>
      <c r="BR6" s="1204" t="n"/>
      <c r="BS6" s="1206" t="n"/>
      <c r="BT6" s="1205" t="n"/>
      <c r="BU6" s="1204" t="n"/>
      <c r="BV6" s="1204" t="n"/>
      <c r="BW6" s="1204" t="n"/>
      <c r="BX6" s="1204" t="n"/>
      <c r="BY6" s="1207" t="n"/>
    </row>
    <row r="7" ht="16.5" customHeight="1" s="838">
      <c r="B7" s="789" t="inlineStr">
        <is>
          <t>매출증분</t>
        </is>
      </c>
      <c r="C7" s="828" t="inlineStr">
        <is>
          <t>총매출($)</t>
        </is>
      </c>
      <c r="D7" s="470" t="inlineStr">
        <is>
          <t>`25 실적</t>
        </is>
      </c>
      <c r="E7" s="1208" t="n">
        <v>577.310583</v>
      </c>
      <c r="F7" s="1209" t="n">
        <v>577.310583</v>
      </c>
      <c r="G7" s="1209" t="n">
        <v>577.310583</v>
      </c>
      <c r="H7" s="1209" t="n">
        <v>577.310583</v>
      </c>
      <c r="I7" s="1209" t="n">
        <v>577.310583</v>
      </c>
      <c r="J7" s="1209" t="n">
        <v>577.310583</v>
      </c>
      <c r="K7" s="1210" t="n">
        <v>1147.614782</v>
      </c>
      <c r="L7" s="1209" t="n">
        <v>1147.614782</v>
      </c>
      <c r="M7" s="1209" t="n">
        <v>1147.614782</v>
      </c>
      <c r="N7" s="1209" t="n">
        <v>1147.614782</v>
      </c>
      <c r="O7" s="1211" t="n">
        <v>1147.614782</v>
      </c>
      <c r="P7" s="1208" t="n">
        <v>486.994137</v>
      </c>
      <c r="Q7" s="1209" t="n">
        <v>486.994137</v>
      </c>
      <c r="R7" s="1209" t="n">
        <v>486.994137</v>
      </c>
      <c r="S7" s="1209" t="n">
        <v>486.994137</v>
      </c>
      <c r="T7" s="1209" t="n">
        <v>486.994137</v>
      </c>
      <c r="U7" s="1209" t="n">
        <v>486.994137</v>
      </c>
      <c r="V7" s="1210" t="n">
        <v>569.972097</v>
      </c>
      <c r="W7" s="1209" t="n">
        <v>569.972097</v>
      </c>
      <c r="X7" s="1209" t="n">
        <v>569.972097</v>
      </c>
      <c r="Y7" s="1209" t="n">
        <v>569.972097</v>
      </c>
      <c r="Z7" s="1209" t="n">
        <v>569.972097</v>
      </c>
      <c r="AA7" s="1211" t="n">
        <v>569.972097</v>
      </c>
      <c r="AB7" s="1208" t="n"/>
      <c r="AC7" s="1209" t="n"/>
      <c r="AD7" s="1209" t="n"/>
      <c r="AE7" s="1209" t="n"/>
      <c r="AF7" s="1209" t="n"/>
      <c r="AG7" s="1209" t="n"/>
      <c r="AH7" s="1209" t="n"/>
      <c r="AI7" s="1210" t="n"/>
      <c r="AJ7" s="1209" t="n"/>
      <c r="AK7" s="1209" t="n"/>
      <c r="AL7" s="1209" t="n"/>
      <c r="AM7" s="1209" t="n"/>
      <c r="AN7" s="1211" t="n"/>
      <c r="AO7" s="1210" t="n"/>
      <c r="AP7" s="1209" t="n"/>
      <c r="AQ7" s="1209" t="n"/>
      <c r="AR7" s="1209" t="n"/>
      <c r="AS7" s="1209" t="n"/>
      <c r="AT7" s="1209" t="n"/>
      <c r="AU7" s="1210" t="n"/>
      <c r="AV7" s="1209" t="n"/>
      <c r="AW7" s="1209" t="n"/>
      <c r="AX7" s="1209" t="n"/>
      <c r="AY7" s="1209" t="n"/>
      <c r="AZ7" s="1209" t="n"/>
      <c r="BA7" s="1209" t="n"/>
      <c r="BB7" s="1210" t="n"/>
      <c r="BC7" s="1209" t="n"/>
      <c r="BD7" s="1209" t="n"/>
      <c r="BE7" s="1209" t="n"/>
      <c r="BF7" s="1209" t="n"/>
      <c r="BG7" s="1209" t="n"/>
      <c r="BH7" s="1210" t="n"/>
      <c r="BI7" s="1209" t="n"/>
      <c r="BJ7" s="1209" t="n"/>
      <c r="BK7" s="1209" t="n"/>
      <c r="BL7" s="1209" t="n"/>
      <c r="BM7" s="1211" t="n"/>
      <c r="BN7" s="1210" t="n"/>
      <c r="BO7" s="1209" t="n"/>
      <c r="BP7" s="1209" t="n"/>
      <c r="BQ7" s="1209" t="n"/>
      <c r="BR7" s="1209" t="n"/>
      <c r="BS7" s="1211" t="n"/>
      <c r="BT7" s="1210" t="n"/>
      <c r="BU7" s="1209" t="n"/>
      <c r="BV7" s="1209" t="n"/>
      <c r="BW7" s="1209" t="n"/>
      <c r="BX7" s="1209" t="n"/>
      <c r="BY7" s="1212" t="n"/>
    </row>
    <row r="8" ht="16.5" customHeight="1" s="838">
      <c r="B8" s="756" t="n"/>
      <c r="C8" s="738" t="n"/>
      <c r="D8" s="831" t="inlineStr">
        <is>
          <t>`26 목표</t>
        </is>
      </c>
      <c r="E8" s="1213" t="n">
        <v>848.211275</v>
      </c>
      <c r="F8" s="1214" t="n">
        <v>848.211275</v>
      </c>
      <c r="G8" s="1214" t="n">
        <v>848.211275</v>
      </c>
      <c r="H8" s="1214" t="n">
        <v>848.211275</v>
      </c>
      <c r="I8" s="1214" t="n">
        <v>848.211275</v>
      </c>
      <c r="J8" s="1214" t="n">
        <v>848.211275</v>
      </c>
      <c r="K8" s="1215" t="n">
        <v>1035.849629</v>
      </c>
      <c r="L8" s="1214" t="n">
        <v>1035.849629</v>
      </c>
      <c r="M8" s="1214" t="n">
        <v>1035.849629</v>
      </c>
      <c r="N8" s="1214" t="n">
        <v>1035.849629</v>
      </c>
      <c r="O8" s="1216" t="n">
        <v>1035.849629</v>
      </c>
      <c r="P8" s="1213" t="n">
        <v>785.270319</v>
      </c>
      <c r="Q8" s="1214" t="n">
        <v>785.270319</v>
      </c>
      <c r="R8" s="1214" t="n">
        <v>785.270319</v>
      </c>
      <c r="S8" s="1214" t="n">
        <v>785.270319</v>
      </c>
      <c r="T8" s="1214" t="n">
        <v>785.270319</v>
      </c>
      <c r="U8" s="1214" t="n">
        <v>785.270319</v>
      </c>
      <c r="V8" s="1215" t="n">
        <v>1380.195223</v>
      </c>
      <c r="W8" s="1214" t="n">
        <v>1380.195223</v>
      </c>
      <c r="X8" s="1214" t="n">
        <v>1380.195223</v>
      </c>
      <c r="Y8" s="1214" t="n">
        <v>1380.195223</v>
      </c>
      <c r="Z8" s="1214" t="n">
        <v>1380.195223</v>
      </c>
      <c r="AA8" s="1216" t="n">
        <v>1380.195223</v>
      </c>
      <c r="AB8" s="1213" t="n"/>
      <c r="AC8" s="1214" t="n"/>
      <c r="AD8" s="1214" t="n"/>
      <c r="AE8" s="1214" t="n"/>
      <c r="AF8" s="1214" t="n"/>
      <c r="AG8" s="1214" t="n"/>
      <c r="AH8" s="1214" t="n"/>
      <c r="AI8" s="1215" t="n"/>
      <c r="AJ8" s="1214" t="n"/>
      <c r="AK8" s="1214" t="n"/>
      <c r="AL8" s="1214" t="n"/>
      <c r="AM8" s="1214" t="n"/>
      <c r="AN8" s="1216" t="n"/>
      <c r="AO8" s="1215" t="n"/>
      <c r="AP8" s="1214" t="n"/>
      <c r="AQ8" s="1214" t="n"/>
      <c r="AR8" s="1214" t="n"/>
      <c r="AS8" s="1214" t="n"/>
      <c r="AT8" s="1214" t="n"/>
      <c r="AU8" s="1215" t="n"/>
      <c r="AV8" s="1214" t="n"/>
      <c r="AW8" s="1214" t="n"/>
      <c r="AX8" s="1214" t="n"/>
      <c r="AY8" s="1214" t="n"/>
      <c r="AZ8" s="1214" t="n"/>
      <c r="BA8" s="1214" t="n"/>
      <c r="BB8" s="1215" t="n"/>
      <c r="BC8" s="1214" t="n"/>
      <c r="BD8" s="1214" t="n"/>
      <c r="BE8" s="1214" t="n"/>
      <c r="BF8" s="1214" t="n"/>
      <c r="BG8" s="1214" t="n"/>
      <c r="BH8" s="1215" t="n"/>
      <c r="BI8" s="1214" t="n"/>
      <c r="BJ8" s="1214" t="n"/>
      <c r="BK8" s="1214" t="n"/>
      <c r="BL8" s="1214" t="n"/>
      <c r="BM8" s="1216" t="n"/>
      <c r="BN8" s="1215" t="n"/>
      <c r="BO8" s="1214" t="n"/>
      <c r="BP8" s="1214" t="n"/>
      <c r="BQ8" s="1214" t="n"/>
      <c r="BR8" s="1214" t="n"/>
      <c r="BS8" s="1216" t="n"/>
      <c r="BT8" s="1215" t="n"/>
      <c r="BU8" s="1214" t="n"/>
      <c r="BV8" s="1214" t="n"/>
      <c r="BW8" s="1214" t="n"/>
      <c r="BX8" s="1214" t="n"/>
      <c r="BY8" s="1217" t="n"/>
    </row>
    <row r="9" ht="16.5" customHeight="1" s="838">
      <c r="B9" s="756" t="n"/>
      <c r="C9" s="739" t="n"/>
      <c r="D9" s="133" t="inlineStr">
        <is>
          <t>`26 실적</t>
        </is>
      </c>
      <c r="E9" s="1218" t="n">
        <v>1178.767211</v>
      </c>
      <c r="F9" s="1219" t="n">
        <v>970.179386</v>
      </c>
      <c r="G9" s="1219" t="n">
        <v>970.179386</v>
      </c>
      <c r="H9" s="1219" t="n">
        <v>970.179386</v>
      </c>
      <c r="I9" s="1219" t="n">
        <v>970.179386</v>
      </c>
      <c r="J9" s="1219" t="n">
        <v>593.017575</v>
      </c>
      <c r="K9" s="1220" t="n">
        <v>668.112017</v>
      </c>
      <c r="L9" s="1219" t="n">
        <v>1050.513966</v>
      </c>
      <c r="M9" s="1219" t="n">
        <v>986.125</v>
      </c>
      <c r="N9" s="1219" t="n">
        <v>1050.513966</v>
      </c>
      <c r="O9" s="1221" t="n">
        <v>647.264438</v>
      </c>
      <c r="P9" s="1218" t="n">
        <v>778.505621</v>
      </c>
      <c r="Q9" s="1219" t="n">
        <v>815.902703</v>
      </c>
      <c r="R9" s="1219" t="n">
        <v>861.887526</v>
      </c>
      <c r="S9" s="1219" t="n">
        <v>768.316049</v>
      </c>
      <c r="T9" s="1219" t="n">
        <v>790.0538320000001</v>
      </c>
      <c r="U9" s="1219" t="n">
        <v>790.0538320000001</v>
      </c>
      <c r="V9" s="1220" t="n">
        <v>1329.184835</v>
      </c>
      <c r="W9" s="1219" t="n">
        <v>1336.317539</v>
      </c>
      <c r="X9" s="1219" t="n">
        <v>568.448836</v>
      </c>
      <c r="Y9" s="1219" t="n">
        <v>568.448836</v>
      </c>
      <c r="Z9" s="1219" t="n">
        <v>568.448836</v>
      </c>
      <c r="AA9" s="1221" t="n">
        <v>568.448836</v>
      </c>
      <c r="AB9" s="1218" t="n"/>
      <c r="AC9" s="1219" t="n"/>
      <c r="AD9" s="1219" t="n"/>
      <c r="AE9" s="1219" t="n"/>
      <c r="AF9" s="1219" t="n"/>
      <c r="AG9" s="1219" t="n"/>
      <c r="AH9" s="1219" t="n"/>
      <c r="AI9" s="1220" t="n"/>
      <c r="AJ9" s="1219" t="n"/>
      <c r="AK9" s="1219" t="n"/>
      <c r="AL9" s="1219" t="n"/>
      <c r="AM9" s="1219" t="n"/>
      <c r="AN9" s="1221" t="n"/>
      <c r="AO9" s="1220" t="n"/>
      <c r="AP9" s="1219" t="n"/>
      <c r="AQ9" s="1219" t="n"/>
      <c r="AR9" s="1219" t="n"/>
      <c r="AS9" s="1219" t="n"/>
      <c r="AT9" s="1219" t="n"/>
      <c r="AU9" s="1220" t="n"/>
      <c r="AV9" s="1219" t="n"/>
      <c r="AW9" s="1219" t="n"/>
      <c r="AX9" s="1219" t="n"/>
      <c r="AY9" s="1219" t="n"/>
      <c r="AZ9" s="1219" t="n"/>
      <c r="BA9" s="1219" t="n"/>
      <c r="BB9" s="1220" t="n"/>
      <c r="BC9" s="1219" t="n"/>
      <c r="BD9" s="1219" t="n"/>
      <c r="BE9" s="1219" t="n"/>
      <c r="BF9" s="1219" t="n"/>
      <c r="BG9" s="1219" t="n"/>
      <c r="BH9" s="1220" t="n"/>
      <c r="BI9" s="1219" t="n"/>
      <c r="BJ9" s="1219" t="n"/>
      <c r="BK9" s="1219" t="n"/>
      <c r="BL9" s="1219" t="n"/>
      <c r="BM9" s="1221" t="n"/>
      <c r="BN9" s="1220" t="n"/>
      <c r="BO9" s="1219" t="n"/>
      <c r="BP9" s="1219" t="n"/>
      <c r="BQ9" s="1219" t="n"/>
      <c r="BR9" s="1219" t="n"/>
      <c r="BS9" s="1221" t="n"/>
      <c r="BT9" s="1220" t="n"/>
      <c r="BU9" s="1219" t="n"/>
      <c r="BV9" s="1219" t="n"/>
      <c r="BW9" s="1219" t="n"/>
      <c r="BX9" s="1219" t="n"/>
      <c r="BY9" s="1222" t="n"/>
    </row>
    <row r="10" ht="16.5" customHeight="1" s="838">
      <c r="B10" s="756" t="n"/>
      <c r="C10" s="827" t="inlineStr">
        <is>
          <t>개선금액(원)</t>
        </is>
      </c>
      <c r="D10" s="470" t="inlineStr">
        <is>
          <t>`25 실적</t>
        </is>
      </c>
      <c r="E10" s="1223" t="n">
        <v>-244.763856</v>
      </c>
      <c r="F10" s="1224" t="n">
        <v>-244.763856</v>
      </c>
      <c r="G10" s="1224" t="n">
        <v>-244.763856</v>
      </c>
      <c r="H10" s="1224" t="n">
        <v>-244.763856</v>
      </c>
      <c r="I10" s="1224" t="n">
        <v>-244.763856</v>
      </c>
      <c r="J10" s="1224" t="n">
        <v>-244.763856</v>
      </c>
      <c r="K10" s="1225" t="n">
        <v>-140.129905</v>
      </c>
      <c r="L10" s="1224" t="n">
        <v>-140.129905</v>
      </c>
      <c r="M10" s="1224" t="n">
        <v>-140.129905</v>
      </c>
      <c r="N10" s="1224" t="n">
        <v>-140.129905</v>
      </c>
      <c r="O10" s="1226" t="n">
        <v>-140.129905</v>
      </c>
      <c r="P10" s="1223" t="n">
        <v>-77.375468</v>
      </c>
      <c r="Q10" s="1224" t="n">
        <v>-77.375468</v>
      </c>
      <c r="R10" s="1224" t="n">
        <v>-77.375468</v>
      </c>
      <c r="S10" s="1224" t="n">
        <v>-77.375468</v>
      </c>
      <c r="T10" s="1224" t="n">
        <v>-77.375468</v>
      </c>
      <c r="U10" s="1224" t="n">
        <v>-77.375468</v>
      </c>
      <c r="V10" s="1225" t="n">
        <v>-59.140674</v>
      </c>
      <c r="W10" s="1224" t="n">
        <v>-59.140674</v>
      </c>
      <c r="X10" s="1224" t="n">
        <v>-59.140674</v>
      </c>
      <c r="Y10" s="1224" t="n">
        <v>-59.140674</v>
      </c>
      <c r="Z10" s="1224" t="n">
        <v>-59.140674</v>
      </c>
      <c r="AA10" s="1226" t="n">
        <v>-59.140674</v>
      </c>
      <c r="AB10" s="1223" t="n"/>
      <c r="AC10" s="1224" t="n"/>
      <c r="AD10" s="1224" t="n"/>
      <c r="AE10" s="1224" t="n"/>
      <c r="AF10" s="1224" t="n"/>
      <c r="AG10" s="1224" t="n"/>
      <c r="AH10" s="1224" t="n"/>
      <c r="AI10" s="1225" t="n"/>
      <c r="AJ10" s="1224" t="n"/>
      <c r="AK10" s="1224" t="n"/>
      <c r="AL10" s="1224" t="n"/>
      <c r="AM10" s="1224" t="n"/>
      <c r="AN10" s="1226" t="n"/>
      <c r="AO10" s="1225" t="n"/>
      <c r="AP10" s="1224" t="n"/>
      <c r="AQ10" s="1224" t="n"/>
      <c r="AR10" s="1224" t="n"/>
      <c r="AS10" s="1224" t="n"/>
      <c r="AT10" s="1224" t="n"/>
      <c r="AU10" s="1225" t="n"/>
      <c r="AV10" s="1224" t="n"/>
      <c r="AW10" s="1224" t="n"/>
      <c r="AX10" s="1224" t="n"/>
      <c r="AY10" s="1224" t="n"/>
      <c r="AZ10" s="1224" t="n"/>
      <c r="BA10" s="1224" t="n"/>
      <c r="BB10" s="1225" t="n"/>
      <c r="BC10" s="1224" t="n"/>
      <c r="BD10" s="1224" t="n"/>
      <c r="BE10" s="1224" t="n"/>
      <c r="BF10" s="1224" t="n"/>
      <c r="BG10" s="1224" t="n"/>
      <c r="BH10" s="1225" t="n"/>
      <c r="BI10" s="1224" t="n"/>
      <c r="BJ10" s="1224" t="n"/>
      <c r="BK10" s="1224" t="n"/>
      <c r="BL10" s="1224" t="n"/>
      <c r="BM10" s="1226" t="n"/>
      <c r="BN10" s="1225" t="n"/>
      <c r="BO10" s="1224" t="n"/>
      <c r="BP10" s="1224" t="n"/>
      <c r="BQ10" s="1224" t="n"/>
      <c r="BR10" s="1224" t="n"/>
      <c r="BS10" s="1226" t="n"/>
      <c r="BT10" s="1225" t="n"/>
      <c r="BU10" s="1224" t="n"/>
      <c r="BV10" s="1224" t="n"/>
      <c r="BW10" s="1224" t="n"/>
      <c r="BX10" s="1224" t="n"/>
      <c r="BY10" s="1227" t="n"/>
    </row>
    <row r="11" ht="16.5" customHeight="1" s="838">
      <c r="B11" s="756" t="n"/>
      <c r="C11" s="738" t="n"/>
      <c r="D11" s="831" t="inlineStr">
        <is>
          <t>`26 목표</t>
        </is>
      </c>
      <c r="E11" s="1203" t="n">
        <v>71.27770099999999</v>
      </c>
      <c r="F11" s="1204" t="n">
        <v>71.27770099999999</v>
      </c>
      <c r="G11" s="1204" t="n">
        <v>71.27770099999999</v>
      </c>
      <c r="H11" s="1204" t="n">
        <v>71.27770099999999</v>
      </c>
      <c r="I11" s="1204" t="n">
        <v>71.27770099999999</v>
      </c>
      <c r="J11" s="1204" t="n">
        <v>71.27770099999999</v>
      </c>
      <c r="K11" s="1205" t="n">
        <v>141.071955</v>
      </c>
      <c r="L11" s="1204" t="n">
        <v>141.071955</v>
      </c>
      <c r="M11" s="1204" t="n">
        <v>141.071955</v>
      </c>
      <c r="N11" s="1204" t="n">
        <v>141.071955</v>
      </c>
      <c r="O11" s="1206" t="n">
        <v>141.071955</v>
      </c>
      <c r="P11" s="1203" t="n">
        <v>83.589888</v>
      </c>
      <c r="Q11" s="1204" t="n">
        <v>83.589888</v>
      </c>
      <c r="R11" s="1204" t="n">
        <v>83.589888</v>
      </c>
      <c r="S11" s="1204" t="n">
        <v>83.589888</v>
      </c>
      <c r="T11" s="1204" t="n">
        <v>83.589888</v>
      </c>
      <c r="U11" s="1204" t="n">
        <v>83.589888</v>
      </c>
      <c r="V11" s="1205" t="n">
        <v>177.04134</v>
      </c>
      <c r="W11" s="1204" t="n">
        <v>177.04134</v>
      </c>
      <c r="X11" s="1204" t="n">
        <v>177.04134</v>
      </c>
      <c r="Y11" s="1204" t="n">
        <v>177.04134</v>
      </c>
      <c r="Z11" s="1204" t="n">
        <v>177.04134</v>
      </c>
      <c r="AA11" s="1206" t="n">
        <v>177.04134</v>
      </c>
      <c r="AB11" s="1203" t="n"/>
      <c r="AC11" s="1204" t="n"/>
      <c r="AD11" s="1204" t="n"/>
      <c r="AE11" s="1204" t="n"/>
      <c r="AF11" s="1204" t="n"/>
      <c r="AG11" s="1204" t="n"/>
      <c r="AH11" s="1204" t="n"/>
      <c r="AI11" s="1205" t="n"/>
      <c r="AJ11" s="1204" t="n"/>
      <c r="AK11" s="1204" t="n"/>
      <c r="AL11" s="1204" t="n"/>
      <c r="AM11" s="1204" t="n"/>
      <c r="AN11" s="1206" t="n"/>
      <c r="AO11" s="1205" t="n"/>
      <c r="AP11" s="1204" t="n"/>
      <c r="AQ11" s="1204" t="n"/>
      <c r="AR11" s="1204" t="n"/>
      <c r="AS11" s="1204" t="n"/>
      <c r="AT11" s="1204" t="n"/>
      <c r="AU11" s="1205" t="n"/>
      <c r="AV11" s="1204" t="n"/>
      <c r="AW11" s="1204" t="n"/>
      <c r="AX11" s="1204" t="n"/>
      <c r="AY11" s="1204" t="n"/>
      <c r="AZ11" s="1204" t="n"/>
      <c r="BA11" s="1204" t="n"/>
      <c r="BB11" s="1205" t="n"/>
      <c r="BC11" s="1204" t="n"/>
      <c r="BD11" s="1204" t="n"/>
      <c r="BE11" s="1204" t="n"/>
      <c r="BF11" s="1204" t="n"/>
      <c r="BG11" s="1204" t="n"/>
      <c r="BH11" s="1205" t="n"/>
      <c r="BI11" s="1204" t="n"/>
      <c r="BJ11" s="1204" t="n"/>
      <c r="BK11" s="1204" t="n"/>
      <c r="BL11" s="1204" t="n"/>
      <c r="BM11" s="1206" t="n"/>
      <c r="BN11" s="1205" t="n"/>
      <c r="BO11" s="1204" t="n"/>
      <c r="BP11" s="1204" t="n"/>
      <c r="BQ11" s="1204" t="n"/>
      <c r="BR11" s="1204" t="n"/>
      <c r="BS11" s="1206" t="n"/>
      <c r="BT11" s="1205" t="n"/>
      <c r="BU11" s="1204" t="n"/>
      <c r="BV11" s="1204" t="n"/>
      <c r="BW11" s="1204" t="n"/>
      <c r="BX11" s="1204" t="n"/>
      <c r="BY11" s="1207" t="n"/>
    </row>
    <row r="12" ht="16.5" customHeight="1" s="838">
      <c r="B12" s="770" t="n"/>
      <c r="C12" s="739" t="n"/>
      <c r="D12" s="133" t="inlineStr">
        <is>
          <t>`26 실적</t>
        </is>
      </c>
      <c r="E12" s="1228" t="n">
        <v>84.101626</v>
      </c>
      <c r="F12" s="1229" t="n">
        <v>211.542207</v>
      </c>
      <c r="G12" s="1229" t="n">
        <v>211.542207</v>
      </c>
      <c r="H12" s="1229" t="n">
        <v>211.542207</v>
      </c>
      <c r="I12" s="1229" t="n">
        <v>211.542207</v>
      </c>
      <c r="J12" s="1229" t="n">
        <v>207.639138</v>
      </c>
      <c r="K12" s="1230" t="n">
        <v>-28.732097</v>
      </c>
      <c r="L12" s="1229" t="n">
        <v>54.57345</v>
      </c>
      <c r="M12" s="1229" t="n">
        <v>64.381326</v>
      </c>
      <c r="N12" s="1229" t="n">
        <v>54.57345</v>
      </c>
      <c r="O12" s="1231" t="n">
        <v>-5.61001119</v>
      </c>
      <c r="P12" s="1228" t="n">
        <v>-190.504537</v>
      </c>
      <c r="Q12" s="1229" t="n">
        <v>-140.256073</v>
      </c>
      <c r="R12" s="1229" t="n">
        <v>-175.67616</v>
      </c>
      <c r="S12" s="1229" t="n">
        <v>-129.573936</v>
      </c>
      <c r="T12" s="1229" t="n">
        <v>-108.625717</v>
      </c>
      <c r="U12" s="1229" t="n">
        <v>-108.625717</v>
      </c>
      <c r="V12" s="1230" t="n">
        <v>-381.501583</v>
      </c>
      <c r="W12" s="1229" t="n">
        <v>-98.994224</v>
      </c>
      <c r="X12" s="1229" t="n">
        <v>-208.571991</v>
      </c>
      <c r="Y12" s="1229" t="n">
        <v>-208.571991</v>
      </c>
      <c r="Z12" s="1229" t="n">
        <v>-208.571991</v>
      </c>
      <c r="AA12" s="1231" t="n">
        <v>-208.571991</v>
      </c>
      <c r="AB12" s="1228" t="n"/>
      <c r="AC12" s="1229" t="n"/>
      <c r="AD12" s="1229" t="n"/>
      <c r="AE12" s="1229" t="n"/>
      <c r="AF12" s="1229" t="n"/>
      <c r="AG12" s="1229" t="n"/>
      <c r="AH12" s="1229" t="n"/>
      <c r="AI12" s="1230" t="n"/>
      <c r="AJ12" s="1229" t="n"/>
      <c r="AK12" s="1229" t="n"/>
      <c r="AL12" s="1229" t="n"/>
      <c r="AM12" s="1229" t="n"/>
      <c r="AN12" s="1231" t="n"/>
      <c r="AO12" s="1230" t="n"/>
      <c r="AP12" s="1229" t="n"/>
      <c r="AQ12" s="1229" t="n"/>
      <c r="AR12" s="1229" t="n"/>
      <c r="AS12" s="1229" t="n"/>
      <c r="AT12" s="1229" t="n"/>
      <c r="AU12" s="1230" t="n"/>
      <c r="AV12" s="1229" t="n"/>
      <c r="AW12" s="1229" t="n"/>
      <c r="AX12" s="1229" t="n"/>
      <c r="AY12" s="1229" t="n"/>
      <c r="AZ12" s="1229" t="n"/>
      <c r="BA12" s="1229" t="n"/>
      <c r="BB12" s="1230" t="n"/>
      <c r="BC12" s="1229" t="n"/>
      <c r="BD12" s="1229" t="n"/>
      <c r="BE12" s="1229" t="n"/>
      <c r="BF12" s="1229" t="n"/>
      <c r="BG12" s="1229" t="n"/>
      <c r="BH12" s="1230" t="n"/>
      <c r="BI12" s="1229" t="n"/>
      <c r="BJ12" s="1229" t="n"/>
      <c r="BK12" s="1229" t="n"/>
      <c r="BL12" s="1229" t="n"/>
      <c r="BM12" s="1231" t="n"/>
      <c r="BN12" s="1230" t="n"/>
      <c r="BO12" s="1229" t="n"/>
      <c r="BP12" s="1229" t="n"/>
      <c r="BQ12" s="1229" t="n"/>
      <c r="BR12" s="1229" t="n"/>
      <c r="BS12" s="1231" t="n"/>
      <c r="BT12" s="1230" t="n"/>
      <c r="BU12" s="1229" t="n"/>
      <c r="BV12" s="1229" t="n"/>
      <c r="BW12" s="1229" t="n"/>
      <c r="BX12" s="1229" t="n"/>
      <c r="BY12" s="1232" t="n"/>
    </row>
    <row r="13" ht="16.5" customHeight="1" s="838">
      <c r="B13" s="789" t="inlineStr">
        <is>
          <t>판가인상</t>
        </is>
      </c>
      <c r="C13" s="775" t="inlineStr">
        <is>
          <t>판가인상률(%)</t>
        </is>
      </c>
      <c r="D13" s="470" t="inlineStr">
        <is>
          <t>`25 실적</t>
        </is>
      </c>
      <c r="E13" s="1233" t="n">
        <v>0.00775992</v>
      </c>
      <c r="F13" s="1234" t="n">
        <v>0.00775992</v>
      </c>
      <c r="G13" s="1234" t="n">
        <v>0.00775992</v>
      </c>
      <c r="H13" s="1234" t="n">
        <v>0.00775992</v>
      </c>
      <c r="I13" s="1234" t="n">
        <v>0.00775992</v>
      </c>
      <c r="J13" s="1234" t="n">
        <v>0.00775992</v>
      </c>
      <c r="K13" s="1235" t="n">
        <v>0.00886992</v>
      </c>
      <c r="L13" s="1234" t="n">
        <v>0.00886992</v>
      </c>
      <c r="M13" s="1234" t="n">
        <v>0.00886992</v>
      </c>
      <c r="N13" s="1234" t="n">
        <v>0.00886992</v>
      </c>
      <c r="O13" s="1236" t="n">
        <v>0.00886992</v>
      </c>
      <c r="P13" s="1233" t="n">
        <v>0.00682432</v>
      </c>
      <c r="Q13" s="1234" t="n">
        <v>0.00682432</v>
      </c>
      <c r="R13" s="1234" t="n">
        <v>0.00682432</v>
      </c>
      <c r="S13" s="1234" t="n">
        <v>0.00682432</v>
      </c>
      <c r="T13" s="1234" t="n">
        <v>0.00682432</v>
      </c>
      <c r="U13" s="1234" t="n">
        <v>0.00682432</v>
      </c>
      <c r="V13" s="1235" t="n">
        <v>0.01408987</v>
      </c>
      <c r="W13" s="1234" t="n">
        <v>0.01408987</v>
      </c>
      <c r="X13" s="1234" t="n">
        <v>0.01408987</v>
      </c>
      <c r="Y13" s="1234" t="n">
        <v>0.01408987</v>
      </c>
      <c r="Z13" s="1234" t="n">
        <v>0.01408987</v>
      </c>
      <c r="AA13" s="1236" t="n">
        <v>0.01408987</v>
      </c>
      <c r="AB13" s="1233" t="n"/>
      <c r="AC13" s="1234" t="n"/>
      <c r="AD13" s="1234" t="n"/>
      <c r="AE13" s="1234" t="n"/>
      <c r="AF13" s="1234" t="n"/>
      <c r="AG13" s="1234" t="n"/>
      <c r="AH13" s="1234" t="n"/>
      <c r="AI13" s="1235" t="n"/>
      <c r="AJ13" s="1234" t="n"/>
      <c r="AK13" s="1234" t="n"/>
      <c r="AL13" s="1234" t="n"/>
      <c r="AM13" s="1234" t="n"/>
      <c r="AN13" s="1236" t="n"/>
      <c r="AO13" s="1235" t="n"/>
      <c r="AP13" s="1234" t="n"/>
      <c r="AQ13" s="1234" t="n"/>
      <c r="AR13" s="1234" t="n"/>
      <c r="AS13" s="1234" t="n"/>
      <c r="AT13" s="1234" t="n"/>
      <c r="AU13" s="1235" t="n"/>
      <c r="AV13" s="1234" t="n"/>
      <c r="AW13" s="1234" t="n"/>
      <c r="AX13" s="1234" t="n"/>
      <c r="AY13" s="1234" t="n"/>
      <c r="AZ13" s="1234" t="n"/>
      <c r="BA13" s="1234" t="n"/>
      <c r="BB13" s="1235" t="n"/>
      <c r="BC13" s="1234" t="n"/>
      <c r="BD13" s="1234" t="n"/>
      <c r="BE13" s="1234" t="n"/>
      <c r="BF13" s="1234" t="n"/>
      <c r="BG13" s="1234" t="n"/>
      <c r="BH13" s="1235" t="n"/>
      <c r="BI13" s="1234" t="n"/>
      <c r="BJ13" s="1234" t="n"/>
      <c r="BK13" s="1234" t="n"/>
      <c r="BL13" s="1234" t="n"/>
      <c r="BM13" s="1236" t="n"/>
      <c r="BN13" s="1235" t="n"/>
      <c r="BO13" s="1234" t="n"/>
      <c r="BP13" s="1234" t="n"/>
      <c r="BQ13" s="1234" t="n"/>
      <c r="BR13" s="1234" t="n"/>
      <c r="BS13" s="1236" t="n"/>
      <c r="BT13" s="1235" t="n"/>
      <c r="BU13" s="1234" t="n"/>
      <c r="BV13" s="1234" t="n"/>
      <c r="BW13" s="1234" t="n"/>
      <c r="BX13" s="1234" t="n"/>
      <c r="BY13" s="1237" t="n"/>
    </row>
    <row r="14" ht="16.5" customHeight="1" s="838">
      <c r="B14" s="756" t="n"/>
      <c r="C14" s="738" t="n"/>
      <c r="D14" s="831" t="inlineStr">
        <is>
          <t>`26 목표</t>
        </is>
      </c>
      <c r="E14" s="1238" t="n">
        <v>0.01430064</v>
      </c>
      <c r="F14" s="1239" t="n">
        <v>0.01430064</v>
      </c>
      <c r="G14" s="1239" t="n">
        <v>0.01430064</v>
      </c>
      <c r="H14" s="1239" t="n">
        <v>0.01430064</v>
      </c>
      <c r="I14" s="1239" t="n">
        <v>0.01430064</v>
      </c>
      <c r="J14" s="1239" t="n">
        <v>0.01430064</v>
      </c>
      <c r="K14" s="1240" t="n">
        <v>0.01809574</v>
      </c>
      <c r="L14" s="1239" t="n">
        <v>0.01809574</v>
      </c>
      <c r="M14" s="1239" t="n">
        <v>0.01809574</v>
      </c>
      <c r="N14" s="1239" t="n">
        <v>0.01809574</v>
      </c>
      <c r="O14" s="1241" t="n">
        <v>0.01809574</v>
      </c>
      <c r="P14" s="1238" t="n">
        <v>0.01756349</v>
      </c>
      <c r="Q14" s="1239" t="n">
        <v>0.01756349</v>
      </c>
      <c r="R14" s="1239" t="n">
        <v>0.01756349</v>
      </c>
      <c r="S14" s="1239" t="n">
        <v>0.01756349</v>
      </c>
      <c r="T14" s="1239" t="n">
        <v>0.01756349</v>
      </c>
      <c r="U14" s="1239" t="n">
        <v>0.01756349</v>
      </c>
      <c r="V14" s="1240" t="n">
        <v>0.01784333</v>
      </c>
      <c r="W14" s="1239" t="n">
        <v>0.01784333</v>
      </c>
      <c r="X14" s="1239" t="n">
        <v>0.01784333</v>
      </c>
      <c r="Y14" s="1239" t="n">
        <v>0.01784333</v>
      </c>
      <c r="Z14" s="1239" t="n">
        <v>0.01784333</v>
      </c>
      <c r="AA14" s="1241" t="n">
        <v>0.01784333</v>
      </c>
      <c r="AB14" s="1238" t="n"/>
      <c r="AC14" s="1239" t="n"/>
      <c r="AD14" s="1239" t="n"/>
      <c r="AE14" s="1239" t="n"/>
      <c r="AF14" s="1239" t="n"/>
      <c r="AG14" s="1239" t="n"/>
      <c r="AH14" s="1239" t="n"/>
      <c r="AI14" s="1240" t="n"/>
      <c r="AJ14" s="1239" t="n"/>
      <c r="AK14" s="1239" t="n"/>
      <c r="AL14" s="1239" t="n"/>
      <c r="AM14" s="1239" t="n"/>
      <c r="AN14" s="1241" t="n"/>
      <c r="AO14" s="1240" t="n"/>
      <c r="AP14" s="1239" t="n"/>
      <c r="AQ14" s="1239" t="n"/>
      <c r="AR14" s="1239" t="n"/>
      <c r="AS14" s="1239" t="n"/>
      <c r="AT14" s="1239" t="n"/>
      <c r="AU14" s="1240" t="n"/>
      <c r="AV14" s="1239" t="n"/>
      <c r="AW14" s="1239" t="n"/>
      <c r="AX14" s="1239" t="n"/>
      <c r="AY14" s="1239" t="n"/>
      <c r="AZ14" s="1239" t="n"/>
      <c r="BA14" s="1239" t="n"/>
      <c r="BB14" s="1240" t="n"/>
      <c r="BC14" s="1239" t="n"/>
      <c r="BD14" s="1239" t="n"/>
      <c r="BE14" s="1239" t="n"/>
      <c r="BF14" s="1239" t="n"/>
      <c r="BG14" s="1239" t="n"/>
      <c r="BH14" s="1240" t="n"/>
      <c r="BI14" s="1239" t="n"/>
      <c r="BJ14" s="1239" t="n"/>
      <c r="BK14" s="1239" t="n"/>
      <c r="BL14" s="1239" t="n"/>
      <c r="BM14" s="1241" t="n"/>
      <c r="BN14" s="1240" t="n"/>
      <c r="BO14" s="1239" t="n"/>
      <c r="BP14" s="1239" t="n"/>
      <c r="BQ14" s="1239" t="n"/>
      <c r="BR14" s="1239" t="n"/>
      <c r="BS14" s="1241" t="n"/>
      <c r="BT14" s="1240" t="n"/>
      <c r="BU14" s="1239" t="n"/>
      <c r="BV14" s="1239" t="n"/>
      <c r="BW14" s="1239" t="n"/>
      <c r="BX14" s="1239" t="n"/>
      <c r="BY14" s="1242" t="n"/>
    </row>
    <row r="15" ht="16.5" customHeight="1" s="838">
      <c r="B15" s="756" t="n"/>
      <c r="C15" s="739" t="n"/>
      <c r="D15" s="133" t="inlineStr">
        <is>
          <t>`26 실적</t>
        </is>
      </c>
      <c r="E15" s="1243" t="n">
        <v>0.01434856</v>
      </c>
      <c r="F15" s="1244" t="n">
        <v>0.02367701</v>
      </c>
      <c r="G15" s="1244" t="n">
        <v>0.02367701</v>
      </c>
      <c r="H15" s="1244" t="n">
        <v>0.02367701</v>
      </c>
      <c r="I15" s="1244" t="n">
        <v>0.02367701</v>
      </c>
      <c r="J15" s="1244" t="n">
        <v>0.02367701</v>
      </c>
      <c r="K15" s="1245" t="n">
        <v>0.00617723</v>
      </c>
      <c r="L15" s="1244" t="n">
        <v>0.01268975</v>
      </c>
      <c r="M15" s="1244" t="n">
        <v>0.01132708</v>
      </c>
      <c r="N15" s="1244" t="n">
        <v>0.01268975</v>
      </c>
      <c r="O15" s="1246" t="n">
        <v>0.01132708</v>
      </c>
      <c r="P15" s="1243" t="n">
        <v>0.01534085</v>
      </c>
      <c r="Q15" s="1244" t="n">
        <v>0.02385566</v>
      </c>
      <c r="R15" s="1244" t="n">
        <v>0.008706469999999999</v>
      </c>
      <c r="S15" s="1244" t="n">
        <v>0.008706469999999999</v>
      </c>
      <c r="T15" s="1244" t="n">
        <v>0.008706469999999999</v>
      </c>
      <c r="U15" s="1244" t="n">
        <v>0.008706469999999999</v>
      </c>
      <c r="V15" s="1245" t="n">
        <v>0.02677562</v>
      </c>
      <c r="W15" s="1244" t="n">
        <v>0.01762525</v>
      </c>
      <c r="X15" s="1244" t="n">
        <v>0.02527452</v>
      </c>
      <c r="Y15" s="1244" t="n">
        <v>0.02527452</v>
      </c>
      <c r="Z15" s="1244" t="n">
        <v>0.02527452</v>
      </c>
      <c r="AA15" s="1246" t="n">
        <v>0.02527452</v>
      </c>
      <c r="AB15" s="1243" t="n"/>
      <c r="AC15" s="1244" t="n"/>
      <c r="AD15" s="1244" t="n"/>
      <c r="AE15" s="1244" t="n"/>
      <c r="AF15" s="1244" t="n"/>
      <c r="AG15" s="1244" t="n"/>
      <c r="AH15" s="1244" t="n"/>
      <c r="AI15" s="1245" t="n"/>
      <c r="AJ15" s="1244" t="n"/>
      <c r="AK15" s="1244" t="n"/>
      <c r="AL15" s="1244" t="n"/>
      <c r="AM15" s="1244" t="n"/>
      <c r="AN15" s="1246" t="n"/>
      <c r="AO15" s="1245" t="n"/>
      <c r="AP15" s="1244" t="n"/>
      <c r="AQ15" s="1244" t="n"/>
      <c r="AR15" s="1244" t="n"/>
      <c r="AS15" s="1244" t="n"/>
      <c r="AT15" s="1244" t="n"/>
      <c r="AU15" s="1245" t="n"/>
      <c r="AV15" s="1244" t="n"/>
      <c r="AW15" s="1244" t="n"/>
      <c r="AX15" s="1244" t="n"/>
      <c r="AY15" s="1244" t="n"/>
      <c r="AZ15" s="1244" t="n"/>
      <c r="BA15" s="1244" t="n"/>
      <c r="BB15" s="132" t="n"/>
      <c r="BC15" s="133" t="n"/>
      <c r="BD15" s="133" t="n"/>
      <c r="BE15" s="133" t="n"/>
      <c r="BF15" s="133" t="n"/>
      <c r="BG15" s="133" t="n"/>
      <c r="BH15" s="132" t="n"/>
      <c r="BI15" s="133" t="n"/>
      <c r="BJ15" s="133" t="n"/>
      <c r="BK15" s="133" t="n"/>
      <c r="BL15" s="133" t="n"/>
      <c r="BM15" s="134" t="n"/>
      <c r="BN15" s="132" t="n"/>
      <c r="BO15" s="133" t="n"/>
      <c r="BP15" s="133" t="n"/>
      <c r="BQ15" s="133" t="n"/>
      <c r="BR15" s="133" t="n"/>
      <c r="BS15" s="134" t="n"/>
      <c r="BT15" s="132" t="n"/>
      <c r="BU15" s="133" t="n"/>
      <c r="BV15" s="133" t="n"/>
      <c r="BW15" s="133" t="n"/>
      <c r="BX15" s="133" t="n"/>
      <c r="BY15" s="135" t="n"/>
    </row>
    <row r="16" ht="16.5" customHeight="1" s="838">
      <c r="B16" s="756" t="n"/>
      <c r="C16" s="827" t="inlineStr">
        <is>
          <t>개선금액(원)</t>
        </is>
      </c>
      <c r="D16" s="470" t="inlineStr">
        <is>
          <t>`25 실적</t>
        </is>
      </c>
      <c r="E16" s="1223" t="n">
        <v>124.212371</v>
      </c>
      <c r="F16" s="1224" t="n">
        <v>124.212371</v>
      </c>
      <c r="G16" s="1224" t="n">
        <v>124.212371</v>
      </c>
      <c r="H16" s="1224" t="n">
        <v>124.212371</v>
      </c>
      <c r="I16" s="1224" t="n">
        <v>124.212371</v>
      </c>
      <c r="J16" s="1224" t="n">
        <v>124.212371</v>
      </c>
      <c r="K16" s="1225" t="n">
        <v>54.057726</v>
      </c>
      <c r="L16" s="1224" t="n">
        <v>54.057726</v>
      </c>
      <c r="M16" s="1224" t="n">
        <v>54.057726</v>
      </c>
      <c r="N16" s="1224" t="n">
        <v>54.057726</v>
      </c>
      <c r="O16" s="1226" t="n">
        <v>54.057726</v>
      </c>
      <c r="P16" s="1223" t="n">
        <v>54.788784</v>
      </c>
      <c r="Q16" s="1224" t="n">
        <v>54.788784</v>
      </c>
      <c r="R16" s="1224" t="n">
        <v>54.788784</v>
      </c>
      <c r="S16" s="1224" t="n">
        <v>54.788784</v>
      </c>
      <c r="T16" s="1224" t="n">
        <v>54.788784</v>
      </c>
      <c r="U16" s="1224" t="n">
        <v>54.788784</v>
      </c>
      <c r="V16" s="1225" t="n">
        <v>189.010243</v>
      </c>
      <c r="W16" s="1224" t="n">
        <v>189.010243</v>
      </c>
      <c r="X16" s="1224" t="n">
        <v>189.010243</v>
      </c>
      <c r="Y16" s="1224" t="n">
        <v>189.010243</v>
      </c>
      <c r="Z16" s="1224" t="n">
        <v>189.010243</v>
      </c>
      <c r="AA16" s="1226" t="n">
        <v>189.010243</v>
      </c>
      <c r="AB16" s="1223" t="n"/>
      <c r="AC16" s="1224" t="n"/>
      <c r="AD16" s="1224" t="n"/>
      <c r="AE16" s="1224" t="n"/>
      <c r="AF16" s="1224" t="n"/>
      <c r="AG16" s="1224" t="n"/>
      <c r="AH16" s="1224" t="n"/>
      <c r="AI16" s="1225" t="n"/>
      <c r="AJ16" s="1224" t="n"/>
      <c r="AK16" s="1224" t="n"/>
      <c r="AL16" s="1224" t="n"/>
      <c r="AM16" s="1224" t="n"/>
      <c r="AN16" s="1226" t="n"/>
      <c r="AO16" s="1225" t="n"/>
      <c r="AP16" s="1224" t="n"/>
      <c r="AQ16" s="1224" t="n"/>
      <c r="AR16" s="1224" t="n"/>
      <c r="AS16" s="1224" t="n"/>
      <c r="AT16" s="1224" t="n"/>
      <c r="AU16" s="1225" t="n"/>
      <c r="AV16" s="1224" t="n"/>
      <c r="AW16" s="1224" t="n"/>
      <c r="AX16" s="1224" t="n"/>
      <c r="AY16" s="1224" t="n"/>
      <c r="AZ16" s="1224" t="n"/>
      <c r="BA16" s="1224" t="n"/>
      <c r="BB16" s="1225" t="n"/>
      <c r="BC16" s="1224" t="n"/>
      <c r="BD16" s="1224" t="n"/>
      <c r="BE16" s="1224" t="n"/>
      <c r="BF16" s="1224" t="n"/>
      <c r="BG16" s="1224" t="n"/>
      <c r="BH16" s="1225" t="n"/>
      <c r="BI16" s="1224" t="n"/>
      <c r="BJ16" s="1224" t="n"/>
      <c r="BK16" s="1224" t="n"/>
      <c r="BL16" s="1224" t="n"/>
      <c r="BM16" s="1226" t="n"/>
      <c r="BN16" s="1225" t="n"/>
      <c r="BO16" s="1224" t="n"/>
      <c r="BP16" s="1224" t="n"/>
      <c r="BQ16" s="1224" t="n"/>
      <c r="BR16" s="1224" t="n"/>
      <c r="BS16" s="1226" t="n"/>
      <c r="BT16" s="1225" t="n"/>
      <c r="BU16" s="1224" t="n"/>
      <c r="BV16" s="1224" t="n"/>
      <c r="BW16" s="1224" t="n"/>
      <c r="BX16" s="1224" t="n"/>
      <c r="BY16" s="1227" t="n"/>
    </row>
    <row r="17" ht="16.5" customHeight="1" s="838">
      <c r="B17" s="756" t="n"/>
      <c r="C17" s="738" t="n"/>
      <c r="D17" s="831" t="inlineStr">
        <is>
          <t>`26 목표</t>
        </is>
      </c>
      <c r="E17" s="1203" t="n">
        <v>360.057295</v>
      </c>
      <c r="F17" s="1204" t="n">
        <v>360.057295</v>
      </c>
      <c r="G17" s="1204" t="n">
        <v>360.057295</v>
      </c>
      <c r="H17" s="1204" t="n">
        <v>360.057295</v>
      </c>
      <c r="I17" s="1204" t="n">
        <v>360.057295</v>
      </c>
      <c r="J17" s="1204" t="n">
        <v>360.057295</v>
      </c>
      <c r="K17" s="1205" t="n">
        <v>226.6459</v>
      </c>
      <c r="L17" s="1204" t="n">
        <v>226.6459</v>
      </c>
      <c r="M17" s="1204" t="n">
        <v>226.6459</v>
      </c>
      <c r="N17" s="1204" t="n">
        <v>226.6459</v>
      </c>
      <c r="O17" s="1206" t="n">
        <v>226.6459</v>
      </c>
      <c r="P17" s="1203" t="n">
        <v>181.772708</v>
      </c>
      <c r="Q17" s="1204" t="n">
        <v>181.772708</v>
      </c>
      <c r="R17" s="1204" t="n">
        <v>181.772708</v>
      </c>
      <c r="S17" s="1204" t="n">
        <v>181.772708</v>
      </c>
      <c r="T17" s="1204" t="n">
        <v>181.772708</v>
      </c>
      <c r="U17" s="1204" t="n">
        <v>181.772708</v>
      </c>
      <c r="V17" s="1205" t="n">
        <v>478.234935</v>
      </c>
      <c r="W17" s="1204" t="n">
        <v>478.234935</v>
      </c>
      <c r="X17" s="1204" t="n">
        <v>478.234935</v>
      </c>
      <c r="Y17" s="1204" t="n">
        <v>478.234935</v>
      </c>
      <c r="Z17" s="1204" t="n">
        <v>478.234935</v>
      </c>
      <c r="AA17" s="1206" t="n">
        <v>478.234935</v>
      </c>
      <c r="AB17" s="1203" t="n"/>
      <c r="AC17" s="1204" t="n"/>
      <c r="AD17" s="1204" t="n"/>
      <c r="AE17" s="1204" t="n"/>
      <c r="AF17" s="1204" t="n"/>
      <c r="AG17" s="1204" t="n"/>
      <c r="AH17" s="1204" t="n"/>
      <c r="AI17" s="1205" t="n"/>
      <c r="AJ17" s="1204" t="n"/>
      <c r="AK17" s="1204" t="n"/>
      <c r="AL17" s="1204" t="n"/>
      <c r="AM17" s="1204" t="n"/>
      <c r="AN17" s="1206" t="n"/>
      <c r="AO17" s="1205" t="n"/>
      <c r="AP17" s="1204" t="n"/>
      <c r="AQ17" s="1204" t="n"/>
      <c r="AR17" s="1204" t="n"/>
      <c r="AS17" s="1204" t="n"/>
      <c r="AT17" s="1204" t="n"/>
      <c r="AU17" s="1205" t="n"/>
      <c r="AV17" s="1204" t="n"/>
      <c r="AW17" s="1204" t="n"/>
      <c r="AX17" s="1204" t="n"/>
      <c r="AY17" s="1204" t="n"/>
      <c r="AZ17" s="1204" t="n"/>
      <c r="BA17" s="1204" t="n"/>
      <c r="BB17" s="1205" t="n"/>
      <c r="BC17" s="1204" t="n"/>
      <c r="BD17" s="1204" t="n"/>
      <c r="BE17" s="1204" t="n"/>
      <c r="BF17" s="1204" t="n"/>
      <c r="BG17" s="1204" t="n"/>
      <c r="BH17" s="1205" t="n"/>
      <c r="BI17" s="1204" t="n"/>
      <c r="BJ17" s="1204" t="n"/>
      <c r="BK17" s="1204" t="n"/>
      <c r="BL17" s="1204" t="n"/>
      <c r="BM17" s="1206" t="n"/>
      <c r="BN17" s="1205" t="n"/>
      <c r="BO17" s="1204" t="n"/>
      <c r="BP17" s="1204" t="n"/>
      <c r="BQ17" s="1204" t="n"/>
      <c r="BR17" s="1204" t="n"/>
      <c r="BS17" s="1206" t="n"/>
      <c r="BT17" s="1205" t="n"/>
      <c r="BU17" s="1204" t="n"/>
      <c r="BV17" s="1204" t="n"/>
      <c r="BW17" s="1204" t="n"/>
      <c r="BX17" s="1204" t="n"/>
      <c r="BY17" s="1207" t="n"/>
    </row>
    <row r="18" ht="16.5" customHeight="1" s="838">
      <c r="B18" s="770" t="n"/>
      <c r="C18" s="739" t="n"/>
      <c r="D18" s="133" t="inlineStr">
        <is>
          <t>`26 실적</t>
        </is>
      </c>
      <c r="E18" s="1228" t="n">
        <v>233.385915</v>
      </c>
      <c r="F18" s="1229" t="n">
        <v>218.342526</v>
      </c>
      <c r="G18" s="1229" t="n">
        <v>218.342526</v>
      </c>
      <c r="H18" s="1229" t="n">
        <v>218.342526</v>
      </c>
      <c r="I18" s="1229" t="n">
        <v>218.342526</v>
      </c>
      <c r="J18" s="1229" t="n">
        <v>169.309385</v>
      </c>
      <c r="K18" s="1230" t="n">
        <v>36.584044</v>
      </c>
      <c r="L18" s="1229" t="n">
        <v>71.269285</v>
      </c>
      <c r="M18" s="1229" t="n">
        <v>124.703826</v>
      </c>
      <c r="N18" s="1229" t="n">
        <v>71.269285</v>
      </c>
      <c r="O18" s="1231" t="n">
        <v>141.847557</v>
      </c>
      <c r="P18" s="1228" t="n">
        <v>160.087246</v>
      </c>
      <c r="Q18" s="1229" t="n">
        <v>322.251912</v>
      </c>
      <c r="R18" s="1229" t="n">
        <v>101.93723</v>
      </c>
      <c r="S18" s="1229" t="n">
        <v>101.93723</v>
      </c>
      <c r="T18" s="1229" t="n">
        <v>101.93723</v>
      </c>
      <c r="U18" s="1229" t="n">
        <v>101.93723</v>
      </c>
      <c r="V18" s="1230" t="n">
        <v>318.589238</v>
      </c>
      <c r="W18" s="1229" t="n">
        <v>247.779033</v>
      </c>
      <c r="X18" s="1229" t="n">
        <v>392.696996</v>
      </c>
      <c r="Y18" s="1229" t="n">
        <v>392.696996</v>
      </c>
      <c r="Z18" s="1229" t="n">
        <v>392.696996</v>
      </c>
      <c r="AA18" s="1231" t="n">
        <v>392.696996</v>
      </c>
      <c r="AB18" s="1228" t="n"/>
      <c r="AC18" s="1229" t="n"/>
      <c r="AD18" s="1229" t="n"/>
      <c r="AE18" s="1229" t="n"/>
      <c r="AF18" s="1229" t="n"/>
      <c r="AG18" s="1229" t="n"/>
      <c r="AH18" s="1229" t="n"/>
      <c r="AI18" s="1230" t="n"/>
      <c r="AJ18" s="1229" t="n"/>
      <c r="AK18" s="1229" t="n"/>
      <c r="AL18" s="1229" t="n"/>
      <c r="AM18" s="1229" t="n"/>
      <c r="AN18" s="1231" t="n"/>
      <c r="AO18" s="1230" t="n"/>
      <c r="AP18" s="1229" t="n"/>
      <c r="AQ18" s="1229" t="n"/>
      <c r="AR18" s="1229" t="n"/>
      <c r="AS18" s="1229" t="n"/>
      <c r="AT18" s="1229" t="n"/>
      <c r="AU18" s="1230" t="n"/>
      <c r="AV18" s="1229" t="n"/>
      <c r="AW18" s="1229" t="n"/>
      <c r="AX18" s="1229" t="n"/>
      <c r="AY18" s="1229" t="n"/>
      <c r="AZ18" s="1229" t="n"/>
      <c r="BA18" s="1229" t="n"/>
      <c r="BB18" s="1230" t="n"/>
      <c r="BC18" s="1229" t="n"/>
      <c r="BD18" s="1229" t="n"/>
      <c r="BE18" s="1229" t="n"/>
      <c r="BF18" s="1229" t="n"/>
      <c r="BG18" s="1229" t="n"/>
      <c r="BH18" s="1230" t="n"/>
      <c r="BI18" s="1229" t="n"/>
      <c r="BJ18" s="1229" t="n"/>
      <c r="BK18" s="1229" t="n"/>
      <c r="BL18" s="1229" t="n"/>
      <c r="BM18" s="1231" t="n"/>
      <c r="BN18" s="1230" t="n"/>
      <c r="BO18" s="1229" t="n"/>
      <c r="BP18" s="1229" t="n"/>
      <c r="BQ18" s="1229" t="n"/>
      <c r="BR18" s="1229" t="n"/>
      <c r="BS18" s="1231" t="n"/>
      <c r="BT18" s="1230" t="n"/>
      <c r="BU18" s="1229" t="n"/>
      <c r="BV18" s="1229" t="n"/>
      <c r="BW18" s="1229" t="n"/>
      <c r="BX18" s="1229" t="n"/>
      <c r="BY18" s="1232" t="n"/>
    </row>
    <row r="19" ht="16.5" customHeight="1" s="838">
      <c r="B19" s="789" t="inlineStr">
        <is>
          <t>매출차감</t>
        </is>
      </c>
      <c r="C19" s="737" t="inlineStr">
        <is>
          <t>총매출($)</t>
        </is>
      </c>
      <c r="D19" s="470" t="inlineStr">
        <is>
          <t>`25 실적</t>
        </is>
      </c>
      <c r="E19" s="1233" t="n">
        <v>0.09417590000000001</v>
      </c>
      <c r="F19" s="1234" t="n">
        <v>0.09417590000000001</v>
      </c>
      <c r="G19" s="1234" t="n">
        <v>0.09417590000000001</v>
      </c>
      <c r="H19" s="1234" t="n">
        <v>0.09417590000000001</v>
      </c>
      <c r="I19" s="1234" t="n">
        <v>0.09417590000000001</v>
      </c>
      <c r="J19" s="1234" t="n">
        <v>0.09417590000000001</v>
      </c>
      <c r="K19" s="1235" t="n">
        <v>0.16518594</v>
      </c>
      <c r="L19" s="1234" t="n">
        <v>0.16518594</v>
      </c>
      <c r="M19" s="1234" t="n">
        <v>0.16518594</v>
      </c>
      <c r="N19" s="1234" t="n">
        <v>0.16518594</v>
      </c>
      <c r="O19" s="1236" t="n">
        <v>0.16518594</v>
      </c>
      <c r="P19" s="1233" t="n">
        <v>0.14079385</v>
      </c>
      <c r="Q19" s="1234" t="n">
        <v>0.14079385</v>
      </c>
      <c r="R19" s="1234" t="n">
        <v>0.14079385</v>
      </c>
      <c r="S19" s="1234" t="n">
        <v>0.14079385</v>
      </c>
      <c r="T19" s="1234" t="n">
        <v>0.14079385</v>
      </c>
      <c r="U19" s="1234" t="n">
        <v>0.14079385</v>
      </c>
      <c r="V19" s="1235" t="n">
        <v>0.21030877</v>
      </c>
      <c r="W19" s="1234" t="n">
        <v>0.21030877</v>
      </c>
      <c r="X19" s="1234" t="n">
        <v>0.21030877</v>
      </c>
      <c r="Y19" s="1234" t="n">
        <v>0.21030877</v>
      </c>
      <c r="Z19" s="1234" t="n">
        <v>0.21030877</v>
      </c>
      <c r="AA19" s="1236" t="n">
        <v>0.21030877</v>
      </c>
      <c r="AB19" s="1233" t="n"/>
      <c r="AC19" s="1234" t="n"/>
      <c r="AD19" s="1234" t="n"/>
      <c r="AE19" s="1234" t="n"/>
      <c r="AF19" s="1234" t="n"/>
      <c r="AG19" s="1234" t="n"/>
      <c r="AH19" s="1234" t="n"/>
      <c r="AI19" s="1235" t="n"/>
      <c r="AJ19" s="1234" t="n"/>
      <c r="AK19" s="1234" t="n"/>
      <c r="AL19" s="1234" t="n"/>
      <c r="AM19" s="1234" t="n"/>
      <c r="AN19" s="1236" t="n"/>
      <c r="AO19" s="1235" t="n"/>
      <c r="AP19" s="1234" t="n"/>
      <c r="AQ19" s="1234" t="n"/>
      <c r="AR19" s="1234" t="n"/>
      <c r="AS19" s="1234" t="n"/>
      <c r="AT19" s="1234" t="n"/>
      <c r="AU19" s="1235" t="n"/>
      <c r="AV19" s="1234" t="n"/>
      <c r="AW19" s="1234" t="n"/>
      <c r="AX19" s="1234" t="n"/>
      <c r="AY19" s="1234" t="n"/>
      <c r="AZ19" s="1234" t="n"/>
      <c r="BA19" s="1234" t="n"/>
      <c r="BB19" s="1235" t="n"/>
      <c r="BC19" s="1234" t="n"/>
      <c r="BD19" s="1234" t="n"/>
      <c r="BE19" s="1234" t="n"/>
      <c r="BF19" s="1234" t="n"/>
      <c r="BG19" s="1234" t="n"/>
      <c r="BH19" s="1235" t="n"/>
      <c r="BI19" s="1234" t="n"/>
      <c r="BJ19" s="1234" t="n"/>
      <c r="BK19" s="1234" t="n"/>
      <c r="BL19" s="1234" t="n"/>
      <c r="BM19" s="1236" t="n"/>
      <c r="BN19" s="1235" t="n"/>
      <c r="BO19" s="1234" t="n"/>
      <c r="BP19" s="1234" t="n"/>
      <c r="BQ19" s="1234" t="n"/>
      <c r="BR19" s="1234" t="n"/>
      <c r="BS19" s="1236" t="n"/>
      <c r="BT19" s="1235" t="n"/>
      <c r="BU19" s="1234" t="n"/>
      <c r="BV19" s="1234" t="n"/>
      <c r="BW19" s="1234" t="n"/>
      <c r="BX19" s="1234" t="n"/>
      <c r="BY19" s="1237" t="n"/>
    </row>
    <row r="20" ht="16.5" customHeight="1" s="838">
      <c r="B20" s="756" t="n"/>
      <c r="C20" s="738" t="n"/>
      <c r="D20" s="831" t="inlineStr">
        <is>
          <t>`26 목표</t>
        </is>
      </c>
      <c r="E20" s="1238" t="n">
        <v>0.12642729</v>
      </c>
      <c r="F20" s="1239" t="n">
        <v>0.12642729</v>
      </c>
      <c r="G20" s="1239" t="n">
        <v>0.12642729</v>
      </c>
      <c r="H20" s="1239" t="n">
        <v>0.12642729</v>
      </c>
      <c r="I20" s="1239" t="n">
        <v>0.12642729</v>
      </c>
      <c r="J20" s="1239" t="n">
        <v>0.12642729</v>
      </c>
      <c r="K20" s="1240" t="n">
        <v>0.19824717</v>
      </c>
      <c r="L20" s="1239" t="n">
        <v>0.19824717</v>
      </c>
      <c r="M20" s="1239" t="n">
        <v>0.19824717</v>
      </c>
      <c r="N20" s="1239" t="n">
        <v>0.19824717</v>
      </c>
      <c r="O20" s="1241" t="n">
        <v>0.19824717</v>
      </c>
      <c r="P20" s="1238" t="n">
        <v>0.1609407</v>
      </c>
      <c r="Q20" s="1239" t="n">
        <v>0.1609407</v>
      </c>
      <c r="R20" s="1239" t="n">
        <v>0.1609407</v>
      </c>
      <c r="S20" s="1239" t="n">
        <v>0.1609407</v>
      </c>
      <c r="T20" s="1239" t="n">
        <v>0.1609407</v>
      </c>
      <c r="U20" s="1239" t="n">
        <v>0.1609407</v>
      </c>
      <c r="V20" s="1240" t="n">
        <v>0.18833571</v>
      </c>
      <c r="W20" s="1239" t="n">
        <v>0.18833571</v>
      </c>
      <c r="X20" s="1239" t="n">
        <v>0.18833571</v>
      </c>
      <c r="Y20" s="1239" t="n">
        <v>0.18833571</v>
      </c>
      <c r="Z20" s="1239" t="n">
        <v>0.18833571</v>
      </c>
      <c r="AA20" s="1241" t="n">
        <v>0.18833571</v>
      </c>
      <c r="AB20" s="1238" t="n"/>
      <c r="AC20" s="1239" t="n"/>
      <c r="AD20" s="1239" t="n"/>
      <c r="AE20" s="1239" t="n"/>
      <c r="AF20" s="1239" t="n"/>
      <c r="AG20" s="1239" t="n"/>
      <c r="AH20" s="1239" t="n"/>
      <c r="AI20" s="1240" t="n"/>
      <c r="AJ20" s="1239" t="n"/>
      <c r="AK20" s="1239" t="n"/>
      <c r="AL20" s="1239" t="n"/>
      <c r="AM20" s="1239" t="n"/>
      <c r="AN20" s="1241" t="n"/>
      <c r="AO20" s="1240" t="n"/>
      <c r="AP20" s="1239" t="n"/>
      <c r="AQ20" s="1239" t="n"/>
      <c r="AR20" s="1239" t="n"/>
      <c r="AS20" s="1239" t="n"/>
      <c r="AT20" s="1239" t="n"/>
      <c r="AU20" s="1240" t="n"/>
      <c r="AV20" s="1239" t="n"/>
      <c r="AW20" s="1239" t="n"/>
      <c r="AX20" s="1239" t="n"/>
      <c r="AY20" s="1239" t="n"/>
      <c r="AZ20" s="1239" t="n"/>
      <c r="BA20" s="1239" t="n"/>
      <c r="BB20" s="1240" t="n"/>
      <c r="BC20" s="1239" t="n"/>
      <c r="BD20" s="1239" t="n"/>
      <c r="BE20" s="1239" t="n"/>
      <c r="BF20" s="1239" t="n"/>
      <c r="BG20" s="1239" t="n"/>
      <c r="BH20" s="1240" t="n"/>
      <c r="BI20" s="1239" t="n"/>
      <c r="BJ20" s="1239" t="n"/>
      <c r="BK20" s="1239" t="n"/>
      <c r="BL20" s="1239" t="n"/>
      <c r="BM20" s="1241" t="n"/>
      <c r="BN20" s="1240" t="n"/>
      <c r="BO20" s="1239" t="n"/>
      <c r="BP20" s="1239" t="n"/>
      <c r="BQ20" s="1239" t="n"/>
      <c r="BR20" s="1239" t="n"/>
      <c r="BS20" s="1241" t="n"/>
      <c r="BT20" s="1240" t="n"/>
      <c r="BU20" s="1239" t="n"/>
      <c r="BV20" s="1239" t="n"/>
      <c r="BW20" s="1239" t="n"/>
      <c r="BX20" s="1239" t="n"/>
      <c r="BY20" s="1242" t="n"/>
    </row>
    <row r="21" ht="16.5" customHeight="1" s="838">
      <c r="B21" s="756" t="n"/>
      <c r="C21" s="739" t="n"/>
      <c r="D21" s="133" t="inlineStr">
        <is>
          <t>`26 실적</t>
        </is>
      </c>
      <c r="E21" s="1243" t="n">
        <v>0.16519114</v>
      </c>
      <c r="F21" s="1244" t="n">
        <v>0.20941988</v>
      </c>
      <c r="G21" s="1244" t="n">
        <v>0.20941988</v>
      </c>
      <c r="H21" s="1244" t="n">
        <v>0.20941988</v>
      </c>
      <c r="I21" s="1244" t="n">
        <v>0.20941988</v>
      </c>
      <c r="J21" s="1244" t="n">
        <v>0.14702318</v>
      </c>
      <c r="K21" s="1245" t="n">
        <v>0.19007101</v>
      </c>
      <c r="L21" s="1244" t="n">
        <v>0.17437869</v>
      </c>
      <c r="M21" s="1244" t="n">
        <v>0.19881892</v>
      </c>
      <c r="N21" s="1244" t="n">
        <v>0.17437869</v>
      </c>
      <c r="O21" s="1246" t="n">
        <v>0.17557706</v>
      </c>
      <c r="P21" s="1243" t="n">
        <v>0.17948961</v>
      </c>
      <c r="Q21" s="1244" t="n">
        <v>0.23775695</v>
      </c>
      <c r="R21" s="1244" t="n">
        <v>0.14780275</v>
      </c>
      <c r="S21" s="1244" t="n">
        <v>0.22693117</v>
      </c>
      <c r="T21" s="1244" t="n">
        <v>0.2267732</v>
      </c>
      <c r="U21" s="1244" t="n">
        <v>0.2267732</v>
      </c>
      <c r="V21" s="1245" t="n">
        <v>0.19819191</v>
      </c>
      <c r="W21" s="1244" t="n">
        <v>0.22312695</v>
      </c>
      <c r="X21" s="1244" t="n">
        <v>0.16722078</v>
      </c>
      <c r="Y21" s="1244" t="n">
        <v>0.16722078</v>
      </c>
      <c r="Z21" s="1244" t="n">
        <v>0.16722078</v>
      </c>
      <c r="AA21" s="1246" t="n">
        <v>0.16722078</v>
      </c>
      <c r="AB21" s="1243" t="n"/>
      <c r="AC21" s="1244" t="n"/>
      <c r="AD21" s="1244" t="n"/>
      <c r="AE21" s="1244" t="n"/>
      <c r="AF21" s="1244" t="n"/>
      <c r="AG21" s="1244" t="n"/>
      <c r="AH21" s="1244" t="n"/>
      <c r="AI21" s="1245" t="n"/>
      <c r="AJ21" s="1244" t="n"/>
      <c r="AK21" s="1244" t="n"/>
      <c r="AL21" s="1244" t="n"/>
      <c r="AM21" s="1244" t="n"/>
      <c r="AN21" s="1246" t="n"/>
      <c r="AO21" s="1245" t="n"/>
      <c r="AP21" s="1244" t="n"/>
      <c r="AQ21" s="1244" t="n"/>
      <c r="AR21" s="1244" t="n"/>
      <c r="AS21" s="1244" t="n"/>
      <c r="AT21" s="1244" t="n"/>
      <c r="AU21" s="1245" t="n"/>
      <c r="AV21" s="1244" t="n"/>
      <c r="AW21" s="1244" t="n"/>
      <c r="AX21" s="1244" t="n"/>
      <c r="AY21" s="1244" t="n"/>
      <c r="AZ21" s="1244" t="n"/>
      <c r="BA21" s="1244" t="n"/>
      <c r="BB21" s="132" t="n"/>
      <c r="BC21" s="133" t="n"/>
      <c r="BD21" s="133" t="n"/>
      <c r="BE21" s="133" t="n"/>
      <c r="BF21" s="133" t="n"/>
      <c r="BG21" s="133" t="n"/>
      <c r="BH21" s="132" t="n"/>
      <c r="BI21" s="133" t="n"/>
      <c r="BJ21" s="133" t="n"/>
      <c r="BK21" s="133" t="n"/>
      <c r="BL21" s="133" t="n"/>
      <c r="BM21" s="134" t="n"/>
      <c r="BN21" s="132" t="n"/>
      <c r="BO21" s="133" t="n"/>
      <c r="BP21" s="133" t="n"/>
      <c r="BQ21" s="133" t="n"/>
      <c r="BR21" s="133" t="n"/>
      <c r="BS21" s="134" t="n"/>
      <c r="BT21" s="132" t="n"/>
      <c r="BU21" s="133" t="n"/>
      <c r="BV21" s="133" t="n"/>
      <c r="BW21" s="133" t="n"/>
      <c r="BX21" s="133" t="n"/>
      <c r="BY21" s="135" t="n"/>
    </row>
    <row r="22" ht="16.5" customHeight="1" s="838">
      <c r="B22" s="756" t="n"/>
      <c r="C22" s="829" t="inlineStr">
        <is>
          <t>개선금액(원)</t>
        </is>
      </c>
      <c r="D22" s="831" t="inlineStr">
        <is>
          <t>`25 실적</t>
        </is>
      </c>
      <c r="E22" s="1203" t="n">
        <v>142.169</v>
      </c>
      <c r="F22" s="1204" t="n">
        <v>142.169</v>
      </c>
      <c r="G22" s="1204" t="n">
        <v>142.169</v>
      </c>
      <c r="H22" s="1204" t="n">
        <v>142.169</v>
      </c>
      <c r="I22" s="1204" t="n">
        <v>142.169</v>
      </c>
      <c r="J22" s="1204" t="n">
        <v>142.169</v>
      </c>
      <c r="K22" s="1205" t="n">
        <v>27.996083</v>
      </c>
      <c r="L22" s="1204" t="n">
        <v>27.996083</v>
      </c>
      <c r="M22" s="1204" t="n">
        <v>27.996083</v>
      </c>
      <c r="N22" s="1204" t="n">
        <v>27.996083</v>
      </c>
      <c r="O22" s="1206" t="n">
        <v>27.996083</v>
      </c>
      <c r="P22" s="1203" t="n">
        <v>-122.13686</v>
      </c>
      <c r="Q22" s="1204" t="n">
        <v>-122.13686</v>
      </c>
      <c r="R22" s="1204" t="n">
        <v>-122.13686</v>
      </c>
      <c r="S22" s="1204" t="n">
        <v>-122.13686</v>
      </c>
      <c r="T22" s="1204" t="n">
        <v>-122.13686</v>
      </c>
      <c r="U22" s="1204" t="n">
        <v>-122.13686</v>
      </c>
      <c r="V22" s="1205" t="n">
        <v>-223.632369</v>
      </c>
      <c r="W22" s="1204" t="n">
        <v>-223.632369</v>
      </c>
      <c r="X22" s="1204" t="n">
        <v>-223.632369</v>
      </c>
      <c r="Y22" s="1204" t="n">
        <v>-223.632369</v>
      </c>
      <c r="Z22" s="1204" t="n">
        <v>-223.632369</v>
      </c>
      <c r="AA22" s="1206" t="n">
        <v>-223.632369</v>
      </c>
      <c r="AB22" s="1203" t="n"/>
      <c r="AC22" s="1204" t="n"/>
      <c r="AD22" s="1204" t="n"/>
      <c r="AE22" s="1204" t="n"/>
      <c r="AF22" s="1204" t="n"/>
      <c r="AG22" s="1204" t="n"/>
      <c r="AH22" s="1204" t="n"/>
      <c r="AI22" s="1205" t="n"/>
      <c r="AJ22" s="1204" t="n"/>
      <c r="AK22" s="1204" t="n"/>
      <c r="AL22" s="1204" t="n"/>
      <c r="AM22" s="1204" t="n"/>
      <c r="AN22" s="1206" t="n"/>
      <c r="AO22" s="1205" t="n"/>
      <c r="AP22" s="1204" t="n"/>
      <c r="AQ22" s="1204" t="n"/>
      <c r="AR22" s="1204" t="n"/>
      <c r="AS22" s="1204" t="n"/>
      <c r="AT22" s="1204" t="n"/>
      <c r="AU22" s="1205" t="n"/>
      <c r="AV22" s="1204" t="n"/>
      <c r="AW22" s="1204" t="n"/>
      <c r="AX22" s="1204" t="n"/>
      <c r="AY22" s="1204" t="n"/>
      <c r="AZ22" s="1204" t="n"/>
      <c r="BA22" s="1204" t="n"/>
      <c r="BB22" s="1205" t="n"/>
      <c r="BC22" s="1204" t="n"/>
      <c r="BD22" s="1204" t="n"/>
      <c r="BE22" s="1204" t="n"/>
      <c r="BF22" s="1204" t="n"/>
      <c r="BG22" s="1204" t="n"/>
      <c r="BH22" s="1205" t="n"/>
      <c r="BI22" s="1204" t="n"/>
      <c r="BJ22" s="1204" t="n"/>
      <c r="BK22" s="1204" t="n"/>
      <c r="BL22" s="1204" t="n"/>
      <c r="BM22" s="1206" t="n"/>
      <c r="BN22" s="1205" t="n"/>
      <c r="BO22" s="1204" t="n"/>
      <c r="BP22" s="1204" t="n"/>
      <c r="BQ22" s="1204" t="n"/>
      <c r="BR22" s="1204" t="n"/>
      <c r="BS22" s="1206" t="n"/>
      <c r="BT22" s="1205" t="n"/>
      <c r="BU22" s="1204" t="n"/>
      <c r="BV22" s="1204" t="n"/>
      <c r="BW22" s="1204" t="n"/>
      <c r="BX22" s="1204" t="n"/>
      <c r="BY22" s="1207" t="n"/>
    </row>
    <row r="23" ht="16.5" customHeight="1" s="838">
      <c r="B23" s="756" t="n"/>
      <c r="C23" s="738" t="n"/>
      <c r="D23" s="831" t="inlineStr">
        <is>
          <t>`26 목표</t>
        </is>
      </c>
      <c r="E23" s="1203" t="n">
        <v>-212.615667</v>
      </c>
      <c r="F23" s="1204" t="n">
        <v>-212.615667</v>
      </c>
      <c r="G23" s="1204" t="n">
        <v>-212.615667</v>
      </c>
      <c r="H23" s="1204" t="n">
        <v>-212.615667</v>
      </c>
      <c r="I23" s="1204" t="n">
        <v>-212.615667</v>
      </c>
      <c r="J23" s="1204" t="n">
        <v>-212.615667</v>
      </c>
      <c r="K23" s="1205" t="n">
        <v>-246.417639</v>
      </c>
      <c r="L23" s="1204" t="n">
        <v>-246.417639</v>
      </c>
      <c r="M23" s="1204" t="n">
        <v>-246.417639</v>
      </c>
      <c r="N23" s="1204" t="n">
        <v>-246.417639</v>
      </c>
      <c r="O23" s="1206" t="n">
        <v>-246.417639</v>
      </c>
      <c r="P23" s="1203" t="n">
        <v>-252.732068</v>
      </c>
      <c r="Q23" s="1204" t="n">
        <v>-252.732068</v>
      </c>
      <c r="R23" s="1204" t="n">
        <v>-252.732068</v>
      </c>
      <c r="S23" s="1204" t="n">
        <v>-252.732068</v>
      </c>
      <c r="T23" s="1204" t="n">
        <v>-252.732068</v>
      </c>
      <c r="U23" s="1204" t="n">
        <v>-252.732068</v>
      </c>
      <c r="V23" s="1205" t="n">
        <v>-184.848071</v>
      </c>
      <c r="W23" s="1204" t="n">
        <v>-184.848071</v>
      </c>
      <c r="X23" s="1204" t="n">
        <v>-184.848071</v>
      </c>
      <c r="Y23" s="1204" t="n">
        <v>-184.848071</v>
      </c>
      <c r="Z23" s="1204" t="n">
        <v>-184.848071</v>
      </c>
      <c r="AA23" s="1206" t="n">
        <v>-184.848071</v>
      </c>
      <c r="AB23" s="1203" t="n"/>
      <c r="AC23" s="1204" t="n"/>
      <c r="AD23" s="1204" t="n"/>
      <c r="AE23" s="1204" t="n"/>
      <c r="AF23" s="1204" t="n"/>
      <c r="AG23" s="1204" t="n"/>
      <c r="AH23" s="1204" t="n"/>
      <c r="AI23" s="1205" t="n"/>
      <c r="AJ23" s="1204" t="n"/>
      <c r="AK23" s="1204" t="n"/>
      <c r="AL23" s="1204" t="n"/>
      <c r="AM23" s="1204" t="n"/>
      <c r="AN23" s="1206" t="n"/>
      <c r="AO23" s="1205" t="n"/>
      <c r="AP23" s="1204" t="n"/>
      <c r="AQ23" s="1204" t="n"/>
      <c r="AR23" s="1204" t="n"/>
      <c r="AS23" s="1204" t="n"/>
      <c r="AT23" s="1204" t="n"/>
      <c r="AU23" s="1205" t="n"/>
      <c r="AV23" s="1204" t="n"/>
      <c r="AW23" s="1204" t="n"/>
      <c r="AX23" s="1204" t="n"/>
      <c r="AY23" s="1204" t="n"/>
      <c r="AZ23" s="1204" t="n"/>
      <c r="BA23" s="1204" t="n"/>
      <c r="BB23" s="1205" t="n"/>
      <c r="BC23" s="1204" t="n"/>
      <c r="BD23" s="1204" t="n"/>
      <c r="BE23" s="1204" t="n"/>
      <c r="BF23" s="1204" t="n"/>
      <c r="BG23" s="1204" t="n"/>
      <c r="BH23" s="1205" t="n"/>
      <c r="BI23" s="1204" t="n"/>
      <c r="BJ23" s="1204" t="n"/>
      <c r="BK23" s="1204" t="n"/>
      <c r="BL23" s="1204" t="n"/>
      <c r="BM23" s="1206" t="n"/>
      <c r="BN23" s="1205" t="n"/>
      <c r="BO23" s="1204" t="n"/>
      <c r="BP23" s="1204" t="n"/>
      <c r="BQ23" s="1204" t="n"/>
      <c r="BR23" s="1204" t="n"/>
      <c r="BS23" s="1206" t="n"/>
      <c r="BT23" s="1205" t="n"/>
      <c r="BU23" s="1204" t="n"/>
      <c r="BV23" s="1204" t="n"/>
      <c r="BW23" s="1204" t="n"/>
      <c r="BX23" s="1204" t="n"/>
      <c r="BY23" s="1207" t="n"/>
    </row>
    <row r="24" ht="17.25" customHeight="1" s="838" thickBot="1">
      <c r="B24" s="770" t="n"/>
      <c r="C24" s="739" t="n"/>
      <c r="D24" s="145" t="inlineStr">
        <is>
          <t>`26 실적</t>
        </is>
      </c>
      <c r="E24" s="1247" t="n">
        <v>-633.313316</v>
      </c>
      <c r="F24" s="1248" t="n">
        <v>-666.049806</v>
      </c>
      <c r="G24" s="1248" t="n">
        <v>-666.049806</v>
      </c>
      <c r="H24" s="1248" t="n">
        <v>-666.049806</v>
      </c>
      <c r="I24" s="1248" t="n">
        <v>-666.049806</v>
      </c>
      <c r="J24" s="1248" t="n">
        <v>-346.962793</v>
      </c>
      <c r="K24" s="1249" t="n">
        <v>-173.967429</v>
      </c>
      <c r="L24" s="1248" t="n">
        <v>-121.804448</v>
      </c>
      <c r="M24" s="1248" t="n">
        <v>-74.622304</v>
      </c>
      <c r="N24" s="1248" t="n">
        <v>-121.804448</v>
      </c>
      <c r="O24" s="1250" t="n">
        <v>-48.342526</v>
      </c>
      <c r="P24" s="1247" t="n">
        <v>-313.811933</v>
      </c>
      <c r="Q24" s="1248" t="n">
        <v>-197.339526</v>
      </c>
      <c r="R24" s="1248" t="n">
        <v>-122.531106</v>
      </c>
      <c r="S24" s="1248" t="n">
        <v>-169.029146</v>
      </c>
      <c r="T24" s="1248" t="n">
        <v>-167.58434</v>
      </c>
      <c r="U24" s="1248" t="n">
        <v>-167.58434</v>
      </c>
      <c r="V24" s="1249" t="n">
        <v>-200.022578</v>
      </c>
      <c r="W24" s="1248" t="n">
        <v>-280.112896</v>
      </c>
      <c r="X24" s="1248" t="n">
        <v>-190.128591</v>
      </c>
      <c r="Y24" s="1248" t="n">
        <v>-190.128591</v>
      </c>
      <c r="Z24" s="1248" t="n">
        <v>-190.128591</v>
      </c>
      <c r="AA24" s="1250" t="n">
        <v>-190.128591</v>
      </c>
      <c r="AB24" s="1247" t="n"/>
      <c r="AC24" s="1248" t="n"/>
      <c r="AD24" s="1248" t="n"/>
      <c r="AE24" s="1248" t="n"/>
      <c r="AF24" s="1248" t="n"/>
      <c r="AG24" s="1248" t="n"/>
      <c r="AH24" s="1248" t="n"/>
      <c r="AI24" s="1249" t="n"/>
      <c r="AJ24" s="1248" t="n"/>
      <c r="AK24" s="1248" t="n"/>
      <c r="AL24" s="1248" t="n"/>
      <c r="AM24" s="1248" t="n"/>
      <c r="AN24" s="1250" t="n"/>
      <c r="AO24" s="1249" t="n"/>
      <c r="AP24" s="1248" t="n"/>
      <c r="AQ24" s="1248" t="n"/>
      <c r="AR24" s="1248" t="n"/>
      <c r="AS24" s="1248" t="n"/>
      <c r="AT24" s="1248" t="n"/>
      <c r="AU24" s="1249" t="n"/>
      <c r="AV24" s="1248" t="n"/>
      <c r="AW24" s="1248" t="n"/>
      <c r="AX24" s="1248" t="n"/>
      <c r="AY24" s="1248" t="n"/>
      <c r="AZ24" s="1248" t="n"/>
      <c r="BA24" s="1248" t="n"/>
      <c r="BB24" s="1249" t="n"/>
      <c r="BC24" s="1248" t="n"/>
      <c r="BD24" s="1248" t="n"/>
      <c r="BE24" s="1248" t="n"/>
      <c r="BF24" s="1248" t="n"/>
      <c r="BG24" s="1248" t="n"/>
      <c r="BH24" s="1249" t="n"/>
      <c r="BI24" s="1248" t="n"/>
      <c r="BJ24" s="1248" t="n"/>
      <c r="BK24" s="1248" t="n"/>
      <c r="BL24" s="1248" t="n"/>
      <c r="BM24" s="1250" t="n"/>
      <c r="BN24" s="1249" t="n"/>
      <c r="BO24" s="1248" t="n"/>
      <c r="BP24" s="1248" t="n"/>
      <c r="BQ24" s="1248" t="n"/>
      <c r="BR24" s="1248" t="n"/>
      <c r="BS24" s="1250" t="n"/>
      <c r="BT24" s="1249" t="n"/>
      <c r="BU24" s="1248" t="n"/>
      <c r="BV24" s="1248" t="n"/>
      <c r="BW24" s="1248" t="n"/>
      <c r="BX24" s="1248" t="n"/>
      <c r="BY24" s="1251" t="n"/>
    </row>
    <row r="25" ht="16.5" customHeight="1" s="838">
      <c r="B25" s="830" t="inlineStr">
        <is>
          <t>지역별 개선금액</t>
        </is>
      </c>
      <c r="C25" s="750" t="inlineStr">
        <is>
          <t>지역 합계</t>
        </is>
      </c>
      <c r="D25" s="530" t="inlineStr">
        <is>
          <t>`26 목표</t>
        </is>
      </c>
      <c r="E25" s="1252">
        <f>SUM(E27,E29,E31,E33,E35,E37,E39,E41)</f>
        <v/>
      </c>
      <c r="F25" s="1253">
        <f>SUM(F27,F29,F31,F33,F35,F37,F39,F41)</f>
        <v/>
      </c>
      <c r="G25" s="1253">
        <f>SUM(G27,G29,G31,G33,G35,G37,G39,G41)</f>
        <v/>
      </c>
      <c r="H25" s="1253">
        <f>SUM(H27,H29,H31,H33,H35,H37,H39,H41)</f>
        <v/>
      </c>
      <c r="I25" s="1253">
        <f>SUM(I27,I29,I31,I33,I35,I37,I39,I41)</f>
        <v/>
      </c>
      <c r="J25" s="1253">
        <f>SUM(J27,J29,J31,J33,J35,J37,J39,J41)</f>
        <v/>
      </c>
      <c r="K25" s="1254">
        <f>SUM(K27,K29,K31,K33,K35,K37,K39,K41)</f>
        <v/>
      </c>
      <c r="L25" s="1253">
        <f>SUM(L27,L29,L31,L33,L35,L37,L39,L41)</f>
        <v/>
      </c>
      <c r="M25" s="1253">
        <f>SUM(M27,M29,M31,M33,M35,M37,M39,M41)</f>
        <v/>
      </c>
      <c r="N25" s="1253">
        <f>SUM(N27,N29,N31,N33,N35,N37,N39,N41)</f>
        <v/>
      </c>
      <c r="O25" s="1255">
        <f>SUM(O27,O29,O31,O33,O35,O37,O39,O41)</f>
        <v/>
      </c>
      <c r="P25" s="1252">
        <f>SUM(P27,P29,P31,P33,P35,P37,P39,P41)</f>
        <v/>
      </c>
      <c r="Q25" s="1253">
        <f>SUM(Q27,Q29,Q31,Q33,Q35,Q37,Q39,Q41)</f>
        <v/>
      </c>
      <c r="R25" s="1253">
        <f>SUM(R27,R29,R31,R33,R35,R37,R39,R41)</f>
        <v/>
      </c>
      <c r="S25" s="1253">
        <f>SUM(S27,S29,S31,S33,S35,S37,S39,S41)</f>
        <v/>
      </c>
      <c r="T25" s="1253">
        <f>SUM(T27,T29,T31,T33,T35,T37,T39,T41)</f>
        <v/>
      </c>
      <c r="U25" s="1253">
        <f>SUM(U27,U29,U31,U33,U35,U37,U39,U41)</f>
        <v/>
      </c>
      <c r="V25" s="1254">
        <f>SUM(V27,V29,V31,V33,V35,V37,V39,V41)</f>
        <v/>
      </c>
      <c r="W25" s="1253">
        <f>SUM(W27,W29,W31,W33,W35,W37,W39,W41)</f>
        <v/>
      </c>
      <c r="X25" s="1253">
        <f>SUM(X27,X29,X31,X33,X35,X37,X39,X41)</f>
        <v/>
      </c>
      <c r="Y25" s="1253">
        <f>SUM(Y27,Y29,Y31,Y33,Y35,Y37,Y39,Y41)</f>
        <v/>
      </c>
      <c r="Z25" s="1253">
        <f>SUM(Z27,Z29,Z31,Z33,Z35,Z37,Z39,Z41)</f>
        <v/>
      </c>
      <c r="AA25" s="1255">
        <f>SUM(AA27,AA29,AA31,AA33,AA35,AA37,AA39,AA41)</f>
        <v/>
      </c>
      <c r="AB25" s="1252" t="n"/>
      <c r="AC25" s="1253" t="n"/>
      <c r="AD25" s="1253" t="n"/>
      <c r="AE25" s="1253" t="n"/>
      <c r="AF25" s="1253" t="n"/>
      <c r="AG25" s="1253" t="n"/>
      <c r="AH25" s="1253" t="n"/>
      <c r="AI25" s="1254" t="n"/>
      <c r="AJ25" s="1253" t="n"/>
      <c r="AK25" s="1253" t="n"/>
      <c r="AL25" s="1253" t="n"/>
      <c r="AM25" s="1253" t="n"/>
      <c r="AN25" s="1255" t="n"/>
      <c r="AO25" s="1254" t="n"/>
      <c r="AP25" s="1253" t="n"/>
      <c r="AQ25" s="1253" t="n"/>
      <c r="AR25" s="1253" t="n"/>
      <c r="AS25" s="1253" t="n"/>
      <c r="AT25" s="1253" t="n"/>
      <c r="AU25" s="1254" t="n"/>
      <c r="AV25" s="1253" t="n"/>
      <c r="AW25" s="1253" t="n"/>
      <c r="AX25" s="1253" t="n"/>
      <c r="AY25" s="1253" t="n"/>
      <c r="AZ25" s="1253" t="n"/>
      <c r="BA25" s="1253" t="n"/>
      <c r="BB25" s="1254" t="n"/>
      <c r="BC25" s="1253" t="n"/>
      <c r="BD25" s="1253" t="n"/>
      <c r="BE25" s="1253" t="n"/>
      <c r="BF25" s="1253" t="n"/>
      <c r="BG25" s="1253" t="n"/>
      <c r="BH25" s="1254" t="n"/>
      <c r="BI25" s="1253" t="n"/>
      <c r="BJ25" s="1253" t="n"/>
      <c r="BK25" s="1253" t="n"/>
      <c r="BL25" s="1253" t="n"/>
      <c r="BM25" s="1255" t="n"/>
      <c r="BN25" s="1254" t="n"/>
      <c r="BO25" s="1253" t="n"/>
      <c r="BP25" s="1253" t="n"/>
      <c r="BQ25" s="1253" t="n"/>
      <c r="BR25" s="1253" t="n"/>
      <c r="BS25" s="1255" t="n"/>
      <c r="BT25" s="1254" t="n"/>
      <c r="BU25" s="1253" t="n"/>
      <c r="BV25" s="1253" t="n"/>
      <c r="BW25" s="1253" t="n"/>
      <c r="BX25" s="1253" t="n"/>
      <c r="BY25" s="1256" t="n"/>
    </row>
    <row r="26" ht="16.5" customHeight="1" s="838">
      <c r="B26" s="756" t="n"/>
      <c r="C26" s="739" t="n"/>
      <c r="D26" s="831" t="inlineStr">
        <is>
          <t>`26 실적</t>
        </is>
      </c>
      <c r="E26" s="1257">
        <f>SUM(E28,E30,E32,E34,E36,E38,E40,E42)</f>
        <v/>
      </c>
      <c r="F26" s="1258">
        <f>SUM(F28,F30,F32,F34,F36,F38,F40,F42)</f>
        <v/>
      </c>
      <c r="G26" s="1258">
        <f>SUM(G28,G30,G32,G34,G36,G38,G40,G42)</f>
        <v/>
      </c>
      <c r="H26" s="1258">
        <f>SUM(H28,H30,H32,H34,H36,H38,H40,H42)</f>
        <v/>
      </c>
      <c r="I26" s="1258">
        <f>SUM(I28,I30,I32,I34,I36,I38,I40,I42)</f>
        <v/>
      </c>
      <c r="J26" s="1258">
        <f>SUM(J28,J30,J32,J34,J36,J38,J40,J42)</f>
        <v/>
      </c>
      <c r="K26" s="1259">
        <f>SUM(K28,K30,K32,K34,K36,K38,K40,K42)</f>
        <v/>
      </c>
      <c r="L26" s="1258" t="n">
        <v>-68.794</v>
      </c>
      <c r="M26" s="1258" t="n">
        <v>-77.53400000000001</v>
      </c>
      <c r="N26" s="1258" t="n">
        <v>-68.794</v>
      </c>
      <c r="O26" s="1260">
        <f>SUM(O28,O30,O32,O34,O36,O38,O40,O42)</f>
        <v/>
      </c>
      <c r="P26" s="1257">
        <f>SUM(P28,P30,P32,P34,P36,P38,P40,P42)</f>
        <v/>
      </c>
      <c r="Q26" s="1258">
        <f>SUM(Q28,Q30,Q32,Q34,Q36,Q38,Q40,Q42)</f>
        <v/>
      </c>
      <c r="R26" s="1258">
        <f>SUM(R28,R30,R32,R34,R36,R38,R40,R42)</f>
        <v/>
      </c>
      <c r="S26" s="1258">
        <f>SUM(S28,S30,S32,S34,S36,S38,S40,S42)</f>
        <v/>
      </c>
      <c r="T26" s="1258">
        <f>SUM(T28,T30,T32,T34,T36,T38,T40,T42)</f>
        <v/>
      </c>
      <c r="U26" s="1258">
        <f>SUM(U28,U30,U32,U34,U36,U38,U40,U42)</f>
        <v/>
      </c>
      <c r="V26" s="1259">
        <f>SUM(V28,V30,V32,V34,V36,V38,V40,V42)</f>
        <v/>
      </c>
      <c r="W26" s="1258">
        <f>SUM(W28,W30,W32,W34,W36,W38,W40,W42)</f>
        <v/>
      </c>
      <c r="X26" s="1258">
        <f>SUM(X28,X30,X32,X34,X36,X38,X40,X42)</f>
        <v/>
      </c>
      <c r="Y26" s="1258">
        <f>SUM(Y28,Y30,Y32,Y34,Y36,Y38,Y40,Y42)</f>
        <v/>
      </c>
      <c r="Z26" s="1258">
        <f>SUM(Z28,Z30,Z32,Z34,Z36,Z38,Z40,Z42)</f>
        <v/>
      </c>
      <c r="AA26" s="1206">
        <f>SUM(AA28,AA30,AA32,AA34,AA36,AA38,AA40,AA42)</f>
        <v/>
      </c>
      <c r="AB26" s="1257" t="n"/>
      <c r="AC26" s="1258" t="n"/>
      <c r="AD26" s="1258" t="n"/>
      <c r="AE26" s="1258" t="n"/>
      <c r="AF26" s="1258" t="n"/>
      <c r="AG26" s="1258" t="n"/>
      <c r="AH26" s="1258" t="n"/>
      <c r="AI26" s="1259" t="n"/>
      <c r="AJ26" s="1258" t="n"/>
      <c r="AK26" s="1258" t="n"/>
      <c r="AL26" s="1258" t="n"/>
      <c r="AM26" s="1258" t="n"/>
      <c r="AN26" s="1260" t="n"/>
      <c r="AO26" s="1259" t="n"/>
      <c r="AP26" s="1258" t="n"/>
      <c r="AQ26" s="1258" t="n"/>
      <c r="AR26" s="1258" t="n"/>
      <c r="AS26" s="1258" t="n"/>
      <c r="AT26" s="1258" t="n"/>
      <c r="AU26" s="1259" t="n"/>
      <c r="AV26" s="1258" t="n"/>
      <c r="AW26" s="1258" t="n"/>
      <c r="AX26" s="1258" t="n"/>
      <c r="AY26" s="1258" t="n"/>
      <c r="AZ26" s="1258" t="n"/>
      <c r="BA26" s="1258" t="n"/>
      <c r="BB26" s="1259" t="n"/>
      <c r="BC26" s="1258" t="n"/>
      <c r="BD26" s="1258" t="n"/>
      <c r="BE26" s="1258" t="n"/>
      <c r="BF26" s="1258" t="n"/>
      <c r="BG26" s="1258" t="n"/>
      <c r="BH26" s="1259" t="n"/>
      <c r="BI26" s="1258" t="n"/>
      <c r="BJ26" s="1258" t="n"/>
      <c r="BK26" s="1258" t="n"/>
      <c r="BL26" s="1258" t="n"/>
      <c r="BM26" s="1260" t="n"/>
      <c r="BN26" s="1259" t="n"/>
      <c r="BO26" s="1258" t="n"/>
      <c r="BP26" s="1258" t="n"/>
      <c r="BQ26" s="1258" t="n"/>
      <c r="BR26" s="1258" t="n"/>
      <c r="BS26" s="1260" t="n"/>
      <c r="BT26" s="1259" t="n"/>
      <c r="BU26" s="1258" t="n"/>
      <c r="BV26" s="1258" t="n"/>
      <c r="BW26" s="1258" t="n"/>
      <c r="BX26" s="1258" t="n"/>
      <c r="BY26" s="1261" t="n"/>
    </row>
    <row r="27" ht="16.5" customHeight="1" s="838">
      <c r="B27" s="756" t="n"/>
      <c r="C27" s="737" t="inlineStr">
        <is>
          <t>권역1</t>
        </is>
      </c>
      <c r="D27" s="470" t="inlineStr">
        <is>
          <t>`26 목표</t>
        </is>
      </c>
      <c r="E27" s="1262" t="n">
        <v>126.564903</v>
      </c>
      <c r="F27" s="1263" t="n">
        <v>126.564903</v>
      </c>
      <c r="G27" s="1263" t="n">
        <v>126.564903</v>
      </c>
      <c r="H27" s="1263" t="n">
        <v>126.564903</v>
      </c>
      <c r="I27" s="1263" t="n">
        <v>126.564903</v>
      </c>
      <c r="J27" s="1263" t="n">
        <v>126.564903</v>
      </c>
      <c r="K27" s="1264" t="n">
        <v>261.863075</v>
      </c>
      <c r="L27" s="1263" t="n">
        <v>261.863075</v>
      </c>
      <c r="M27" s="1263" t="n">
        <v>261.863075</v>
      </c>
      <c r="N27" s="1263" t="n">
        <v>261.863075</v>
      </c>
      <c r="O27" s="1265" t="n">
        <v>261.863075</v>
      </c>
      <c r="P27" s="1262" t="n">
        <v>173.919752</v>
      </c>
      <c r="Q27" s="1263" t="n">
        <v>173.919752</v>
      </c>
      <c r="R27" s="1263" t="n">
        <v>173.919752</v>
      </c>
      <c r="S27" s="1263" t="n">
        <v>173.919752</v>
      </c>
      <c r="T27" s="1263" t="n">
        <v>173.919752</v>
      </c>
      <c r="U27" s="1263" t="n">
        <v>173.919752</v>
      </c>
      <c r="V27" s="1264" t="n">
        <v>122.265771</v>
      </c>
      <c r="W27" s="1263" t="n">
        <v>122.265771</v>
      </c>
      <c r="X27" s="1263" t="n">
        <v>122.265771</v>
      </c>
      <c r="Y27" s="1263" t="n">
        <v>122.265771</v>
      </c>
      <c r="Z27" s="1263" t="n">
        <v>122.265771</v>
      </c>
      <c r="AA27" s="1265" t="n">
        <v>122.265771</v>
      </c>
      <c r="AB27" s="1262" t="n"/>
      <c r="AC27" s="1263" t="n"/>
      <c r="AD27" s="1263" t="n"/>
      <c r="AE27" s="1263" t="n"/>
      <c r="AF27" s="1263" t="n"/>
      <c r="AG27" s="1263" t="n"/>
      <c r="AH27" s="1263" t="n"/>
      <c r="AI27" s="1264" t="n"/>
      <c r="AJ27" s="1263" t="n"/>
      <c r="AK27" s="1263" t="n"/>
      <c r="AL27" s="1263" t="n"/>
      <c r="AM27" s="1263" t="n"/>
      <c r="AN27" s="1265" t="n"/>
      <c r="AO27" s="1264" t="n"/>
      <c r="AP27" s="1263" t="n"/>
      <c r="AQ27" s="1263" t="n"/>
      <c r="AR27" s="1263" t="n"/>
      <c r="AS27" s="1263" t="n"/>
      <c r="AT27" s="1263" t="n"/>
      <c r="AU27" s="1264" t="n"/>
      <c r="AV27" s="1263" t="n"/>
      <c r="AW27" s="1263" t="n"/>
      <c r="AX27" s="1263" t="n"/>
      <c r="AY27" s="1263" t="n"/>
      <c r="AZ27" s="1263" t="n"/>
      <c r="BA27" s="1263" t="n"/>
      <c r="BB27" s="1264" t="n"/>
      <c r="BC27" s="1263" t="n"/>
      <c r="BD27" s="1263" t="n"/>
      <c r="BE27" s="1263" t="n"/>
      <c r="BF27" s="1263" t="n"/>
      <c r="BG27" s="1263" t="n"/>
      <c r="BH27" s="1264" t="n"/>
      <c r="BI27" s="1263" t="n"/>
      <c r="BJ27" s="1263" t="n"/>
      <c r="BK27" s="1263" t="n"/>
      <c r="BL27" s="1263" t="n"/>
      <c r="BM27" s="1265" t="n"/>
      <c r="BN27" s="1264" t="n"/>
      <c r="BO27" s="1263" t="n"/>
      <c r="BP27" s="1263" t="n"/>
      <c r="BQ27" s="1263" t="n"/>
      <c r="BR27" s="1263" t="n"/>
      <c r="BS27" s="1265" t="n"/>
      <c r="BT27" s="1264" t="n"/>
      <c r="BU27" s="1263" t="n"/>
      <c r="BV27" s="1263" t="n"/>
      <c r="BW27" s="1263" t="n"/>
      <c r="BX27" s="1263" t="n"/>
      <c r="BY27" s="1266" t="n"/>
    </row>
    <row r="28" ht="16.5" customHeight="1" s="838">
      <c r="B28" s="756" t="n"/>
      <c r="C28" s="739" t="n"/>
      <c r="D28" s="133" t="inlineStr">
        <is>
          <t>`26 실적</t>
        </is>
      </c>
      <c r="E28" s="1267" t="n">
        <v>-71.12169400000001</v>
      </c>
      <c r="F28" s="1268" t="n">
        <v>3.77706007</v>
      </c>
      <c r="G28" s="1268" t="n">
        <v>3.77706007</v>
      </c>
      <c r="H28" s="1268" t="n">
        <v>3.77706007</v>
      </c>
      <c r="I28" s="1268" t="n">
        <v>3.77706007</v>
      </c>
      <c r="J28" s="1268" t="n">
        <v>37.363863</v>
      </c>
      <c r="K28" s="1269" t="n">
        <v>31.845746</v>
      </c>
      <c r="L28" s="1268" t="n">
        <v>46.02</v>
      </c>
      <c r="M28" s="1268" t="n">
        <v>142.565765</v>
      </c>
      <c r="N28" s="1268" t="n">
        <v>46.02</v>
      </c>
      <c r="O28" s="1270" t="n">
        <v>178.829973</v>
      </c>
      <c r="P28" s="1267" t="n">
        <v>-7.00704472</v>
      </c>
      <c r="Q28" s="1268" t="n">
        <v>32.406975</v>
      </c>
      <c r="R28" s="1268" t="n">
        <v>-12.995787</v>
      </c>
      <c r="S28" s="1268" t="n">
        <v>-12.995787</v>
      </c>
      <c r="T28" s="1268" t="n">
        <v>-59.601324</v>
      </c>
      <c r="U28" s="1268" t="n">
        <v>-59.601324</v>
      </c>
      <c r="V28" s="1269" t="n">
        <v>-249.60082</v>
      </c>
      <c r="W28" s="1268" t="n">
        <v>-62.965608</v>
      </c>
      <c r="X28" s="1268" t="n">
        <v>-102.491191</v>
      </c>
      <c r="Y28" s="1268" t="n">
        <v>-102.491191</v>
      </c>
      <c r="Z28" s="1268" t="n">
        <v>-102.491191</v>
      </c>
      <c r="AA28" s="1231" t="n">
        <v>-102.491191</v>
      </c>
      <c r="AB28" s="1267" t="n"/>
      <c r="AC28" s="1268" t="n"/>
      <c r="AD28" s="1268" t="n"/>
      <c r="AE28" s="1268" t="n"/>
      <c r="AF28" s="1268" t="n"/>
      <c r="AG28" s="1268" t="n"/>
      <c r="AH28" s="1268" t="n"/>
      <c r="AI28" s="1269" t="n"/>
      <c r="AJ28" s="1268" t="n"/>
      <c r="AK28" s="1268" t="n"/>
      <c r="AL28" s="1268" t="n"/>
      <c r="AM28" s="1268" t="n"/>
      <c r="AN28" s="1270" t="n"/>
      <c r="AO28" s="1269" t="n"/>
      <c r="AP28" s="1268" t="n"/>
      <c r="AQ28" s="1268" t="n"/>
      <c r="AR28" s="1268" t="n"/>
      <c r="AS28" s="1268" t="n"/>
      <c r="AT28" s="1268" t="n"/>
      <c r="AU28" s="1269" t="n"/>
      <c r="AV28" s="1268" t="n"/>
      <c r="AW28" s="1268" t="n"/>
      <c r="AX28" s="1268" t="n"/>
      <c r="AY28" s="1268" t="n"/>
      <c r="AZ28" s="1268" t="n"/>
      <c r="BA28" s="1268" t="n"/>
      <c r="BB28" s="1269" t="n"/>
      <c r="BC28" s="1268" t="n"/>
      <c r="BD28" s="1268" t="n"/>
      <c r="BE28" s="1268" t="n"/>
      <c r="BF28" s="1268" t="n"/>
      <c r="BG28" s="1268" t="n"/>
      <c r="BH28" s="1269" t="n"/>
      <c r="BI28" s="1268" t="n"/>
      <c r="BJ28" s="1268" t="n"/>
      <c r="BK28" s="1268" t="n"/>
      <c r="BL28" s="1268" t="n"/>
      <c r="BM28" s="1270" t="n"/>
      <c r="BN28" s="1269" t="n"/>
      <c r="BO28" s="1268" t="n"/>
      <c r="BP28" s="1268" t="n"/>
      <c r="BQ28" s="1268" t="n"/>
      <c r="BR28" s="1268" t="n"/>
      <c r="BS28" s="1270" t="n"/>
      <c r="BT28" s="1269" t="n"/>
      <c r="BU28" s="1268" t="n"/>
      <c r="BV28" s="1268" t="n"/>
      <c r="BW28" s="1268" t="n"/>
      <c r="BX28" s="1268" t="n"/>
      <c r="BY28" s="1271" t="n"/>
    </row>
    <row r="29" ht="16.5" customHeight="1" s="838">
      <c r="B29" s="756" t="n"/>
      <c r="C29" s="754" t="inlineStr">
        <is>
          <t>권역2</t>
        </is>
      </c>
      <c r="D29" s="831" t="inlineStr">
        <is>
          <t>`26 목표</t>
        </is>
      </c>
      <c r="E29" s="1257" t="n">
        <v>-66.53790600000001</v>
      </c>
      <c r="F29" s="1258" t="n">
        <v>-66.53790600000001</v>
      </c>
      <c r="G29" s="1258" t="n">
        <v>-66.53790600000001</v>
      </c>
      <c r="H29" s="1258" t="n">
        <v>-66.53790600000001</v>
      </c>
      <c r="I29" s="1258" t="n">
        <v>-66.53790600000001</v>
      </c>
      <c r="J29" s="1258" t="n">
        <v>-66.53790600000001</v>
      </c>
      <c r="K29" s="1259" t="n">
        <v>-63.806986</v>
      </c>
      <c r="L29" s="1258" t="n">
        <v>-63.806986</v>
      </c>
      <c r="M29" s="1258" t="n">
        <v>-63.806986</v>
      </c>
      <c r="N29" s="1258" t="n">
        <v>-63.806986</v>
      </c>
      <c r="O29" s="1260" t="n">
        <v>-63.806986</v>
      </c>
      <c r="P29" s="1257" t="n">
        <v>-41.844188</v>
      </c>
      <c r="Q29" s="1258" t="n">
        <v>-41.844188</v>
      </c>
      <c r="R29" s="1258" t="n">
        <v>-41.844188</v>
      </c>
      <c r="S29" s="1258" t="n">
        <v>-41.844188</v>
      </c>
      <c r="T29" s="1258" t="n">
        <v>-41.844188</v>
      </c>
      <c r="U29" s="1258" t="n">
        <v>-41.844188</v>
      </c>
      <c r="V29" s="1259" t="n">
        <v>-9.145400739999999</v>
      </c>
      <c r="W29" s="1258" t="n">
        <v>-9.145400739999999</v>
      </c>
      <c r="X29" s="1258" t="n">
        <v>-9.145400739999999</v>
      </c>
      <c r="Y29" s="1258" t="n">
        <v>-9.145400739999999</v>
      </c>
      <c r="Z29" s="1258" t="n">
        <v>-9.145400739999999</v>
      </c>
      <c r="AA29" s="1260" t="n">
        <v>-9.145400739999999</v>
      </c>
      <c r="AB29" s="1257" t="n"/>
      <c r="AC29" s="1258" t="n"/>
      <c r="AD29" s="1258" t="n"/>
      <c r="AE29" s="1258" t="n"/>
      <c r="AF29" s="1258" t="n"/>
      <c r="AG29" s="1258" t="n"/>
      <c r="AH29" s="1258" t="n"/>
      <c r="AI29" s="1259" t="n"/>
      <c r="AJ29" s="1258" t="n"/>
      <c r="AK29" s="1258" t="n"/>
      <c r="AL29" s="1258" t="n"/>
      <c r="AM29" s="1258" t="n"/>
      <c r="AN29" s="1260" t="n"/>
      <c r="AO29" s="1259" t="n"/>
      <c r="AP29" s="1258" t="n"/>
      <c r="AQ29" s="1258" t="n"/>
      <c r="AR29" s="1258" t="n"/>
      <c r="AS29" s="1258" t="n"/>
      <c r="AT29" s="1258" t="n"/>
      <c r="AU29" s="1259" t="n"/>
      <c r="AV29" s="1258" t="n"/>
      <c r="AW29" s="1258" t="n"/>
      <c r="AX29" s="1258" t="n"/>
      <c r="AY29" s="1258" t="n"/>
      <c r="AZ29" s="1258" t="n"/>
      <c r="BA29" s="1258" t="n"/>
      <c r="BB29" s="1259" t="n"/>
      <c r="BC29" s="1258" t="n"/>
      <c r="BD29" s="1258" t="n"/>
      <c r="BE29" s="1258" t="n"/>
      <c r="BF29" s="1258" t="n"/>
      <c r="BG29" s="1258" t="n"/>
      <c r="BH29" s="1259" t="n"/>
      <c r="BI29" s="1258" t="n"/>
      <c r="BJ29" s="1258" t="n"/>
      <c r="BK29" s="1258" t="n"/>
      <c r="BL29" s="1258" t="n"/>
      <c r="BM29" s="1260" t="n"/>
      <c r="BN29" s="1259" t="n"/>
      <c r="BO29" s="1258" t="n"/>
      <c r="BP29" s="1258" t="n"/>
      <c r="BQ29" s="1258" t="n"/>
      <c r="BR29" s="1258" t="n"/>
      <c r="BS29" s="1260" t="n"/>
      <c r="BT29" s="1259" t="n"/>
      <c r="BU29" s="1258" t="n"/>
      <c r="BV29" s="1258" t="n"/>
      <c r="BW29" s="1258" t="n"/>
      <c r="BX29" s="1258" t="n"/>
      <c r="BY29" s="1261" t="n"/>
    </row>
    <row r="30" ht="16.5" customHeight="1" s="838">
      <c r="B30" s="756" t="n"/>
      <c r="C30" s="739" t="n"/>
      <c r="D30" s="831" t="inlineStr">
        <is>
          <t>`26 실적</t>
        </is>
      </c>
      <c r="E30" s="1257" t="n">
        <v>-38.226911</v>
      </c>
      <c r="F30" s="1258" t="n">
        <v>-53.754286</v>
      </c>
      <c r="G30" s="1258" t="n">
        <v>-53.754286</v>
      </c>
      <c r="H30" s="1258" t="n">
        <v>-53.754286</v>
      </c>
      <c r="I30" s="1258" t="n">
        <v>-53.754286</v>
      </c>
      <c r="J30" s="1258" t="n">
        <v>-46.653985</v>
      </c>
      <c r="K30" s="1259" t="n">
        <v>-43.127437</v>
      </c>
      <c r="L30" s="1258" t="n">
        <v>-30.255</v>
      </c>
      <c r="M30" s="1258" t="n">
        <v>-108.559746</v>
      </c>
      <c r="N30" s="1258" t="n">
        <v>-30.255</v>
      </c>
      <c r="O30" s="1260" t="n">
        <v>-53.453015</v>
      </c>
      <c r="P30" s="1257" t="n">
        <v>-38.864843</v>
      </c>
      <c r="Q30" s="1258" t="n">
        <v>-32.795456</v>
      </c>
      <c r="R30" s="1258" t="n">
        <v>-59.461277</v>
      </c>
      <c r="S30" s="1258" t="n">
        <v>-59.461277</v>
      </c>
      <c r="T30" s="1258" t="n">
        <v>-44.91246</v>
      </c>
      <c r="U30" s="1258" t="n">
        <v>-44.91246</v>
      </c>
      <c r="V30" s="1259" t="n">
        <v>-13.55618726</v>
      </c>
      <c r="W30" s="1258" t="n">
        <v>-11.453814</v>
      </c>
      <c r="X30" s="1258" t="n">
        <v>-39.012523</v>
      </c>
      <c r="Y30" s="1258" t="n">
        <v>-39.012523</v>
      </c>
      <c r="Z30" s="1258" t="n">
        <v>-39.012523</v>
      </c>
      <c r="AA30" s="1206" t="n">
        <v>-39.012523</v>
      </c>
      <c r="AB30" s="1257" t="n"/>
      <c r="AC30" s="1258" t="n"/>
      <c r="AD30" s="1258" t="n"/>
      <c r="AE30" s="1258" t="n"/>
      <c r="AF30" s="1258" t="n"/>
      <c r="AG30" s="1258" t="n"/>
      <c r="AH30" s="1258" t="n"/>
      <c r="AI30" s="1259" t="n"/>
      <c r="AJ30" s="1258" t="n"/>
      <c r="AK30" s="1258" t="n"/>
      <c r="AL30" s="1258" t="n"/>
      <c r="AM30" s="1258" t="n"/>
      <c r="AN30" s="1260" t="n"/>
      <c r="AO30" s="1259" t="n"/>
      <c r="AP30" s="1258" t="n"/>
      <c r="AQ30" s="1258" t="n"/>
      <c r="AR30" s="1258" t="n"/>
      <c r="AS30" s="1258" t="n"/>
      <c r="AT30" s="1258" t="n"/>
      <c r="AU30" s="1259" t="n"/>
      <c r="AV30" s="1258" t="n"/>
      <c r="AW30" s="1258" t="n"/>
      <c r="AX30" s="1258" t="n"/>
      <c r="AY30" s="1258" t="n"/>
      <c r="AZ30" s="1258" t="n"/>
      <c r="BA30" s="1258" t="n"/>
      <c r="BB30" s="1259" t="n"/>
      <c r="BC30" s="1258" t="n"/>
      <c r="BD30" s="1258" t="n"/>
      <c r="BE30" s="1258" t="n"/>
      <c r="BF30" s="1258" t="n"/>
      <c r="BG30" s="1258" t="n"/>
      <c r="BH30" s="1259" t="n"/>
      <c r="BI30" s="1258" t="n"/>
      <c r="BJ30" s="1258" t="n"/>
      <c r="BK30" s="1258" t="n"/>
      <c r="BL30" s="1258" t="n"/>
      <c r="BM30" s="1260" t="n"/>
      <c r="BN30" s="1259" t="n"/>
      <c r="BO30" s="1258" t="n"/>
      <c r="BP30" s="1258" t="n"/>
      <c r="BQ30" s="1258" t="n"/>
      <c r="BR30" s="1258" t="n"/>
      <c r="BS30" s="1260" t="n"/>
      <c r="BT30" s="1259" t="n"/>
      <c r="BU30" s="1258" t="n"/>
      <c r="BV30" s="1258" t="n"/>
      <c r="BW30" s="1258" t="n"/>
      <c r="BX30" s="1258" t="n"/>
      <c r="BY30" s="1261" t="n"/>
    </row>
    <row r="31" ht="16.5" customHeight="1" s="838">
      <c r="B31" s="756" t="n"/>
      <c r="C31" s="737" t="inlineStr">
        <is>
          <t>권역3</t>
        </is>
      </c>
      <c r="D31" s="470" t="inlineStr">
        <is>
          <t>`26 목표</t>
        </is>
      </c>
      <c r="E31" s="1262" t="n">
        <v>-65.15327600000001</v>
      </c>
      <c r="F31" s="1263" t="n">
        <v>-65.15327600000001</v>
      </c>
      <c r="G31" s="1263" t="n">
        <v>-65.15327600000001</v>
      </c>
      <c r="H31" s="1263" t="n">
        <v>-65.15327600000001</v>
      </c>
      <c r="I31" s="1263" t="n">
        <v>-65.15327600000001</v>
      </c>
      <c r="J31" s="1263" t="n">
        <v>-65.15327600000001</v>
      </c>
      <c r="K31" s="1264" t="n">
        <v>-47.812934</v>
      </c>
      <c r="L31" s="1263" t="n">
        <v>-47.812934</v>
      </c>
      <c r="M31" s="1263" t="n">
        <v>-47.812934</v>
      </c>
      <c r="N31" s="1263" t="n">
        <v>-47.812934</v>
      </c>
      <c r="O31" s="1265" t="n">
        <v>-47.812934</v>
      </c>
      <c r="P31" s="1262" t="n">
        <v>-0.31563708</v>
      </c>
      <c r="Q31" s="1263" t="n">
        <v>-0.31563708</v>
      </c>
      <c r="R31" s="1263" t="n">
        <v>-0.31563708</v>
      </c>
      <c r="S31" s="1263" t="n">
        <v>-0.31563708</v>
      </c>
      <c r="T31" s="1263" t="n">
        <v>-0.31563708</v>
      </c>
      <c r="U31" s="1263" t="n">
        <v>-0.31563708</v>
      </c>
      <c r="V31" s="1264" t="n">
        <v>0.95</v>
      </c>
      <c r="W31" s="1263" t="n">
        <v>0.95</v>
      </c>
      <c r="X31" s="1263" t="n">
        <v>0.95</v>
      </c>
      <c r="Y31" s="1263" t="n">
        <v>0.95</v>
      </c>
      <c r="Z31" s="1263" t="n">
        <v>0.95</v>
      </c>
      <c r="AA31" s="1265" t="n">
        <v>0.95</v>
      </c>
      <c r="AB31" s="1262" t="n"/>
      <c r="AC31" s="1263" t="n"/>
      <c r="AD31" s="1263" t="n"/>
      <c r="AE31" s="1263" t="n"/>
      <c r="AF31" s="1263" t="n"/>
      <c r="AG31" s="1263" t="n"/>
      <c r="AH31" s="1263" t="n"/>
      <c r="AI31" s="1264" t="n"/>
      <c r="AJ31" s="1263" t="n"/>
      <c r="AK31" s="1263" t="n"/>
      <c r="AL31" s="1263" t="n"/>
      <c r="AM31" s="1263" t="n"/>
      <c r="AN31" s="1265" t="n"/>
      <c r="AO31" s="1264" t="n"/>
      <c r="AP31" s="1263" t="n"/>
      <c r="AQ31" s="1263" t="n"/>
      <c r="AR31" s="1263" t="n"/>
      <c r="AS31" s="1263" t="n"/>
      <c r="AT31" s="1263" t="n"/>
      <c r="AU31" s="1264" t="n"/>
      <c r="AV31" s="1263" t="n"/>
      <c r="AW31" s="1263" t="n"/>
      <c r="AX31" s="1263" t="n"/>
      <c r="AY31" s="1263" t="n"/>
      <c r="AZ31" s="1263" t="n"/>
      <c r="BA31" s="1263" t="n"/>
      <c r="BB31" s="1264" t="n"/>
      <c r="BC31" s="1263" t="n"/>
      <c r="BD31" s="1263" t="n"/>
      <c r="BE31" s="1263" t="n"/>
      <c r="BF31" s="1263" t="n"/>
      <c r="BG31" s="1263" t="n"/>
      <c r="BH31" s="1264" t="n"/>
      <c r="BI31" s="1263" t="n"/>
      <c r="BJ31" s="1263" t="n"/>
      <c r="BK31" s="1263" t="n"/>
      <c r="BL31" s="1263" t="n"/>
      <c r="BM31" s="1265" t="n"/>
      <c r="BN31" s="1264" t="n"/>
      <c r="BO31" s="1263" t="n"/>
      <c r="BP31" s="1263" t="n"/>
      <c r="BQ31" s="1263" t="n"/>
      <c r="BR31" s="1263" t="n"/>
      <c r="BS31" s="1265" t="n"/>
      <c r="BT31" s="1264" t="n"/>
      <c r="BU31" s="1263" t="n"/>
      <c r="BV31" s="1263" t="n"/>
      <c r="BW31" s="1263" t="n"/>
      <c r="BX31" s="1263" t="n"/>
      <c r="BY31" s="1266" t="n"/>
    </row>
    <row r="32" ht="16.5" customHeight="1" s="838">
      <c r="B32" s="756" t="n"/>
      <c r="C32" s="739" t="n"/>
      <c r="D32" s="133" t="inlineStr">
        <is>
          <t>`26 실적</t>
        </is>
      </c>
      <c r="E32" s="1267" t="n">
        <v>-45.718362</v>
      </c>
      <c r="F32" s="1268" t="n">
        <v>-33.0054</v>
      </c>
      <c r="G32" s="1268" t="n">
        <v>-33.0054</v>
      </c>
      <c r="H32" s="1268" t="n">
        <v>-33.0054</v>
      </c>
      <c r="I32" s="1268" t="n">
        <v>-33.0054</v>
      </c>
      <c r="J32" s="1268" t="n">
        <v>-33.0054</v>
      </c>
      <c r="K32" s="1269" t="n">
        <v>-45.729957</v>
      </c>
      <c r="L32" s="1268" t="n">
        <v>-41.443</v>
      </c>
      <c r="M32" s="1268" t="n">
        <v>-49.503264</v>
      </c>
      <c r="N32" s="1268" t="n">
        <v>-41.443</v>
      </c>
      <c r="O32" s="1270" t="n">
        <v>-33.39047</v>
      </c>
      <c r="P32" s="1267" t="n">
        <v>-7.95485663</v>
      </c>
      <c r="Q32" s="1268" t="n">
        <v>31.514774</v>
      </c>
      <c r="R32" s="1268" t="n">
        <v>1.23093286</v>
      </c>
      <c r="S32" s="1268" t="n">
        <v>1.02666851</v>
      </c>
      <c r="T32" s="1268" t="n">
        <v>9.03587795</v>
      </c>
      <c r="U32" s="1268" t="n">
        <v>9.03587795</v>
      </c>
      <c r="V32" s="1269" t="n">
        <v>-2.33448367</v>
      </c>
      <c r="W32" s="1268" t="n">
        <v>1.57718592</v>
      </c>
      <c r="X32" s="1268" t="n">
        <v>-6.04893114</v>
      </c>
      <c r="Y32" s="1268" t="n">
        <v>-6.04893114</v>
      </c>
      <c r="Z32" s="1268" t="n">
        <v>-6.04893114</v>
      </c>
      <c r="AA32" s="1231" t="n">
        <v>-6.04893114</v>
      </c>
      <c r="AB32" s="1267" t="n"/>
      <c r="AC32" s="1268" t="n"/>
      <c r="AD32" s="1268" t="n"/>
      <c r="AE32" s="1268" t="n"/>
      <c r="AF32" s="1268" t="n"/>
      <c r="AG32" s="1268" t="n"/>
      <c r="AH32" s="1268" t="n"/>
      <c r="AI32" s="1269" t="n"/>
      <c r="AJ32" s="1268" t="n"/>
      <c r="AK32" s="1268" t="n"/>
      <c r="AL32" s="1268" t="n"/>
      <c r="AM32" s="1268" t="n"/>
      <c r="AN32" s="1270" t="n"/>
      <c r="AO32" s="1269" t="n"/>
      <c r="AP32" s="1268" t="n"/>
      <c r="AQ32" s="1268" t="n"/>
      <c r="AR32" s="1268" t="n"/>
      <c r="AS32" s="1268" t="n"/>
      <c r="AT32" s="1268" t="n"/>
      <c r="AU32" s="1269" t="n"/>
      <c r="AV32" s="1268" t="n"/>
      <c r="AW32" s="1268" t="n"/>
      <c r="AX32" s="1268" t="n"/>
      <c r="AY32" s="1268" t="n"/>
      <c r="AZ32" s="1268" t="n"/>
      <c r="BA32" s="1268" t="n"/>
      <c r="BB32" s="1269" t="n"/>
      <c r="BC32" s="1268" t="n"/>
      <c r="BD32" s="1268" t="n"/>
      <c r="BE32" s="1268" t="n"/>
      <c r="BF32" s="1268" t="n"/>
      <c r="BG32" s="1268" t="n"/>
      <c r="BH32" s="1269" t="n"/>
      <c r="BI32" s="1268" t="n"/>
      <c r="BJ32" s="1268" t="n"/>
      <c r="BK32" s="1268" t="n"/>
      <c r="BL32" s="1268" t="n"/>
      <c r="BM32" s="1270" t="n"/>
      <c r="BN32" s="1269" t="n"/>
      <c r="BO32" s="1268" t="n"/>
      <c r="BP32" s="1268" t="n"/>
      <c r="BQ32" s="1268" t="n"/>
      <c r="BR32" s="1268" t="n"/>
      <c r="BS32" s="1270" t="n"/>
      <c r="BT32" s="1269" t="n"/>
      <c r="BU32" s="1268" t="n"/>
      <c r="BV32" s="1268" t="n"/>
      <c r="BW32" s="1268" t="n"/>
      <c r="BX32" s="1268" t="n"/>
      <c r="BY32" s="1271" t="n"/>
    </row>
    <row r="33" ht="16.5" customHeight="1" s="838">
      <c r="B33" s="756" t="n"/>
      <c r="C33" s="790" t="inlineStr">
        <is>
          <t>권역4</t>
        </is>
      </c>
      <c r="D33" s="831" t="inlineStr">
        <is>
          <t>`26 목표</t>
        </is>
      </c>
      <c r="E33" s="1257" t="n">
        <v>-18.66588</v>
      </c>
      <c r="F33" s="1258" t="n">
        <v>-18.66588</v>
      </c>
      <c r="G33" s="1258" t="n">
        <v>-18.66588</v>
      </c>
      <c r="H33" s="1258" t="n">
        <v>-18.66588</v>
      </c>
      <c r="I33" s="1258" t="n">
        <v>-18.66588</v>
      </c>
      <c r="J33" s="1258" t="n">
        <v>-18.66588</v>
      </c>
      <c r="K33" s="1259" t="n">
        <v>-33.321657</v>
      </c>
      <c r="L33" s="1258" t="n">
        <v>-33.321657</v>
      </c>
      <c r="M33" s="1258" t="n">
        <v>-33.321657</v>
      </c>
      <c r="N33" s="1258" t="n">
        <v>-33.321657</v>
      </c>
      <c r="O33" s="1260" t="n">
        <v>-33.321657</v>
      </c>
      <c r="P33" s="1257" t="n">
        <v>-13.721814</v>
      </c>
      <c r="Q33" s="1258" t="n">
        <v>-13.721814</v>
      </c>
      <c r="R33" s="1258" t="n">
        <v>-13.721814</v>
      </c>
      <c r="S33" s="1258" t="n">
        <v>-13.721814</v>
      </c>
      <c r="T33" s="1258" t="n">
        <v>-13.721814</v>
      </c>
      <c r="U33" s="1258" t="n">
        <v>-13.721814</v>
      </c>
      <c r="V33" s="1259" t="n">
        <v>-36.927435</v>
      </c>
      <c r="W33" s="1258" t="n">
        <v>-36.927435</v>
      </c>
      <c r="X33" s="1258" t="n">
        <v>-36.927435</v>
      </c>
      <c r="Y33" s="1258" t="n">
        <v>-36.927435</v>
      </c>
      <c r="Z33" s="1258" t="n">
        <v>-36.927435</v>
      </c>
      <c r="AA33" s="1260" t="n">
        <v>-36.927435</v>
      </c>
      <c r="AB33" s="1257" t="n"/>
      <c r="AC33" s="1258" t="n"/>
      <c r="AD33" s="1258" t="n"/>
      <c r="AE33" s="1258" t="n"/>
      <c r="AF33" s="1258" t="n"/>
      <c r="AG33" s="1258" t="n"/>
      <c r="AH33" s="1258" t="n"/>
      <c r="AI33" s="1259" t="n"/>
      <c r="AJ33" s="1258" t="n"/>
      <c r="AK33" s="1258" t="n"/>
      <c r="AL33" s="1258" t="n"/>
      <c r="AM33" s="1258" t="n"/>
      <c r="AN33" s="1260" t="n"/>
      <c r="AO33" s="1259" t="n"/>
      <c r="AP33" s="1258" t="n"/>
      <c r="AQ33" s="1258" t="n"/>
      <c r="AR33" s="1258" t="n"/>
      <c r="AS33" s="1258" t="n"/>
      <c r="AT33" s="1258" t="n"/>
      <c r="AU33" s="1259" t="n"/>
      <c r="AV33" s="1258" t="n"/>
      <c r="AW33" s="1258" t="n"/>
      <c r="AX33" s="1258" t="n"/>
      <c r="AY33" s="1258" t="n"/>
      <c r="AZ33" s="1258" t="n"/>
      <c r="BA33" s="1258" t="n"/>
      <c r="BB33" s="1259" t="n"/>
      <c r="BC33" s="1258" t="n"/>
      <c r="BD33" s="1258" t="n"/>
      <c r="BE33" s="1258" t="n"/>
      <c r="BF33" s="1258" t="n"/>
      <c r="BG33" s="1258" t="n"/>
      <c r="BH33" s="1259" t="n"/>
      <c r="BI33" s="1258" t="n"/>
      <c r="BJ33" s="1258" t="n"/>
      <c r="BK33" s="1258" t="n"/>
      <c r="BL33" s="1258" t="n"/>
      <c r="BM33" s="1260" t="n"/>
      <c r="BN33" s="1259" t="n"/>
      <c r="BO33" s="1258" t="n"/>
      <c r="BP33" s="1258" t="n"/>
      <c r="BQ33" s="1258" t="n"/>
      <c r="BR33" s="1258" t="n"/>
      <c r="BS33" s="1260" t="n"/>
      <c r="BT33" s="1259" t="n"/>
      <c r="BU33" s="1258" t="n"/>
      <c r="BV33" s="1258" t="n"/>
      <c r="BW33" s="1258" t="n"/>
      <c r="BX33" s="1258" t="n"/>
      <c r="BY33" s="1261" t="n"/>
    </row>
    <row r="34" ht="16.5" customHeight="1" s="838">
      <c r="B34" s="756" t="n"/>
      <c r="C34" s="739" t="n"/>
      <c r="D34" s="831" t="inlineStr">
        <is>
          <t>`26 실적</t>
        </is>
      </c>
      <c r="E34" s="1257" t="n">
        <v>9.4802482</v>
      </c>
      <c r="F34" s="1258" t="n">
        <v>-11.86234437</v>
      </c>
      <c r="G34" s="1258" t="n">
        <v>-11.86234437</v>
      </c>
      <c r="H34" s="1258" t="n">
        <v>-11.86234437</v>
      </c>
      <c r="I34" s="1258" t="n">
        <v>-11.86234437</v>
      </c>
      <c r="J34" s="1258" t="n">
        <v>-11.15319082</v>
      </c>
      <c r="K34" s="1259" t="n">
        <v>18.26323733</v>
      </c>
      <c r="L34" s="1258" t="n">
        <v>11.489</v>
      </c>
      <c r="M34" s="1258" t="n">
        <v>-4.39174983</v>
      </c>
      <c r="N34" s="1258" t="n">
        <v>11.489</v>
      </c>
      <c r="O34" s="1260" t="n">
        <v>-2.08424576</v>
      </c>
      <c r="P34" s="1257" t="n">
        <v>13.769807</v>
      </c>
      <c r="Q34" s="1258" t="n">
        <v>14.58896068</v>
      </c>
      <c r="R34" s="1258" t="n">
        <v>24.998957</v>
      </c>
      <c r="S34" s="1258" t="n">
        <v>24.998957</v>
      </c>
      <c r="T34" s="1258" t="n">
        <v>20.07637273</v>
      </c>
      <c r="U34" s="1258" t="n">
        <v>20.07637273</v>
      </c>
      <c r="V34" s="1259" t="n">
        <v>14.44285992</v>
      </c>
      <c r="W34" s="1258" t="n">
        <v>16.035612</v>
      </c>
      <c r="X34" s="1258" t="n">
        <v>4.09836877</v>
      </c>
      <c r="Y34" s="1258" t="n">
        <v>4.09836877</v>
      </c>
      <c r="Z34" s="1258" t="n">
        <v>4.09836877</v>
      </c>
      <c r="AA34" s="1206" t="n">
        <v>4.09836877</v>
      </c>
      <c r="AB34" s="1257" t="n"/>
      <c r="AC34" s="1258" t="n"/>
      <c r="AD34" s="1258" t="n"/>
      <c r="AE34" s="1258" t="n"/>
      <c r="AF34" s="1258" t="n"/>
      <c r="AG34" s="1258" t="n"/>
      <c r="AH34" s="1258" t="n"/>
      <c r="AI34" s="1259" t="n"/>
      <c r="AJ34" s="1258" t="n"/>
      <c r="AK34" s="1258" t="n"/>
      <c r="AL34" s="1258" t="n"/>
      <c r="AM34" s="1258" t="n"/>
      <c r="AN34" s="1260" t="n"/>
      <c r="AO34" s="1259" t="n"/>
      <c r="AP34" s="1258" t="n"/>
      <c r="AQ34" s="1258" t="n"/>
      <c r="AR34" s="1258" t="n"/>
      <c r="AS34" s="1258" t="n"/>
      <c r="AT34" s="1258" t="n"/>
      <c r="AU34" s="1259" t="n"/>
      <c r="AV34" s="1258" t="n"/>
      <c r="AW34" s="1258" t="n"/>
      <c r="AX34" s="1258" t="n"/>
      <c r="AY34" s="1258" t="n"/>
      <c r="AZ34" s="1258" t="n"/>
      <c r="BA34" s="1258" t="n"/>
      <c r="BB34" s="1259" t="n"/>
      <c r="BC34" s="1258" t="n"/>
      <c r="BD34" s="1258" t="n"/>
      <c r="BE34" s="1258" t="n"/>
      <c r="BF34" s="1258" t="n"/>
      <c r="BG34" s="1258" t="n"/>
      <c r="BH34" s="1259" t="n"/>
      <c r="BI34" s="1258" t="n"/>
      <c r="BJ34" s="1258" t="n"/>
      <c r="BK34" s="1258" t="n"/>
      <c r="BL34" s="1258" t="n"/>
      <c r="BM34" s="1260" t="n"/>
      <c r="BN34" s="1259" t="n"/>
      <c r="BO34" s="1258" t="n"/>
      <c r="BP34" s="1258" t="n"/>
      <c r="BQ34" s="1258" t="n"/>
      <c r="BR34" s="1258" t="n"/>
      <c r="BS34" s="1260" t="n"/>
      <c r="BT34" s="1259" t="n"/>
      <c r="BU34" s="1258" t="n"/>
      <c r="BV34" s="1258" t="n"/>
      <c r="BW34" s="1258" t="n"/>
      <c r="BX34" s="1258" t="n"/>
      <c r="BY34" s="1261" t="n"/>
    </row>
    <row r="35" ht="16.5" customHeight="1" s="838">
      <c r="B35" s="756" t="n"/>
      <c r="C35" s="737" t="inlineStr">
        <is>
          <t>권역5</t>
        </is>
      </c>
      <c r="D35" s="470" t="inlineStr">
        <is>
          <t>`26 목표</t>
        </is>
      </c>
      <c r="E35" s="1262" t="n">
        <v>28.095408</v>
      </c>
      <c r="F35" s="1263" t="n">
        <v>28.095408</v>
      </c>
      <c r="G35" s="1263" t="n">
        <v>28.095408</v>
      </c>
      <c r="H35" s="1263" t="n">
        <v>28.095408</v>
      </c>
      <c r="I35" s="1263" t="n">
        <v>28.095408</v>
      </c>
      <c r="J35" s="1263" t="n">
        <v>28.095408</v>
      </c>
      <c r="K35" s="1264" t="n">
        <v>-7.95179546</v>
      </c>
      <c r="L35" s="1263" t="n">
        <v>-7.95179546</v>
      </c>
      <c r="M35" s="1263" t="n">
        <v>-7.95179546</v>
      </c>
      <c r="N35" s="1263" t="n">
        <v>-7.95179546</v>
      </c>
      <c r="O35" s="1265" t="n">
        <v>-7.95179546</v>
      </c>
      <c r="P35" s="1262" t="n">
        <v>-7.84589135</v>
      </c>
      <c r="Q35" s="1263" t="n">
        <v>-7.84589135</v>
      </c>
      <c r="R35" s="1263" t="n">
        <v>-7.84589135</v>
      </c>
      <c r="S35" s="1263" t="n">
        <v>-7.84589135</v>
      </c>
      <c r="T35" s="1263" t="n">
        <v>-7.84589135</v>
      </c>
      <c r="U35" s="1263" t="n">
        <v>-7.84589135</v>
      </c>
      <c r="V35" s="1264" t="n">
        <v>-0.32983928</v>
      </c>
      <c r="W35" s="1263" t="n">
        <v>-0.32983928</v>
      </c>
      <c r="X35" s="1263" t="n">
        <v>-0.32983928</v>
      </c>
      <c r="Y35" s="1263" t="n">
        <v>-0.32983928</v>
      </c>
      <c r="Z35" s="1263" t="n">
        <v>-0.32983928</v>
      </c>
      <c r="AA35" s="1265" t="n">
        <v>-0.32983928</v>
      </c>
      <c r="AB35" s="1262" t="n"/>
      <c r="AC35" s="1263" t="n"/>
      <c r="AD35" s="1263" t="n"/>
      <c r="AE35" s="1263" t="n"/>
      <c r="AF35" s="1263" t="n"/>
      <c r="AG35" s="1263" t="n"/>
      <c r="AH35" s="1263" t="n"/>
      <c r="AI35" s="1264" t="n"/>
      <c r="AJ35" s="1263" t="n"/>
      <c r="AK35" s="1263" t="n"/>
      <c r="AL35" s="1263" t="n"/>
      <c r="AM35" s="1263" t="n"/>
      <c r="AN35" s="1265" t="n"/>
      <c r="AO35" s="1264" t="n"/>
      <c r="AP35" s="1263" t="n"/>
      <c r="AQ35" s="1263" t="n"/>
      <c r="AR35" s="1263" t="n"/>
      <c r="AS35" s="1263" t="n"/>
      <c r="AT35" s="1263" t="n"/>
      <c r="AU35" s="1264" t="n"/>
      <c r="AV35" s="1263" t="n"/>
      <c r="AW35" s="1263" t="n"/>
      <c r="AX35" s="1263" t="n"/>
      <c r="AY35" s="1263" t="n"/>
      <c r="AZ35" s="1263" t="n"/>
      <c r="BA35" s="1263" t="n"/>
      <c r="BB35" s="1264" t="n"/>
      <c r="BC35" s="1263" t="n"/>
      <c r="BD35" s="1263" t="n"/>
      <c r="BE35" s="1263" t="n"/>
      <c r="BF35" s="1263" t="n"/>
      <c r="BG35" s="1263" t="n"/>
      <c r="BH35" s="1264" t="n"/>
      <c r="BI35" s="1263" t="n"/>
      <c r="BJ35" s="1263" t="n"/>
      <c r="BK35" s="1263" t="n"/>
      <c r="BL35" s="1263" t="n"/>
      <c r="BM35" s="1265" t="n"/>
      <c r="BN35" s="1264" t="n"/>
      <c r="BO35" s="1263" t="n"/>
      <c r="BP35" s="1263" t="n"/>
      <c r="BQ35" s="1263" t="n"/>
      <c r="BR35" s="1263" t="n"/>
      <c r="BS35" s="1265" t="n"/>
      <c r="BT35" s="1264" t="n"/>
      <c r="BU35" s="1263" t="n"/>
      <c r="BV35" s="1263" t="n"/>
      <c r="BW35" s="1263" t="n"/>
      <c r="BX35" s="1263" t="n"/>
      <c r="BY35" s="1266" t="n"/>
    </row>
    <row r="36" ht="16.5" customHeight="1" s="838">
      <c r="B36" s="756" t="n"/>
      <c r="C36" s="739" t="n"/>
      <c r="D36" s="133" t="inlineStr">
        <is>
          <t>`26 실적</t>
        </is>
      </c>
      <c r="E36" s="1267" t="n">
        <v>43.996759</v>
      </c>
      <c r="F36" s="1268" t="n">
        <v>49.06226</v>
      </c>
      <c r="G36" s="1268" t="n">
        <v>49.06226</v>
      </c>
      <c r="H36" s="1268" t="n">
        <v>49.06226</v>
      </c>
      <c r="I36" s="1268" t="n">
        <v>49.06226</v>
      </c>
      <c r="J36" s="1268" t="n">
        <v>39.733408</v>
      </c>
      <c r="K36" s="1269" t="n">
        <v>-78.52070500000001</v>
      </c>
      <c r="L36" s="1268" t="n">
        <v>-49.398</v>
      </c>
      <c r="M36" s="1268" t="n">
        <v>3.27631921</v>
      </c>
      <c r="N36" s="1268" t="n">
        <v>-49.398</v>
      </c>
      <c r="O36" s="1270" t="n">
        <v>-32.977995</v>
      </c>
      <c r="P36" s="1267" t="n">
        <v>-89.19235999999999</v>
      </c>
      <c r="Q36" s="1268" t="n">
        <v>-80.05560699999999</v>
      </c>
      <c r="R36" s="1268" t="n">
        <v>-150.420706</v>
      </c>
      <c r="S36" s="1268" t="n">
        <v>-191.574959</v>
      </c>
      <c r="T36" s="1268" t="n">
        <v>-144.545545</v>
      </c>
      <c r="U36" s="1268" t="n">
        <v>-144.545545</v>
      </c>
      <c r="V36" s="1269" t="n">
        <v>-60.258332</v>
      </c>
      <c r="W36" s="1268" t="n">
        <v>-152.774581</v>
      </c>
      <c r="X36" s="1268" t="n">
        <v>-152.909633</v>
      </c>
      <c r="Y36" s="1268" t="n">
        <v>-152.909633</v>
      </c>
      <c r="Z36" s="1268" t="n">
        <v>-152.909633</v>
      </c>
      <c r="AA36" s="1231" t="n">
        <v>-152.909633</v>
      </c>
      <c r="AB36" s="1267" t="n"/>
      <c r="AC36" s="1268" t="n"/>
      <c r="AD36" s="1268" t="n"/>
      <c r="AE36" s="1268" t="n"/>
      <c r="AF36" s="1268" t="n"/>
      <c r="AG36" s="1268" t="n"/>
      <c r="AH36" s="1268" t="n"/>
      <c r="AI36" s="1269" t="n"/>
      <c r="AJ36" s="1268" t="n"/>
      <c r="AK36" s="1268" t="n"/>
      <c r="AL36" s="1268" t="n"/>
      <c r="AM36" s="1268" t="n"/>
      <c r="AN36" s="1270" t="n"/>
      <c r="AO36" s="1269" t="n"/>
      <c r="AP36" s="1268" t="n"/>
      <c r="AQ36" s="1268" t="n"/>
      <c r="AR36" s="1268" t="n"/>
      <c r="AS36" s="1268" t="n"/>
      <c r="AT36" s="1268" t="n"/>
      <c r="AU36" s="1269" t="n"/>
      <c r="AV36" s="1268" t="n"/>
      <c r="AW36" s="1268" t="n"/>
      <c r="AX36" s="1268" t="n"/>
      <c r="AY36" s="1268" t="n"/>
      <c r="AZ36" s="1268" t="n"/>
      <c r="BA36" s="1268" t="n"/>
      <c r="BB36" s="1269" t="n"/>
      <c r="BC36" s="1268" t="n"/>
      <c r="BD36" s="1268" t="n"/>
      <c r="BE36" s="1268" t="n"/>
      <c r="BF36" s="1268" t="n"/>
      <c r="BG36" s="1268" t="n"/>
      <c r="BH36" s="1269" t="n"/>
      <c r="BI36" s="1268" t="n"/>
      <c r="BJ36" s="1268" t="n"/>
      <c r="BK36" s="1268" t="n"/>
      <c r="BL36" s="1268" t="n"/>
      <c r="BM36" s="1270" t="n"/>
      <c r="BN36" s="1269" t="n"/>
      <c r="BO36" s="1268" t="n"/>
      <c r="BP36" s="1268" t="n"/>
      <c r="BQ36" s="1268" t="n"/>
      <c r="BR36" s="1268" t="n"/>
      <c r="BS36" s="1270" t="n"/>
      <c r="BT36" s="1269" t="n"/>
      <c r="BU36" s="1268" t="n"/>
      <c r="BV36" s="1268" t="n"/>
      <c r="BW36" s="1268" t="n"/>
      <c r="BX36" s="1268" t="n"/>
      <c r="BY36" s="1271" t="n"/>
    </row>
    <row r="37" ht="16.5" customHeight="1" s="838">
      <c r="B37" s="756" t="n"/>
      <c r="C37" s="754" t="inlineStr">
        <is>
          <t>권역6</t>
        </is>
      </c>
      <c r="D37" s="831" t="inlineStr">
        <is>
          <t>`26 목표</t>
        </is>
      </c>
      <c r="E37" s="1257" t="n">
        <v>8.64691032</v>
      </c>
      <c r="F37" s="1258" t="n">
        <v>8.64691032</v>
      </c>
      <c r="G37" s="1258" t="n">
        <v>8.64691032</v>
      </c>
      <c r="H37" s="1258" t="n">
        <v>8.64691032</v>
      </c>
      <c r="I37" s="1258" t="n">
        <v>8.64691032</v>
      </c>
      <c r="J37" s="1258" t="n">
        <v>8.64691032</v>
      </c>
      <c r="K37" s="1259" t="n">
        <v>-36.436734</v>
      </c>
      <c r="L37" s="1258" t="n">
        <v>-36.436734</v>
      </c>
      <c r="M37" s="1258" t="n">
        <v>-36.436734</v>
      </c>
      <c r="N37" s="1258" t="n">
        <v>-36.436734</v>
      </c>
      <c r="O37" s="1260" t="n">
        <v>-36.436734</v>
      </c>
      <c r="P37" s="1257" t="n">
        <v>-18.033913</v>
      </c>
      <c r="Q37" s="1258" t="n">
        <v>-18.033913</v>
      </c>
      <c r="R37" s="1258" t="n">
        <v>-18.033913</v>
      </c>
      <c r="S37" s="1258" t="n">
        <v>-18.033913</v>
      </c>
      <c r="T37" s="1258" t="n">
        <v>-18.033913</v>
      </c>
      <c r="U37" s="1258" t="n">
        <v>-18.033913</v>
      </c>
      <c r="V37" s="1259" t="n">
        <v>17.886759</v>
      </c>
      <c r="W37" s="1258" t="n">
        <v>17.886759</v>
      </c>
      <c r="X37" s="1258" t="n">
        <v>17.886759</v>
      </c>
      <c r="Y37" s="1258" t="n">
        <v>17.886759</v>
      </c>
      <c r="Z37" s="1258" t="n">
        <v>17.886759</v>
      </c>
      <c r="AA37" s="1260" t="n">
        <v>17.886759</v>
      </c>
      <c r="AB37" s="1257" t="n"/>
      <c r="AC37" s="1258" t="n"/>
      <c r="AD37" s="1258" t="n"/>
      <c r="AE37" s="1258" t="n"/>
      <c r="AF37" s="1258" t="n"/>
      <c r="AG37" s="1258" t="n"/>
      <c r="AH37" s="1258" t="n"/>
      <c r="AI37" s="1259" t="n"/>
      <c r="AJ37" s="1258" t="n"/>
      <c r="AK37" s="1258" t="n"/>
      <c r="AL37" s="1258" t="n"/>
      <c r="AM37" s="1258" t="n"/>
      <c r="AN37" s="1260" t="n"/>
      <c r="AO37" s="1259" t="n"/>
      <c r="AP37" s="1258" t="n"/>
      <c r="AQ37" s="1258" t="n"/>
      <c r="AR37" s="1258" t="n"/>
      <c r="AS37" s="1258" t="n"/>
      <c r="AT37" s="1258" t="n"/>
      <c r="AU37" s="1259" t="n"/>
      <c r="AV37" s="1258" t="n"/>
      <c r="AW37" s="1258" t="n"/>
      <c r="AX37" s="1258" t="n"/>
      <c r="AY37" s="1258" t="n"/>
      <c r="AZ37" s="1258" t="n"/>
      <c r="BA37" s="1258" t="n"/>
      <c r="BB37" s="1259" t="n"/>
      <c r="BC37" s="1258" t="n"/>
      <c r="BD37" s="1258" t="n"/>
      <c r="BE37" s="1258" t="n"/>
      <c r="BF37" s="1258" t="n"/>
      <c r="BG37" s="1258" t="n"/>
      <c r="BH37" s="1259" t="n"/>
      <c r="BI37" s="1258" t="n"/>
      <c r="BJ37" s="1258" t="n"/>
      <c r="BK37" s="1258" t="n"/>
      <c r="BL37" s="1258" t="n"/>
      <c r="BM37" s="1260" t="n"/>
      <c r="BN37" s="1259" t="n"/>
      <c r="BO37" s="1258" t="n"/>
      <c r="BP37" s="1258" t="n"/>
      <c r="BQ37" s="1258" t="n"/>
      <c r="BR37" s="1258" t="n"/>
      <c r="BS37" s="1260" t="n"/>
      <c r="BT37" s="1259" t="n"/>
      <c r="BU37" s="1258" t="n"/>
      <c r="BV37" s="1258" t="n"/>
      <c r="BW37" s="1258" t="n"/>
      <c r="BX37" s="1258" t="n"/>
      <c r="BY37" s="1261" t="n"/>
    </row>
    <row r="38" ht="16.5" customHeight="1" s="838">
      <c r="B38" s="756" t="n"/>
      <c r="C38" s="739" t="n"/>
      <c r="D38" s="831" t="inlineStr">
        <is>
          <t>`26 실적</t>
        </is>
      </c>
      <c r="E38" s="1257" t="n">
        <v>2.7429055</v>
      </c>
      <c r="F38" s="1258" t="n">
        <v>-28.604876</v>
      </c>
      <c r="G38" s="1258" t="n">
        <v>-28.604876</v>
      </c>
      <c r="H38" s="1258" t="n">
        <v>-28.604876</v>
      </c>
      <c r="I38" s="1258" t="n">
        <v>-28.604876</v>
      </c>
      <c r="J38" s="1258" t="n">
        <v>-13.72076</v>
      </c>
      <c r="K38" s="1259" t="n">
        <v>-1.57707235</v>
      </c>
      <c r="L38" s="1258" t="n">
        <v>0</v>
      </c>
      <c r="M38" s="1258" t="n">
        <v>-12.32643069</v>
      </c>
      <c r="N38" s="1258" t="n">
        <v>0</v>
      </c>
      <c r="O38" s="1260" t="n">
        <v>-9.621583210000001</v>
      </c>
      <c r="P38" s="1257" t="n">
        <v>13.97452437</v>
      </c>
      <c r="Q38" s="1258" t="n">
        <v>-7.8536948</v>
      </c>
      <c r="R38" s="1258" t="n">
        <v>-2.36187948</v>
      </c>
      <c r="S38" s="1258" t="n">
        <v>-4.48503017</v>
      </c>
      <c r="T38" s="1258" t="n">
        <v>-3.22941478</v>
      </c>
      <c r="U38" s="1258" t="n">
        <v>-3.22941478</v>
      </c>
      <c r="V38" s="1259" t="n">
        <v>61.598398</v>
      </c>
      <c r="W38" s="1258" t="n">
        <v>47.233341</v>
      </c>
      <c r="X38" s="1258" t="n">
        <v>66.52052399999999</v>
      </c>
      <c r="Y38" s="1258" t="n">
        <v>66.52052399999999</v>
      </c>
      <c r="Z38" s="1258" t="n">
        <v>66.52052399999999</v>
      </c>
      <c r="AA38" s="1206" t="n">
        <v>66.52052399999999</v>
      </c>
      <c r="AB38" s="1257" t="n"/>
      <c r="AC38" s="1258" t="n"/>
      <c r="AD38" s="1258" t="n"/>
      <c r="AE38" s="1258" t="n"/>
      <c r="AF38" s="1258" t="n"/>
      <c r="AG38" s="1258" t="n"/>
      <c r="AH38" s="1258" t="n"/>
      <c r="AI38" s="1259" t="n"/>
      <c r="AJ38" s="1258" t="n"/>
      <c r="AK38" s="1258" t="n"/>
      <c r="AL38" s="1258" t="n"/>
      <c r="AM38" s="1258" t="n"/>
      <c r="AN38" s="1260" t="n"/>
      <c r="AO38" s="1259" t="n"/>
      <c r="AP38" s="1258" t="n"/>
      <c r="AQ38" s="1258" t="n"/>
      <c r="AR38" s="1258" t="n"/>
      <c r="AS38" s="1258" t="n"/>
      <c r="AT38" s="1258" t="n"/>
      <c r="AU38" s="1259" t="n"/>
      <c r="AV38" s="1258" t="n"/>
      <c r="AW38" s="1258" t="n"/>
      <c r="AX38" s="1258" t="n"/>
      <c r="AY38" s="1258" t="n"/>
      <c r="AZ38" s="1258" t="n"/>
      <c r="BA38" s="1258" t="n"/>
      <c r="BB38" s="1259" t="n"/>
      <c r="BC38" s="1258" t="n"/>
      <c r="BD38" s="1258" t="n"/>
      <c r="BE38" s="1258" t="n"/>
      <c r="BF38" s="1258" t="n"/>
      <c r="BG38" s="1258" t="n"/>
      <c r="BH38" s="1259" t="n"/>
      <c r="BI38" s="1258" t="n"/>
      <c r="BJ38" s="1258" t="n"/>
      <c r="BK38" s="1258" t="n"/>
      <c r="BL38" s="1258" t="n"/>
      <c r="BM38" s="1260" t="n"/>
      <c r="BN38" s="1259" t="n"/>
      <c r="BO38" s="1258" t="n"/>
      <c r="BP38" s="1258" t="n"/>
      <c r="BQ38" s="1258" t="n"/>
      <c r="BR38" s="1258" t="n"/>
      <c r="BS38" s="1260" t="n"/>
      <c r="BT38" s="1259" t="n"/>
      <c r="BU38" s="1258" t="n"/>
      <c r="BV38" s="1258" t="n"/>
      <c r="BW38" s="1258" t="n"/>
      <c r="BX38" s="1258" t="n"/>
      <c r="BY38" s="1261" t="n"/>
    </row>
    <row r="39" ht="16.5" customHeight="1" s="838">
      <c r="B39" s="756" t="n"/>
      <c r="C39" s="737" t="inlineStr">
        <is>
          <t>권역7</t>
        </is>
      </c>
      <c r="D39" s="470" t="inlineStr">
        <is>
          <t>`26 목표</t>
        </is>
      </c>
      <c r="E39" s="1262" t="n">
        <v>10.88990648</v>
      </c>
      <c r="F39" s="1263" t="n">
        <v>10.88990648</v>
      </c>
      <c r="G39" s="1263" t="n">
        <v>10.88990648</v>
      </c>
      <c r="H39" s="1263" t="n">
        <v>10.88990648</v>
      </c>
      <c r="I39" s="1263" t="n">
        <v>10.88990648</v>
      </c>
      <c r="J39" s="1263" t="n">
        <v>10.88990648</v>
      </c>
      <c r="K39" s="1264" t="n">
        <v>15.36148507</v>
      </c>
      <c r="L39" s="1263" t="n">
        <v>15.36148507</v>
      </c>
      <c r="M39" s="1263" t="n">
        <v>15.36148507</v>
      </c>
      <c r="N39" s="1263" t="n">
        <v>15.36148507</v>
      </c>
      <c r="O39" s="1265" t="n">
        <v>15.36148507</v>
      </c>
      <c r="P39" s="1262" t="n">
        <v>11.54711584</v>
      </c>
      <c r="Q39" s="1263" t="n">
        <v>11.54711584</v>
      </c>
      <c r="R39" s="1263" t="n">
        <v>11.54711584</v>
      </c>
      <c r="S39" s="1263" t="n">
        <v>11.54711584</v>
      </c>
      <c r="T39" s="1263" t="n">
        <v>11.54711584</v>
      </c>
      <c r="U39" s="1263" t="n">
        <v>11.54711584</v>
      </c>
      <c r="V39" s="1264" t="n">
        <v>9.36192722</v>
      </c>
      <c r="W39" s="1263" t="n">
        <v>9.36192722</v>
      </c>
      <c r="X39" s="1263" t="n">
        <v>9.36192722</v>
      </c>
      <c r="Y39" s="1263" t="n">
        <v>9.36192722</v>
      </c>
      <c r="Z39" s="1263" t="n">
        <v>9.36192722</v>
      </c>
      <c r="AA39" s="1265" t="n">
        <v>9.36192722</v>
      </c>
      <c r="AB39" s="1262" t="n"/>
      <c r="AC39" s="1263" t="n"/>
      <c r="AD39" s="1263" t="n"/>
      <c r="AE39" s="1263" t="n"/>
      <c r="AF39" s="1263" t="n"/>
      <c r="AG39" s="1263" t="n"/>
      <c r="AH39" s="1263" t="n"/>
      <c r="AI39" s="1264" t="n"/>
      <c r="AJ39" s="1263" t="n"/>
      <c r="AK39" s="1263" t="n"/>
      <c r="AL39" s="1263" t="n"/>
      <c r="AM39" s="1263" t="n"/>
      <c r="AN39" s="1265" t="n"/>
      <c r="AO39" s="1264" t="n"/>
      <c r="AP39" s="1263" t="n"/>
      <c r="AQ39" s="1263" t="n"/>
      <c r="AR39" s="1263" t="n"/>
      <c r="AS39" s="1263" t="n"/>
      <c r="AT39" s="1263" t="n"/>
      <c r="AU39" s="1264" t="n"/>
      <c r="AV39" s="1263" t="n"/>
      <c r="AW39" s="1263" t="n"/>
      <c r="AX39" s="1263" t="n"/>
      <c r="AY39" s="1263" t="n"/>
      <c r="AZ39" s="1263" t="n"/>
      <c r="BA39" s="1263" t="n"/>
      <c r="BB39" s="1264" t="n"/>
      <c r="BC39" s="1263" t="n"/>
      <c r="BD39" s="1263" t="n"/>
      <c r="BE39" s="1263" t="n"/>
      <c r="BF39" s="1263" t="n"/>
      <c r="BG39" s="1263" t="n"/>
      <c r="BH39" s="1264" t="n"/>
      <c r="BI39" s="1263" t="n"/>
      <c r="BJ39" s="1263" t="n"/>
      <c r="BK39" s="1263" t="n"/>
      <c r="BL39" s="1263" t="n"/>
      <c r="BM39" s="1265" t="n"/>
      <c r="BN39" s="1264" t="n"/>
      <c r="BO39" s="1263" t="n"/>
      <c r="BP39" s="1263" t="n"/>
      <c r="BQ39" s="1263" t="n"/>
      <c r="BR39" s="1263" t="n"/>
      <c r="BS39" s="1265" t="n"/>
      <c r="BT39" s="1264" t="n"/>
      <c r="BU39" s="1263" t="n"/>
      <c r="BV39" s="1263" t="n"/>
      <c r="BW39" s="1263" t="n"/>
      <c r="BX39" s="1263" t="n"/>
      <c r="BY39" s="1266" t="n"/>
    </row>
    <row r="40" ht="16.5" customHeight="1" s="838">
      <c r="B40" s="756" t="n"/>
      <c r="C40" s="739" t="n"/>
      <c r="D40" s="133" t="inlineStr">
        <is>
          <t>`26 실적</t>
        </is>
      </c>
      <c r="E40" s="1267" t="n">
        <v>11.66008879</v>
      </c>
      <c r="F40" s="1268" t="n">
        <v>-6.4653103</v>
      </c>
      <c r="G40" s="1268" t="n">
        <v>-6.4653103</v>
      </c>
      <c r="H40" s="1268" t="n">
        <v>-6.4653103</v>
      </c>
      <c r="I40" s="1268" t="n">
        <v>-6.4653103</v>
      </c>
      <c r="J40" s="1268" t="n">
        <v>-6.4653103</v>
      </c>
      <c r="K40" s="1269" t="n">
        <v>-37.988123</v>
      </c>
      <c r="L40" s="1268" t="n">
        <v>6.754</v>
      </c>
      <c r="M40" s="1268" t="n">
        <v>6.30094421</v>
      </c>
      <c r="N40" s="1268" t="n">
        <v>6.754</v>
      </c>
      <c r="O40" s="1270" t="n">
        <v>0.19244068</v>
      </c>
      <c r="P40" s="1267" t="n">
        <v>14.79830767</v>
      </c>
      <c r="Q40" s="1268" t="n">
        <v>27.512069</v>
      </c>
      <c r="R40" s="1268" t="n">
        <v>15.815535</v>
      </c>
      <c r="S40" s="1268" t="n">
        <v>15.815535</v>
      </c>
      <c r="T40" s="1268" t="n">
        <v>12.57605146</v>
      </c>
      <c r="U40" s="1268" t="n">
        <v>12.57605146</v>
      </c>
      <c r="V40" s="1269" t="n">
        <v>29.436854</v>
      </c>
      <c r="W40" s="1268" t="n">
        <v>6.94811062</v>
      </c>
      <c r="X40" s="1268" t="n">
        <v>46.036727</v>
      </c>
      <c r="Y40" s="1268" t="n">
        <v>46.036727</v>
      </c>
      <c r="Z40" s="1268" t="n">
        <v>46.036727</v>
      </c>
      <c r="AA40" s="1231" t="n">
        <v>46.036727</v>
      </c>
      <c r="AB40" s="1267" t="n"/>
      <c r="AC40" s="1268" t="n"/>
      <c r="AD40" s="1268" t="n"/>
      <c r="AE40" s="1268" t="n"/>
      <c r="AF40" s="1268" t="n"/>
      <c r="AG40" s="1268" t="n"/>
      <c r="AH40" s="1268" t="n"/>
      <c r="AI40" s="1269" t="n"/>
      <c r="AJ40" s="1268" t="n"/>
      <c r="AK40" s="1268" t="n"/>
      <c r="AL40" s="1268" t="n"/>
      <c r="AM40" s="1268" t="n"/>
      <c r="AN40" s="1270" t="n"/>
      <c r="AO40" s="1269" t="n"/>
      <c r="AP40" s="1268" t="n"/>
      <c r="AQ40" s="1268" t="n"/>
      <c r="AR40" s="1268" t="n"/>
      <c r="AS40" s="1268" t="n"/>
      <c r="AT40" s="1268" t="n"/>
      <c r="AU40" s="1269" t="n"/>
      <c r="AV40" s="1268" t="n"/>
      <c r="AW40" s="1268" t="n"/>
      <c r="AX40" s="1268" t="n"/>
      <c r="AY40" s="1268" t="n"/>
      <c r="AZ40" s="1268" t="n"/>
      <c r="BA40" s="1268" t="n"/>
      <c r="BB40" s="1269" t="n"/>
      <c r="BC40" s="1268" t="n"/>
      <c r="BD40" s="1268" t="n"/>
      <c r="BE40" s="1268" t="n"/>
      <c r="BF40" s="1268" t="n"/>
      <c r="BG40" s="1268" t="n"/>
      <c r="BH40" s="1269" t="n"/>
      <c r="BI40" s="1268" t="n"/>
      <c r="BJ40" s="1268" t="n"/>
      <c r="BK40" s="1268" t="n"/>
      <c r="BL40" s="1268" t="n"/>
      <c r="BM40" s="1270" t="n"/>
      <c r="BN40" s="1269" t="n"/>
      <c r="BO40" s="1268" t="n"/>
      <c r="BP40" s="1268" t="n"/>
      <c r="BQ40" s="1268" t="n"/>
      <c r="BR40" s="1268" t="n"/>
      <c r="BS40" s="1270" t="n"/>
      <c r="BT40" s="1269" t="n"/>
      <c r="BU40" s="1268" t="n"/>
      <c r="BV40" s="1268" t="n"/>
      <c r="BW40" s="1268" t="n"/>
      <c r="BX40" s="1268" t="n"/>
      <c r="BY40" s="1271" t="n"/>
    </row>
    <row r="41" ht="16.5" customHeight="1" s="838">
      <c r="B41" s="756" t="n"/>
      <c r="C41" s="754" t="inlineStr">
        <is>
          <t>권역8</t>
        </is>
      </c>
      <c r="D41" s="831" t="inlineStr">
        <is>
          <t>`26 목표</t>
        </is>
      </c>
      <c r="E41" s="1257" t="n">
        <v>3.53476245</v>
      </c>
      <c r="F41" s="1258" t="n">
        <v>3.53476245</v>
      </c>
      <c r="G41" s="1258" t="n">
        <v>3.53476245</v>
      </c>
      <c r="H41" s="1258" t="n">
        <v>3.53476245</v>
      </c>
      <c r="I41" s="1258" t="n">
        <v>3.53476245</v>
      </c>
      <c r="J41" s="1258" t="n">
        <v>3.53476245</v>
      </c>
      <c r="K41" s="1259" t="n">
        <v>0.15551037</v>
      </c>
      <c r="L41" s="1258" t="n">
        <v>0.15551037</v>
      </c>
      <c r="M41" s="1258" t="n">
        <v>0.15551037</v>
      </c>
      <c r="N41" s="1258" t="n">
        <v>0.15551037</v>
      </c>
      <c r="O41" s="1260" t="n">
        <v>0.15551037</v>
      </c>
      <c r="P41" s="1257" t="n">
        <v>0.26950268</v>
      </c>
      <c r="Q41" s="1258" t="n">
        <v>0.26950268</v>
      </c>
      <c r="R41" s="1258" t="n">
        <v>0.26950268</v>
      </c>
      <c r="S41" s="1258" t="n">
        <v>0.26950268</v>
      </c>
      <c r="T41" s="1258" t="n">
        <v>0.26950268</v>
      </c>
      <c r="U41" s="1258" t="n">
        <v>0.26950268</v>
      </c>
      <c r="V41" s="1259" t="n">
        <v>0.06951474000000001</v>
      </c>
      <c r="W41" s="1258" t="n">
        <v>0.06951474000000001</v>
      </c>
      <c r="X41" s="1258" t="n">
        <v>0.06951474000000001</v>
      </c>
      <c r="Y41" s="1258" t="n">
        <v>0.06951474000000001</v>
      </c>
      <c r="Z41" s="1258" t="n">
        <v>0.06951474000000001</v>
      </c>
      <c r="AA41" s="1260" t="n">
        <v>0.06951474000000001</v>
      </c>
      <c r="AB41" s="1257" t="n"/>
      <c r="AC41" s="1258" t="n"/>
      <c r="AD41" s="1258" t="n"/>
      <c r="AE41" s="1258" t="n"/>
      <c r="AF41" s="963" t="n"/>
      <c r="AG41" s="963" t="n"/>
      <c r="AH41" s="963" t="n"/>
      <c r="AI41" s="1259" t="n"/>
      <c r="AJ41" s="1258" t="n"/>
      <c r="AK41" s="1258" t="n"/>
      <c r="AL41" s="1258" t="n"/>
      <c r="AM41" s="1258" t="n"/>
      <c r="AN41" s="1260" t="n"/>
      <c r="AO41" s="1259" t="n"/>
      <c r="AP41" s="1258" t="n"/>
      <c r="AQ41" s="1258" t="n"/>
      <c r="AR41" s="1258" t="n"/>
      <c r="AS41" s="1258" t="n"/>
      <c r="AT41" s="1258" t="n"/>
      <c r="AU41" s="1259" t="n"/>
      <c r="AV41" s="1258" t="n"/>
      <c r="AW41" s="1258" t="n"/>
      <c r="AX41" s="1258" t="n"/>
      <c r="AY41" s="1258" t="n"/>
      <c r="AZ41" s="1258" t="n"/>
      <c r="BA41" s="1258" t="n"/>
      <c r="BB41" s="1259" t="n"/>
      <c r="BC41" s="1258" t="n"/>
      <c r="BD41" s="1258" t="n"/>
      <c r="BE41" s="1258" t="n"/>
      <c r="BF41" s="1258" t="n"/>
      <c r="BG41" s="1258" t="n"/>
      <c r="BH41" s="1259" t="n"/>
      <c r="BI41" s="1258" t="n"/>
      <c r="BJ41" s="1258" t="n"/>
      <c r="BK41" s="1258" t="n"/>
      <c r="BL41" s="1258" t="n"/>
      <c r="BM41" s="1260" t="n"/>
      <c r="BN41" s="1259" t="n"/>
      <c r="BO41" s="1258" t="n"/>
      <c r="BP41" s="1258" t="n"/>
      <c r="BQ41" s="1258" t="n"/>
      <c r="BR41" s="1258" t="n"/>
      <c r="BS41" s="1260" t="n"/>
      <c r="BT41" s="1259" t="n"/>
      <c r="BU41" s="1258" t="n"/>
      <c r="BV41" s="1258" t="n"/>
      <c r="BW41" s="1258" t="n"/>
      <c r="BX41" s="1258" t="n"/>
      <c r="BY41" s="1261" t="n"/>
    </row>
    <row r="42" ht="17.25" customHeight="1" s="838" thickBot="1">
      <c r="B42" s="770" t="n"/>
      <c r="C42" s="739" t="n"/>
      <c r="D42" s="145" t="inlineStr">
        <is>
          <t>`26 실적</t>
        </is>
      </c>
      <c r="E42" s="1272" t="n">
        <v>-5.56770362</v>
      </c>
      <c r="F42" s="1273" t="n">
        <v>-0.76247049</v>
      </c>
      <c r="G42" s="1273" t="n">
        <v>-0.76247049</v>
      </c>
      <c r="H42" s="1273" t="n">
        <v>-0.76247049</v>
      </c>
      <c r="I42" s="1273" t="n">
        <v>-0.76247049</v>
      </c>
      <c r="J42" s="1273" t="n">
        <v>-8.85464642</v>
      </c>
      <c r="K42" s="1274" t="n">
        <v>-2.76634056</v>
      </c>
      <c r="L42" s="1273" t="n">
        <v>2.761</v>
      </c>
      <c r="M42" s="1273" t="n">
        <v>0.29751287</v>
      </c>
      <c r="N42" s="1273" t="n">
        <v>2.761</v>
      </c>
      <c r="O42" s="1275" t="n">
        <v>0.28348087</v>
      </c>
      <c r="P42" s="1272" t="n">
        <v>-1.76590473</v>
      </c>
      <c r="Q42" s="1273" t="n">
        <v>2.46333417</v>
      </c>
      <c r="R42" s="1273" t="n">
        <v>2.17404662</v>
      </c>
      <c r="S42" s="1273" t="n">
        <v>2.17404662</v>
      </c>
      <c r="T42" s="1273" t="n">
        <v>0.34517767</v>
      </c>
      <c r="U42" s="1273" t="n">
        <v>0.34517767</v>
      </c>
      <c r="V42" s="1274" t="n">
        <v>-0.74974398</v>
      </c>
      <c r="W42" s="1273" t="n">
        <v>0.5492132199999999</v>
      </c>
      <c r="X42" s="1273" t="n">
        <v>-0.92588916</v>
      </c>
      <c r="Y42" s="1273" t="n">
        <v>-0.92588916</v>
      </c>
      <c r="Z42" s="1273" t="n">
        <v>-0.92588916</v>
      </c>
      <c r="AA42" s="1250" t="n">
        <v>-0.92588916</v>
      </c>
      <c r="AB42" s="1272" t="n"/>
      <c r="AC42" s="1273" t="n"/>
      <c r="AD42" s="1273" t="n"/>
      <c r="AE42" s="1273" t="n"/>
      <c r="AF42" s="1000" t="n"/>
      <c r="AG42" s="1000" t="n"/>
      <c r="AH42" s="1000" t="n"/>
      <c r="AI42" s="1274" t="n"/>
      <c r="AJ42" s="1273" t="n"/>
      <c r="AK42" s="1273" t="n"/>
      <c r="AL42" s="1273" t="n"/>
      <c r="AM42" s="1273" t="n"/>
      <c r="AN42" s="1275" t="n"/>
      <c r="AO42" s="1274" t="n"/>
      <c r="AP42" s="1273" t="n"/>
      <c r="AQ42" s="1273" t="n"/>
      <c r="AR42" s="1273" t="n"/>
      <c r="AS42" s="1273" t="n"/>
      <c r="AT42" s="1273" t="n"/>
      <c r="AU42" s="1274" t="n"/>
      <c r="AV42" s="1273" t="n"/>
      <c r="AW42" s="1273" t="n"/>
      <c r="AX42" s="1273" t="n"/>
      <c r="AY42" s="1273" t="n"/>
      <c r="AZ42" s="1273" t="n"/>
      <c r="BA42" s="1273" t="n"/>
      <c r="BB42" s="1274" t="n"/>
      <c r="BC42" s="1273" t="n"/>
      <c r="BD42" s="1273" t="n"/>
      <c r="BE42" s="1273" t="n"/>
      <c r="BF42" s="1273" t="n"/>
      <c r="BG42" s="1273" t="n"/>
      <c r="BH42" s="1274" t="n"/>
      <c r="BI42" s="1273" t="n"/>
      <c r="BJ42" s="1273" t="n"/>
      <c r="BK42" s="1273" t="n"/>
      <c r="BL42" s="1273" t="n"/>
      <c r="BM42" s="1275" t="n"/>
      <c r="BN42" s="1274" t="n"/>
      <c r="BO42" s="1273" t="n"/>
      <c r="BP42" s="1273" t="n"/>
      <c r="BQ42" s="1273" t="n"/>
      <c r="BR42" s="1273" t="n"/>
      <c r="BS42" s="1275" t="n"/>
      <c r="BT42" s="1274" t="n"/>
      <c r="BU42" s="1273" t="n"/>
      <c r="BV42" s="1273" t="n"/>
      <c r="BW42" s="1273" t="n"/>
      <c r="BX42" s="1273" t="n"/>
      <c r="BY42" s="1276" t="n"/>
    </row>
  </sheetData>
  <mergeCells count="33">
    <mergeCell ref="B4:C6"/>
    <mergeCell ref="P2:U2"/>
    <mergeCell ref="BH2:BM2"/>
    <mergeCell ref="B7:B12"/>
    <mergeCell ref="C29:C30"/>
    <mergeCell ref="C33:C34"/>
    <mergeCell ref="C22:C24"/>
    <mergeCell ref="AU2:BA2"/>
    <mergeCell ref="C13:C15"/>
    <mergeCell ref="C35:C36"/>
    <mergeCell ref="C7:C9"/>
    <mergeCell ref="E2:J2"/>
    <mergeCell ref="BT2:BY2"/>
    <mergeCell ref="C25:C26"/>
    <mergeCell ref="C41:C42"/>
    <mergeCell ref="C19:C21"/>
    <mergeCell ref="C31:C32"/>
    <mergeCell ref="B2:D3"/>
    <mergeCell ref="AI2:AN2"/>
    <mergeCell ref="B13:B18"/>
    <mergeCell ref="BB2:BG2"/>
    <mergeCell ref="K2:O2"/>
    <mergeCell ref="C27:C28"/>
    <mergeCell ref="BN2:BS2"/>
    <mergeCell ref="B25:B42"/>
    <mergeCell ref="C39:C40"/>
    <mergeCell ref="B19:B24"/>
    <mergeCell ref="C10:C12"/>
    <mergeCell ref="V2:AA2"/>
    <mergeCell ref="AO2:AT2"/>
    <mergeCell ref="C16:C18"/>
    <mergeCell ref="C37:C38"/>
    <mergeCell ref="AB2:AH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C00000"/>
    <outlinePr summaryBelow="1" summaryRight="1"/>
    <pageSetUpPr/>
  </sheetPr>
  <dimension ref="B1:R68"/>
  <sheetViews>
    <sheetView showGridLines="0" zoomScale="85" zoomScaleNormal="85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U42" sqref="U42"/>
    </sheetView>
  </sheetViews>
  <sheetFormatPr baseColWidth="8" defaultColWidth="9" defaultRowHeight="16.5" customHeight="1"/>
  <cols>
    <col width="3" customWidth="1" style="831" min="1" max="1"/>
    <col width="9.875" customWidth="1" style="831" min="2" max="2"/>
    <col width="8.25" customWidth="1" style="831" min="3" max="3"/>
    <col width="5.25" customWidth="1" style="831" min="4" max="4"/>
    <col width="9.875" customWidth="1" style="831" min="5" max="5"/>
    <col width="7" customWidth="1" style="831" min="6" max="7"/>
    <col width="7.75" customWidth="1" style="831" min="8" max="9"/>
    <col width="7" customWidth="1" style="831" min="10" max="12"/>
    <col width="9" customWidth="1" style="831" min="13" max="14"/>
    <col width="7.75" customWidth="1" style="831" min="15" max="15"/>
    <col width="7" customWidth="1" style="831" min="16" max="17"/>
    <col width="45.5" customWidth="1" style="831" min="18" max="18"/>
    <col width="9" customWidth="1" style="831" min="19" max="19"/>
    <col width="9" customWidth="1" style="831" min="20" max="16384"/>
  </cols>
  <sheetData>
    <row r="1" ht="16.5" customHeight="1" s="838">
      <c r="F1" s="557" t="n"/>
    </row>
    <row r="2" ht="17.25" customHeight="1" s="838">
      <c r="B2" s="792" t="n"/>
      <c r="F2" s="797" t="inlineStr">
        <is>
          <t>1월</t>
        </is>
      </c>
      <c r="G2" s="797" t="inlineStr">
        <is>
          <t>2월</t>
        </is>
      </c>
      <c r="H2" s="797" t="inlineStr">
        <is>
          <t>3월</t>
        </is>
      </c>
      <c r="I2" s="797" t="inlineStr">
        <is>
          <t>4월</t>
        </is>
      </c>
      <c r="J2" s="797" t="inlineStr">
        <is>
          <t>5월</t>
        </is>
      </c>
      <c r="K2" s="797" t="inlineStr">
        <is>
          <t>6월</t>
        </is>
      </c>
      <c r="L2" s="797" t="inlineStr">
        <is>
          <t>7월</t>
        </is>
      </c>
      <c r="M2" s="797" t="inlineStr">
        <is>
          <t>8월</t>
        </is>
      </c>
      <c r="N2" s="797" t="inlineStr">
        <is>
          <t>9월</t>
        </is>
      </c>
      <c r="O2" s="797" t="inlineStr">
        <is>
          <t>10월</t>
        </is>
      </c>
      <c r="P2" s="797" t="inlineStr">
        <is>
          <t>11월</t>
        </is>
      </c>
      <c r="Q2" s="797" t="inlineStr">
        <is>
          <t>12월</t>
        </is>
      </c>
      <c r="R2" s="834" t="n"/>
    </row>
    <row r="3" ht="17.25" customHeight="1" s="838">
      <c r="B3" s="779" t="inlineStr">
        <is>
          <t>키친솔루션</t>
        </is>
      </c>
      <c r="C3" s="750" t="inlineStr">
        <is>
          <t>재무지표</t>
        </is>
      </c>
      <c r="D3" s="750" t="inlineStr">
        <is>
          <t>목표</t>
        </is>
      </c>
      <c r="E3" s="787" t="inlineStr">
        <is>
          <t>총매출</t>
        </is>
      </c>
      <c r="F3" s="1277" t="n">
        <v>6098.10367</v>
      </c>
      <c r="G3" s="1277" t="n">
        <v>6013.070477</v>
      </c>
      <c r="H3" s="1277" t="n">
        <v>5483.490699</v>
      </c>
      <c r="I3" s="1277" t="n">
        <v>3651.672782</v>
      </c>
      <c r="J3" s="1277" t="n"/>
      <c r="K3" s="1277" t="n"/>
      <c r="L3" s="1277" t="n"/>
      <c r="M3" s="1277" t="n"/>
      <c r="N3" s="1277" t="n"/>
      <c r="O3" s="1277" t="n"/>
      <c r="P3" s="1277" t="n"/>
      <c r="Q3" s="1278" t="n"/>
      <c r="R3" s="1279" t="n"/>
    </row>
    <row r="4" ht="17.25" customHeight="1" s="838">
      <c r="B4" s="756" t="n"/>
      <c r="C4" s="738" t="n"/>
      <c r="D4" s="738" t="n"/>
      <c r="E4" s="454" t="inlineStr">
        <is>
          <t>순매출</t>
        </is>
      </c>
      <c r="F4" s="1280" t="n">
        <v>5965.376734</v>
      </c>
      <c r="G4" s="1280" t="n">
        <v>4504.1525</v>
      </c>
      <c r="H4" s="1280" t="n">
        <v>2137.844982</v>
      </c>
      <c r="I4" s="1280" t="n">
        <v>3301.521496</v>
      </c>
      <c r="J4" s="1280" t="n"/>
      <c r="K4" s="1280" t="n"/>
      <c r="L4" s="1280" t="n"/>
      <c r="M4" s="1280" t="n"/>
      <c r="N4" s="1280" t="n"/>
      <c r="O4" s="1280" t="n"/>
      <c r="P4" s="1280" t="n"/>
      <c r="Q4" s="1281" t="n"/>
      <c r="R4" s="1279" t="n"/>
    </row>
    <row r="5" ht="17.25" customHeight="1" s="838">
      <c r="B5" s="756" t="n"/>
      <c r="C5" s="738" t="n"/>
      <c r="D5" s="738" t="n"/>
      <c r="E5" s="454" t="inlineStr">
        <is>
          <t>차감</t>
        </is>
      </c>
      <c r="F5" s="1280">
        <f>F3-F4</f>
        <v/>
      </c>
      <c r="G5" s="1280">
        <f>G3-G4</f>
        <v/>
      </c>
      <c r="H5" s="1280">
        <f>H3-H4</f>
        <v/>
      </c>
      <c r="I5" s="1280">
        <f>I3-I4</f>
        <v/>
      </c>
      <c r="J5" s="1280" t="n"/>
      <c r="K5" s="1280" t="n"/>
      <c r="L5" s="1280" t="n"/>
      <c r="M5" s="1280" t="n"/>
      <c r="N5" s="1280" t="n"/>
      <c r="O5" s="1280" t="n"/>
      <c r="P5" s="1280" t="n"/>
      <c r="Q5" s="1281" t="n"/>
      <c r="R5" s="1279" t="n"/>
    </row>
    <row r="6" ht="17.25" customHeight="1" s="838">
      <c r="B6" s="756" t="n"/>
      <c r="C6" s="738" t="n"/>
      <c r="D6" s="738" t="n"/>
      <c r="E6" s="454" t="inlineStr">
        <is>
          <t>차감률%</t>
        </is>
      </c>
      <c r="F6" s="1282">
        <f>F5/F3</f>
        <v/>
      </c>
      <c r="G6" s="1282">
        <f>G5/G3</f>
        <v/>
      </c>
      <c r="H6" s="1282">
        <f>H5/H3</f>
        <v/>
      </c>
      <c r="I6" s="1282">
        <f>I5/I3</f>
        <v/>
      </c>
      <c r="J6" s="1282" t="n"/>
      <c r="K6" s="1282" t="n"/>
      <c r="L6" s="1282" t="n"/>
      <c r="M6" s="1282" t="n"/>
      <c r="N6" s="1282" t="n"/>
      <c r="O6" s="1282" t="n"/>
      <c r="P6" s="1282" t="n"/>
      <c r="Q6" s="1283" t="n"/>
      <c r="R6" s="1284" t="n"/>
    </row>
    <row r="7" ht="17.25" customHeight="1" s="838">
      <c r="B7" s="756" t="n"/>
      <c r="C7" s="738" t="n"/>
      <c r="D7" s="738" t="n"/>
      <c r="E7" s="454" t="inlineStr">
        <is>
          <t>한계이익</t>
        </is>
      </c>
      <c r="F7" s="1280" t="n">
        <v>1671.149553</v>
      </c>
      <c r="G7" s="1280" t="n">
        <v>1392.438729</v>
      </c>
      <c r="H7" s="1280" t="n">
        <v>2074.257805</v>
      </c>
      <c r="I7" s="1280" t="n">
        <v>1910.478058</v>
      </c>
      <c r="J7" s="1280" t="n"/>
      <c r="K7" s="1280" t="n"/>
      <c r="L7" s="1280" t="n"/>
      <c r="M7" s="1280" t="n"/>
      <c r="N7" s="1280" t="n"/>
      <c r="O7" s="1280" t="n"/>
      <c r="P7" s="1280" t="n"/>
      <c r="Q7" s="1281" t="n"/>
      <c r="R7" s="1279" t="n"/>
    </row>
    <row r="8" ht="16.5" customHeight="1" s="838">
      <c r="B8" s="756" t="n"/>
      <c r="C8" s="738" t="n"/>
      <c r="D8" s="739" t="n"/>
      <c r="E8" s="454" t="inlineStr">
        <is>
          <t>한계이익율</t>
        </is>
      </c>
      <c r="F8" s="1285">
        <f>F7/F3</f>
        <v/>
      </c>
      <c r="G8" s="1285">
        <f>G7/G3</f>
        <v/>
      </c>
      <c r="H8" s="1285">
        <f>H7/H3</f>
        <v/>
      </c>
      <c r="I8" s="1285">
        <f>I7/I3</f>
        <v/>
      </c>
      <c r="J8" s="1285" t="n"/>
      <c r="K8" s="1285" t="n"/>
      <c r="L8" s="1285" t="n"/>
      <c r="M8" s="1285" t="n"/>
      <c r="N8" s="1285" t="n"/>
      <c r="O8" s="1285" t="n"/>
      <c r="P8" s="1285" t="n"/>
      <c r="Q8" s="1286" t="n"/>
      <c r="R8" s="1287" t="n"/>
    </row>
    <row r="9" ht="17.25" customHeight="1" s="838">
      <c r="B9" s="756" t="n"/>
      <c r="C9" s="738" t="n"/>
      <c r="D9" s="737" t="inlineStr">
        <is>
          <t>실적</t>
        </is>
      </c>
      <c r="E9" s="569" t="inlineStr">
        <is>
          <t>총매출</t>
        </is>
      </c>
      <c r="F9" s="1288" t="n">
        <v>4330.226344</v>
      </c>
      <c r="G9" s="1288" t="n">
        <v>4162.834602</v>
      </c>
      <c r="H9" s="1288" t="n">
        <v>2207.046646</v>
      </c>
      <c r="I9" s="1288" t="n">
        <v>2826.269538</v>
      </c>
      <c r="J9" s="1288" t="n"/>
      <c r="K9" s="1288" t="n"/>
      <c r="L9" s="366" t="n"/>
      <c r="M9" s="366" t="n"/>
      <c r="N9" s="366" t="n"/>
      <c r="O9" s="366" t="n"/>
      <c r="P9" s="366" t="n"/>
      <c r="Q9" s="571" t="n"/>
    </row>
    <row r="10" ht="17.25" customHeight="1" s="838">
      <c r="B10" s="756" t="n"/>
      <c r="C10" s="738" t="n"/>
      <c r="D10" s="738" t="n"/>
      <c r="E10" s="833" t="inlineStr">
        <is>
          <t>순매출</t>
        </is>
      </c>
      <c r="F10" s="1280" t="n">
        <v>3500.502231</v>
      </c>
      <c r="G10" s="1280" t="n">
        <v>1962.633138</v>
      </c>
      <c r="H10" s="1280" t="n">
        <v>4267.989284</v>
      </c>
      <c r="I10" s="1280" t="n">
        <v>2941.002927</v>
      </c>
      <c r="J10" s="1280" t="n"/>
      <c r="K10" s="1280" t="n"/>
      <c r="L10" s="367" t="n"/>
      <c r="M10" s="367" t="n"/>
      <c r="N10" s="367" t="n"/>
      <c r="O10" s="367" t="n"/>
      <c r="P10" s="367" t="n"/>
      <c r="Q10" s="152" t="n"/>
    </row>
    <row r="11" ht="17.25" customHeight="1" s="838">
      <c r="B11" s="756" t="n"/>
      <c r="C11" s="738" t="n"/>
      <c r="D11" s="738" t="n"/>
      <c r="E11" s="833" t="inlineStr">
        <is>
          <t>차감</t>
        </is>
      </c>
      <c r="F11" s="1280" t="n">
        <v>311.389264</v>
      </c>
      <c r="G11" s="1280" t="n">
        <v>263.650072</v>
      </c>
      <c r="H11" s="1280" t="n">
        <v>192.95179</v>
      </c>
      <c r="I11" s="1280" t="n">
        <v>305.042101</v>
      </c>
      <c r="J11" s="1280" t="n"/>
      <c r="K11" s="1280" t="n"/>
      <c r="L11" s="367" t="n"/>
      <c r="M11" s="367" t="n"/>
      <c r="N11" s="367" t="n"/>
      <c r="O11" s="367" t="n"/>
      <c r="P11" s="367" t="n"/>
      <c r="Q11" s="152" t="n"/>
    </row>
    <row r="12" ht="17.25" customHeight="1" s="838">
      <c r="B12" s="756" t="n"/>
      <c r="C12" s="738" t="n"/>
      <c r="D12" s="738" t="n"/>
      <c r="E12" s="833" t="inlineStr">
        <is>
          <t>차감률%</t>
        </is>
      </c>
      <c r="F12" s="1282">
        <f>F11/F9</f>
        <v/>
      </c>
      <c r="G12" s="1282">
        <f>G11/G9</f>
        <v/>
      </c>
      <c r="H12" s="1282">
        <f>H11/H9</f>
        <v/>
      </c>
      <c r="I12" s="1282">
        <f>I11/I9</f>
        <v/>
      </c>
      <c r="J12" s="1282" t="n"/>
      <c r="K12" s="1282" t="n"/>
      <c r="L12" s="367" t="n"/>
      <c r="M12" s="367" t="n"/>
      <c r="N12" s="367" t="n"/>
      <c r="O12" s="367" t="n"/>
      <c r="P12" s="367" t="n"/>
      <c r="Q12" s="152" t="n"/>
    </row>
    <row r="13" ht="17.25" customHeight="1" s="838">
      <c r="B13" s="756" t="n"/>
      <c r="C13" s="738" t="n"/>
      <c r="D13" s="738" t="n"/>
      <c r="E13" s="833" t="inlineStr">
        <is>
          <t>한계이익</t>
        </is>
      </c>
      <c r="F13" s="367" t="n"/>
      <c r="G13" s="367" t="n"/>
      <c r="H13" s="367" t="n"/>
      <c r="I13" s="367" t="n"/>
      <c r="J13" s="367" t="n"/>
      <c r="K13" s="367" t="n"/>
      <c r="L13" s="367" t="n"/>
      <c r="M13" s="367" t="n"/>
      <c r="N13" s="367" t="n"/>
      <c r="O13" s="367" t="n"/>
      <c r="P13" s="367" t="n"/>
      <c r="Q13" s="152" t="n"/>
    </row>
    <row r="14" ht="16.5" customHeight="1" s="838">
      <c r="B14" s="756" t="n"/>
      <c r="C14" s="739" t="n"/>
      <c r="D14" s="739" t="n"/>
      <c r="E14" s="573" t="inlineStr">
        <is>
          <t>한계이익율</t>
        </is>
      </c>
      <c r="F14" s="368" t="n"/>
      <c r="G14" s="368" t="n"/>
      <c r="H14" s="368" t="n"/>
      <c r="I14" s="368" t="n"/>
      <c r="J14" s="368" t="n"/>
      <c r="K14" s="368" t="n"/>
      <c r="L14" s="368" t="n"/>
      <c r="M14" s="368" t="n"/>
      <c r="N14" s="368" t="n"/>
      <c r="O14" s="368" t="n"/>
      <c r="P14" s="368" t="n"/>
      <c r="Q14" s="135" t="n"/>
    </row>
    <row r="15" ht="16.5" customHeight="1" s="838">
      <c r="B15" s="756" t="n"/>
      <c r="C15" s="828" t="inlineStr">
        <is>
          <t>개선금액</t>
        </is>
      </c>
      <c r="D15" s="737" t="inlineStr">
        <is>
          <t>목표</t>
        </is>
      </c>
      <c r="E15" s="569" t="inlineStr">
        <is>
          <t>계</t>
        </is>
      </c>
      <c r="F15" s="1289">
        <f>SUM(F16:F19)</f>
        <v/>
      </c>
      <c r="G15" s="1289">
        <f>SUM(G16:G19)</f>
        <v/>
      </c>
      <c r="H15" s="1289">
        <f>SUM(H16:H19)</f>
        <v/>
      </c>
      <c r="I15" s="1289">
        <f>SUM(I16:I19)</f>
        <v/>
      </c>
      <c r="J15" s="1289" t="n"/>
      <c r="K15" s="1289" t="n"/>
      <c r="L15" s="1289" t="n"/>
      <c r="M15" s="1289" t="n"/>
      <c r="N15" s="1289" t="n"/>
      <c r="O15" s="1289" t="n"/>
      <c r="P15" s="1289" t="n"/>
      <c r="Q15" s="1290" t="n"/>
      <c r="R15" s="1291" t="n"/>
    </row>
    <row r="16" ht="16.5" customHeight="1" s="838">
      <c r="B16" s="756" t="n"/>
      <c r="C16" s="738" t="n"/>
      <c r="D16" s="738" t="n"/>
      <c r="E16" s="833" t="inlineStr">
        <is>
          <t>매출 확대</t>
        </is>
      </c>
      <c r="F16" s="1280" t="n">
        <v>269.219341</v>
      </c>
      <c r="G16" s="1280" t="n">
        <v>101.549984</v>
      </c>
      <c r="H16" s="1280" t="n">
        <v>145.096855</v>
      </c>
      <c r="I16" s="1280" t="n">
        <v>268.281975</v>
      </c>
      <c r="J16" s="1280" t="n"/>
      <c r="K16" s="1280" t="n"/>
      <c r="L16" s="1280" t="n"/>
      <c r="M16" s="1280" t="n"/>
      <c r="N16" s="1280" t="n"/>
      <c r="O16" s="1280" t="n"/>
      <c r="P16" s="1280" t="n"/>
      <c r="Q16" s="1281" t="n"/>
      <c r="R16" s="1279" t="n"/>
    </row>
    <row r="17" ht="16.5" customHeight="1" s="838">
      <c r="B17" s="756" t="n"/>
      <c r="C17" s="738" t="n"/>
      <c r="D17" s="738" t="n"/>
      <c r="E17" s="834" t="inlineStr">
        <is>
          <t>Mix 개선</t>
        </is>
      </c>
      <c r="F17" s="1280" t="n">
        <v>12.747307</v>
      </c>
      <c r="G17" s="1280" t="n">
        <v>17.931944</v>
      </c>
      <c r="H17" s="1280" t="n">
        <v>26.486452</v>
      </c>
      <c r="I17" s="1280" t="n">
        <v>19.5143273</v>
      </c>
      <c r="J17" s="1280" t="n"/>
      <c r="K17" s="1280" t="n"/>
      <c r="L17" s="1280" t="n"/>
      <c r="M17" s="1280" t="n"/>
      <c r="N17" s="1280" t="n"/>
      <c r="O17" s="1280" t="n"/>
      <c r="P17" s="1280" t="n"/>
      <c r="Q17" s="1281" t="n"/>
      <c r="R17" s="1279" t="n"/>
    </row>
    <row r="18" ht="16.5" customHeight="1" s="838">
      <c r="B18" s="756" t="n"/>
      <c r="C18" s="738" t="n"/>
      <c r="D18" s="738" t="n"/>
      <c r="E18" s="833" t="inlineStr">
        <is>
          <t>판가 개선</t>
        </is>
      </c>
      <c r="F18" s="1280" t="n">
        <v>-170.393332</v>
      </c>
      <c r="G18" s="1280" t="n">
        <v>-133.313584</v>
      </c>
      <c r="H18" s="1280" t="n">
        <v>31.507668</v>
      </c>
      <c r="I18" s="1280" t="n">
        <v>-92.972032</v>
      </c>
      <c r="J18" s="1280" t="n"/>
      <c r="K18" s="1280" t="n"/>
      <c r="L18" s="1280" t="n"/>
      <c r="M18" s="1280" t="n"/>
      <c r="N18" s="1280" t="n"/>
      <c r="O18" s="1280" t="n"/>
      <c r="P18" s="1280" t="n"/>
      <c r="Q18" s="1281" t="n"/>
      <c r="R18" s="1279" t="n"/>
    </row>
    <row r="19" ht="16.5" customHeight="1" s="838">
      <c r="B19" s="756" t="n"/>
      <c r="C19" s="738" t="n"/>
      <c r="D19" s="739" t="n"/>
      <c r="E19" s="573" t="inlineStr">
        <is>
          <t>매출 차감</t>
        </is>
      </c>
      <c r="F19" s="1292" t="n">
        <v>8.97273648</v>
      </c>
      <c r="G19" s="1292" t="n">
        <v>9.064957</v>
      </c>
      <c r="H19" s="1292" t="n">
        <v>22.954904</v>
      </c>
      <c r="I19" s="1292" t="n">
        <v>13.550306</v>
      </c>
      <c r="J19" s="1292" t="n"/>
      <c r="K19" s="1292" t="n"/>
      <c r="L19" s="1292" t="n"/>
      <c r="M19" s="1292" t="n"/>
      <c r="N19" s="1292" t="n"/>
      <c r="O19" s="1292" t="n"/>
      <c r="P19" s="1292" t="n"/>
      <c r="Q19" s="1293" t="n"/>
      <c r="R19" s="1279" t="n"/>
    </row>
    <row r="20" ht="16.5" customHeight="1" s="838">
      <c r="B20" s="756" t="n"/>
      <c r="C20" s="738" t="n"/>
      <c r="D20" s="754" t="inlineStr">
        <is>
          <t>실적</t>
        </is>
      </c>
      <c r="E20" s="833" t="inlineStr">
        <is>
          <t>계</t>
        </is>
      </c>
      <c r="F20" s="1294">
        <f>SUM(F21:F24)</f>
        <v/>
      </c>
      <c r="G20" s="1294">
        <f>SUM(G21:G24)</f>
        <v/>
      </c>
      <c r="H20" s="1294">
        <f>SUM(H21:H24)</f>
        <v/>
      </c>
      <c r="I20" s="1294">
        <f>SUM(I21:I24)</f>
        <v/>
      </c>
      <c r="J20" s="1294" t="n"/>
      <c r="K20" s="1294" t="n"/>
      <c r="L20" s="1294" t="n"/>
      <c r="M20" s="1294" t="n"/>
      <c r="N20" s="1294" t="n"/>
      <c r="O20" s="367" t="n"/>
      <c r="P20" s="367" t="n"/>
      <c r="Q20" s="152" t="n"/>
    </row>
    <row r="21" ht="16.5" customHeight="1" s="838">
      <c r="B21" s="756" t="n"/>
      <c r="C21" s="738" t="n"/>
      <c r="D21" s="738" t="n"/>
      <c r="E21" s="833" t="inlineStr">
        <is>
          <t>매출 확대</t>
        </is>
      </c>
      <c r="F21" s="1280" t="n">
        <v>11.1433104</v>
      </c>
      <c r="G21" s="1280" t="n">
        <v>-99.66052000000001</v>
      </c>
      <c r="H21" s="1280" t="n">
        <v>-6.86477455</v>
      </c>
      <c r="I21" s="1280" t="n">
        <v>3.04734984</v>
      </c>
      <c r="J21" s="1280" t="n"/>
      <c r="K21" s="1280" t="n"/>
      <c r="L21" s="1280" t="n"/>
      <c r="M21" s="1280" t="n"/>
      <c r="N21" s="1280" t="n"/>
      <c r="O21" s="367" t="n"/>
      <c r="P21" s="367" t="n"/>
      <c r="Q21" s="152" t="n"/>
    </row>
    <row r="22" ht="16.5" customHeight="1" s="838">
      <c r="B22" s="756" t="n"/>
      <c r="C22" s="738" t="n"/>
      <c r="D22" s="738" t="n"/>
      <c r="E22" s="834" t="inlineStr">
        <is>
          <t>Mix 개선</t>
        </is>
      </c>
      <c r="F22" s="1280" t="n">
        <v>0.59052553</v>
      </c>
      <c r="G22" s="1280" t="n">
        <v>1.9366561</v>
      </c>
      <c r="H22" s="1280" t="n">
        <v>54.271333</v>
      </c>
      <c r="I22" s="1280" t="n">
        <v>25.956428</v>
      </c>
      <c r="J22" s="1280" t="n"/>
      <c r="K22" s="1280" t="n"/>
      <c r="L22" s="1280" t="n"/>
      <c r="M22" s="1280" t="n"/>
      <c r="N22" s="1280" t="n"/>
      <c r="O22" s="367" t="n"/>
      <c r="P22" s="367" t="n"/>
      <c r="Q22" s="152" t="n"/>
    </row>
    <row r="23" ht="16.5" customHeight="1" s="838">
      <c r="B23" s="756" t="n"/>
      <c r="C23" s="738" t="n"/>
      <c r="D23" s="738" t="n"/>
      <c r="E23" s="833" t="inlineStr">
        <is>
          <t>판가 개선</t>
        </is>
      </c>
      <c r="F23" s="1280" t="n">
        <v>42.430427</v>
      </c>
      <c r="G23" s="1280" t="n">
        <v>7.62463513</v>
      </c>
      <c r="H23" s="1280" t="n">
        <v>33.838142</v>
      </c>
      <c r="I23" s="1280" t="n">
        <v>18.427794</v>
      </c>
      <c r="J23" s="1280" t="n"/>
      <c r="K23" s="1280" t="n"/>
      <c r="L23" s="1280" t="n"/>
      <c r="M23" s="1280" t="n"/>
      <c r="N23" s="1280" t="n"/>
      <c r="O23" s="367" t="n"/>
      <c r="P23" s="367" t="n"/>
      <c r="Q23" s="152" t="n"/>
    </row>
    <row r="24" ht="17.25" customHeight="1" s="838">
      <c r="B24" s="770" t="n"/>
      <c r="C24" s="739" t="n"/>
      <c r="D24" s="739" t="n"/>
      <c r="E24" s="580" t="inlineStr">
        <is>
          <t>매출 차감</t>
        </is>
      </c>
      <c r="F24" s="1295" t="n">
        <v>29.550913</v>
      </c>
      <c r="G24" s="1295" t="n">
        <v>39.744317</v>
      </c>
      <c r="H24" s="1295" t="n">
        <v>60.2626</v>
      </c>
      <c r="I24" s="1295" t="n">
        <v>-33.102392</v>
      </c>
      <c r="J24" s="1295" t="n"/>
      <c r="K24" s="1295" t="n"/>
      <c r="L24" s="1295" t="n"/>
      <c r="M24" s="1295" t="n"/>
      <c r="N24" s="1295" t="n"/>
      <c r="O24" s="582" t="n"/>
      <c r="P24" s="582" t="n"/>
      <c r="Q24" s="147" t="n"/>
    </row>
    <row r="25" ht="17.25" customHeight="1" s="838">
      <c r="B25" s="779" t="inlineStr">
        <is>
          <t>제품1</t>
        </is>
      </c>
      <c r="C25" s="750" t="inlineStr">
        <is>
          <t>재무지표</t>
        </is>
      </c>
      <c r="D25" s="750" t="inlineStr">
        <is>
          <t>목표</t>
        </is>
      </c>
      <c r="E25" s="583" t="inlineStr">
        <is>
          <t>총매출</t>
        </is>
      </c>
      <c r="F25" s="1277" t="n">
        <v>2024.489811</v>
      </c>
      <c r="G25" s="1277" t="n">
        <v>2371.626972</v>
      </c>
      <c r="H25" s="1277" t="n">
        <v>2241.718325</v>
      </c>
      <c r="I25" s="1277" t="n">
        <v>3336.546662</v>
      </c>
      <c r="J25" s="1277" t="n"/>
      <c r="K25" s="1277" t="n"/>
      <c r="L25" s="1277" t="n"/>
      <c r="M25" s="1277" t="n"/>
      <c r="N25" s="1277" t="n"/>
      <c r="O25" s="1277" t="n"/>
      <c r="P25" s="1277" t="n"/>
      <c r="Q25" s="1278" t="n"/>
      <c r="R25" s="1296" t="n"/>
    </row>
    <row r="26" ht="17.25" customHeight="1" s="838">
      <c r="B26" s="756" t="n"/>
      <c r="C26" s="738" t="n"/>
      <c r="D26" s="738" t="n"/>
      <c r="E26" s="833" t="inlineStr">
        <is>
          <t>순매출</t>
        </is>
      </c>
      <c r="F26" s="1280" t="n">
        <v>3520.135</v>
      </c>
      <c r="G26" s="1280" t="n">
        <v>2854.713</v>
      </c>
      <c r="H26" s="1280" t="n">
        <v>2786.391404</v>
      </c>
      <c r="I26" s="1280" t="n">
        <v>1632.437672</v>
      </c>
      <c r="J26" s="1280" t="n"/>
      <c r="K26" s="1280" t="n"/>
      <c r="L26" s="1280" t="n"/>
      <c r="M26" s="1280" t="n"/>
      <c r="N26" s="1280" t="n"/>
      <c r="O26" s="1280" t="n"/>
      <c r="P26" s="1280" t="n"/>
      <c r="Q26" s="1281" t="n"/>
      <c r="R26" s="1296" t="n"/>
    </row>
    <row r="27" ht="17.25" customHeight="1" s="838">
      <c r="B27" s="756" t="n"/>
      <c r="C27" s="738" t="n"/>
      <c r="D27" s="738" t="n"/>
      <c r="E27" s="833" t="inlineStr">
        <is>
          <t>차감</t>
        </is>
      </c>
      <c r="F27" s="1280">
        <f>F25-F26</f>
        <v/>
      </c>
      <c r="G27" s="1280">
        <f>G25-G26</f>
        <v/>
      </c>
      <c r="H27" s="1280">
        <f>H25-H26</f>
        <v/>
      </c>
      <c r="I27" s="1280">
        <f>I25-I26</f>
        <v/>
      </c>
      <c r="J27" s="1280" t="n"/>
      <c r="K27" s="1280" t="n"/>
      <c r="L27" s="1280" t="n"/>
      <c r="M27" s="1280" t="n"/>
      <c r="N27" s="1280" t="n"/>
      <c r="O27" s="1280" t="n"/>
      <c r="P27" s="1280" t="n"/>
      <c r="Q27" s="1281" t="n"/>
      <c r="R27" s="1297" t="n"/>
    </row>
    <row r="28" ht="17.25" customHeight="1" s="838">
      <c r="B28" s="756" t="n"/>
      <c r="C28" s="738" t="n"/>
      <c r="D28" s="738" t="n"/>
      <c r="E28" s="833" t="inlineStr">
        <is>
          <t>차감률%</t>
        </is>
      </c>
      <c r="F28" s="1282">
        <f>F27/F25</f>
        <v/>
      </c>
      <c r="G28" s="1282">
        <f>G27/G25</f>
        <v/>
      </c>
      <c r="H28" s="1282">
        <f>H27/H25</f>
        <v/>
      </c>
      <c r="I28" s="1282">
        <f>I27/I25</f>
        <v/>
      </c>
      <c r="J28" s="1282" t="n"/>
      <c r="K28" s="1282" t="n"/>
      <c r="L28" s="1282" t="n"/>
      <c r="M28" s="1282" t="n"/>
      <c r="N28" s="1282" t="n"/>
      <c r="O28" s="1282" t="n"/>
      <c r="P28" s="1282" t="n"/>
      <c r="Q28" s="1283" t="n"/>
      <c r="R28" s="1284" t="n"/>
    </row>
    <row r="29" ht="17.25" customHeight="1" s="838">
      <c r="B29" s="756" t="n"/>
      <c r="C29" s="738" t="n"/>
      <c r="D29" s="738" t="n"/>
      <c r="E29" s="833" t="inlineStr">
        <is>
          <t>한계이익</t>
        </is>
      </c>
      <c r="F29" s="1280" t="n">
        <v>1336.675892</v>
      </c>
      <c r="G29" s="1280" t="n">
        <v>635.606408</v>
      </c>
      <c r="H29" s="1280" t="n">
        <v>931.8315720000001</v>
      </c>
      <c r="I29" s="1280" t="n">
        <v>976.977029</v>
      </c>
      <c r="J29" s="1280" t="n"/>
      <c r="K29" s="1280" t="n"/>
      <c r="L29" s="1280" t="n"/>
      <c r="M29" s="1280" t="n"/>
      <c r="N29" s="1280" t="n"/>
      <c r="O29" s="1280" t="n"/>
      <c r="P29" s="1280" t="n"/>
      <c r="Q29" s="1281" t="n"/>
      <c r="R29" s="1279" t="n"/>
    </row>
    <row r="30" ht="16.5" customHeight="1" s="838">
      <c r="B30" s="756" t="n"/>
      <c r="C30" s="738" t="n"/>
      <c r="D30" s="739" t="n"/>
      <c r="E30" s="833" t="inlineStr">
        <is>
          <t>한계이익율</t>
        </is>
      </c>
      <c r="F30" s="1285">
        <f>F29/F25</f>
        <v/>
      </c>
      <c r="G30" s="1285">
        <f>G29/G25</f>
        <v/>
      </c>
      <c r="H30" s="1285">
        <f>H29/H25</f>
        <v/>
      </c>
      <c r="I30" s="1285">
        <f>I29/I25</f>
        <v/>
      </c>
      <c r="J30" s="1285" t="n"/>
      <c r="K30" s="1285" t="n"/>
      <c r="L30" s="1285" t="n"/>
      <c r="M30" s="1285" t="n"/>
      <c r="N30" s="1285" t="n"/>
      <c r="O30" s="1285" t="n"/>
      <c r="P30" s="1285" t="n"/>
      <c r="Q30" s="1286" t="n"/>
      <c r="R30" s="1287" t="n"/>
    </row>
    <row r="31" ht="17.25" customHeight="1" s="838">
      <c r="B31" s="756" t="n"/>
      <c r="C31" s="738" t="n"/>
      <c r="D31" s="737" t="inlineStr">
        <is>
          <t>실적</t>
        </is>
      </c>
      <c r="E31" s="569" t="inlineStr">
        <is>
          <t>총매출</t>
        </is>
      </c>
      <c r="F31" s="1288" t="n">
        <v>2545.591713</v>
      </c>
      <c r="G31" s="1288" t="n">
        <v>2184.460523</v>
      </c>
      <c r="H31" s="1288" t="n">
        <v>3807.196916</v>
      </c>
      <c r="I31" s="1288" t="n">
        <v>3755.434535</v>
      </c>
      <c r="J31" s="1288" t="n"/>
      <c r="K31" s="1288" t="n"/>
      <c r="L31" s="366" t="n"/>
      <c r="M31" s="366" t="n"/>
      <c r="N31" s="366" t="n"/>
      <c r="O31" s="366" t="n"/>
      <c r="P31" s="366" t="n"/>
      <c r="Q31" s="571" t="n"/>
    </row>
    <row r="32" ht="17.25" customHeight="1" s="838">
      <c r="B32" s="756" t="n"/>
      <c r="C32" s="738" t="n"/>
      <c r="D32" s="738" t="n"/>
      <c r="E32" s="833" t="inlineStr">
        <is>
          <t>순매출</t>
        </is>
      </c>
      <c r="F32" s="1280" t="n">
        <v>2635.996586</v>
      </c>
      <c r="G32" s="1280" t="n">
        <v>2041.000942</v>
      </c>
      <c r="H32" s="1280" t="n">
        <v>3541.308628</v>
      </c>
      <c r="I32" s="1280" t="n">
        <v>2949.510331</v>
      </c>
      <c r="J32" s="1280" t="n"/>
      <c r="K32" s="1280" t="n"/>
      <c r="L32" s="367" t="n"/>
      <c r="M32" s="367" t="n"/>
      <c r="N32" s="367" t="n"/>
      <c r="O32" s="367" t="n"/>
      <c r="P32" s="367" t="n"/>
      <c r="Q32" s="152" t="n"/>
    </row>
    <row r="33" ht="17.25" customHeight="1" s="838">
      <c r="B33" s="756" t="n"/>
      <c r="C33" s="738" t="n"/>
      <c r="D33" s="738" t="n"/>
      <c r="E33" s="833" t="inlineStr">
        <is>
          <t>차감</t>
        </is>
      </c>
      <c r="F33" s="1280" t="n">
        <v>269.279178</v>
      </c>
      <c r="G33" s="1280" t="n">
        <v>342.897271</v>
      </c>
      <c r="H33" s="1280" t="n">
        <v>422.980535</v>
      </c>
      <c r="I33" s="1280" t="n">
        <v>262.366431</v>
      </c>
      <c r="J33" s="1280" t="n"/>
      <c r="K33" s="1280" t="n"/>
      <c r="L33" s="367" t="n"/>
      <c r="M33" s="367" t="n"/>
      <c r="N33" s="367" t="n"/>
      <c r="O33" s="367" t="n"/>
      <c r="P33" s="367" t="n"/>
      <c r="Q33" s="152" t="n"/>
    </row>
    <row r="34" ht="17.25" customHeight="1" s="838">
      <c r="B34" s="756" t="n"/>
      <c r="C34" s="738" t="n"/>
      <c r="D34" s="738" t="n"/>
      <c r="E34" s="833" t="inlineStr">
        <is>
          <t>차감률%</t>
        </is>
      </c>
      <c r="F34" s="1282">
        <f>F33/F31</f>
        <v/>
      </c>
      <c r="G34" s="1282">
        <f>G33/G31</f>
        <v/>
      </c>
      <c r="H34" s="1282">
        <f>H33/H31</f>
        <v/>
      </c>
      <c r="I34" s="1282">
        <f>I33/I31</f>
        <v/>
      </c>
      <c r="J34" s="1282" t="n"/>
      <c r="K34" s="1282" t="n"/>
      <c r="L34" s="367" t="n"/>
      <c r="M34" s="367" t="n"/>
      <c r="N34" s="367" t="n"/>
      <c r="O34" s="367" t="n"/>
      <c r="P34" s="367" t="n"/>
      <c r="Q34" s="152" t="n"/>
    </row>
    <row r="35" ht="17.25" customHeight="1" s="838">
      <c r="B35" s="756" t="n"/>
      <c r="C35" s="738" t="n"/>
      <c r="D35" s="738" t="n"/>
      <c r="E35" s="833" t="inlineStr">
        <is>
          <t>한계이익</t>
        </is>
      </c>
      <c r="F35" s="367" t="n"/>
      <c r="G35" s="367" t="n"/>
      <c r="H35" s="367" t="n"/>
      <c r="I35" s="367" t="n"/>
      <c r="J35" s="367" t="n"/>
      <c r="K35" s="367" t="n"/>
      <c r="L35" s="367" t="n"/>
      <c r="M35" s="367" t="n"/>
      <c r="N35" s="367" t="n"/>
      <c r="O35" s="367" t="n"/>
      <c r="P35" s="367" t="n"/>
      <c r="Q35" s="152" t="n"/>
    </row>
    <row r="36" ht="16.5" customHeight="1" s="838">
      <c r="B36" s="756" t="n"/>
      <c r="C36" s="739" t="n"/>
      <c r="D36" s="739" t="n"/>
      <c r="E36" s="573" t="inlineStr">
        <is>
          <t>한계이익율</t>
        </is>
      </c>
      <c r="F36" s="368" t="n"/>
      <c r="G36" s="368" t="n"/>
      <c r="H36" s="368" t="n"/>
      <c r="I36" s="368" t="n"/>
      <c r="J36" s="368" t="n"/>
      <c r="K36" s="368" t="n"/>
      <c r="L36" s="368" t="n"/>
      <c r="M36" s="368" t="n"/>
      <c r="N36" s="368" t="n"/>
      <c r="O36" s="368" t="n"/>
      <c r="P36" s="368" t="n"/>
      <c r="Q36" s="135" t="n"/>
    </row>
    <row r="37" ht="16.5" customHeight="1" s="838">
      <c r="B37" s="756" t="n"/>
      <c r="C37" s="828" t="inlineStr">
        <is>
          <t>개선금액</t>
        </is>
      </c>
      <c r="D37" s="737" t="inlineStr">
        <is>
          <t>목표</t>
        </is>
      </c>
      <c r="E37" s="569" t="inlineStr">
        <is>
          <t>계</t>
        </is>
      </c>
      <c r="F37" s="1289">
        <f>SUM(F38:F41)</f>
        <v/>
      </c>
      <c r="G37" s="1289">
        <f>SUM(G38:G41)</f>
        <v/>
      </c>
      <c r="H37" s="1289">
        <f>SUM(H38:H41)</f>
        <v/>
      </c>
      <c r="I37" s="1289">
        <f>SUM(I38:I41)</f>
        <v/>
      </c>
      <c r="J37" s="1289" t="n"/>
      <c r="K37" s="1289" t="n"/>
      <c r="L37" s="1289" t="n"/>
      <c r="M37" s="1289" t="n"/>
      <c r="N37" s="1289" t="n"/>
      <c r="O37" s="1289" t="n"/>
      <c r="P37" s="1289" t="n"/>
      <c r="Q37" s="1290" t="n"/>
      <c r="R37" s="1291" t="n"/>
    </row>
    <row r="38" ht="16.5" customHeight="1" s="838">
      <c r="B38" s="756" t="n"/>
      <c r="C38" s="738" t="n"/>
      <c r="D38" s="738" t="n"/>
      <c r="E38" s="833" t="inlineStr">
        <is>
          <t>매출 확대</t>
        </is>
      </c>
      <c r="F38" s="1280" t="n">
        <v>242.22073</v>
      </c>
      <c r="G38" s="1280" t="n">
        <v>59.50332</v>
      </c>
      <c r="H38" s="1280" t="n">
        <v>156.756334</v>
      </c>
      <c r="I38" s="1280" t="n">
        <v>147.370302</v>
      </c>
      <c r="J38" s="1280" t="n"/>
      <c r="K38" s="1280" t="n"/>
      <c r="L38" s="1280" t="n"/>
      <c r="M38" s="1280" t="n"/>
      <c r="N38" s="1280" t="n"/>
      <c r="O38" s="1280" t="n"/>
      <c r="P38" s="1280" t="n"/>
      <c r="Q38" s="1281" t="n"/>
      <c r="R38" s="1279" t="n"/>
    </row>
    <row r="39" ht="16.5" customHeight="1" s="838">
      <c r="B39" s="756" t="n"/>
      <c r="C39" s="738" t="n"/>
      <c r="D39" s="738" t="n"/>
      <c r="E39" s="834" t="inlineStr">
        <is>
          <t>Mix 개선</t>
        </is>
      </c>
      <c r="F39" s="1280" t="n">
        <v>3.65310086</v>
      </c>
      <c r="G39" s="1280" t="n">
        <v>5.58030034</v>
      </c>
      <c r="H39" s="1280" t="n">
        <v>2.95121175</v>
      </c>
      <c r="I39" s="1280" t="n">
        <v>7.14451595</v>
      </c>
      <c r="J39" s="1280" t="n"/>
      <c r="K39" s="1280" t="n"/>
      <c r="L39" s="1280" t="n"/>
      <c r="M39" s="1280" t="n"/>
      <c r="N39" s="1280" t="n"/>
      <c r="O39" s="1280" t="n"/>
      <c r="P39" s="1280" t="n"/>
      <c r="Q39" s="1281" t="n"/>
      <c r="R39" s="1279" t="n"/>
    </row>
    <row r="40" ht="16.5" customHeight="1" s="838">
      <c r="B40" s="756" t="n"/>
      <c r="C40" s="738" t="n"/>
      <c r="D40" s="738" t="n"/>
      <c r="E40" s="833" t="inlineStr">
        <is>
          <t>판가 개선</t>
        </is>
      </c>
      <c r="F40" s="1280" t="n">
        <v>-170.393332</v>
      </c>
      <c r="G40" s="1280" t="n">
        <v>-133.313584</v>
      </c>
      <c r="H40" s="1280" t="n">
        <v>31.507668</v>
      </c>
      <c r="I40" s="1280" t="n">
        <v>-92.972032</v>
      </c>
      <c r="J40" s="1280" t="n"/>
      <c r="K40" s="1280" t="n"/>
      <c r="L40" s="1280" t="n"/>
      <c r="M40" s="1280" t="n"/>
      <c r="N40" s="1280" t="n"/>
      <c r="O40" s="1280" t="n"/>
      <c r="P40" s="1280" t="n"/>
      <c r="Q40" s="1281" t="n"/>
      <c r="R40" s="1279" t="n"/>
    </row>
    <row r="41" ht="16.5" customHeight="1" s="838">
      <c r="B41" s="756" t="n"/>
      <c r="C41" s="738" t="n"/>
      <c r="D41" s="739" t="n"/>
      <c r="E41" s="573" t="inlineStr">
        <is>
          <t>매출 차감</t>
        </is>
      </c>
      <c r="F41" s="1292" t="n">
        <v>5.36450077</v>
      </c>
      <c r="G41" s="1292" t="n">
        <v>16.16368702</v>
      </c>
      <c r="H41" s="1292" t="n">
        <v>13.05707716</v>
      </c>
      <c r="I41" s="1292" t="n">
        <v>16.82377824</v>
      </c>
      <c r="J41" s="1292" t="n"/>
      <c r="K41" s="1292" t="n"/>
      <c r="L41" s="1292" t="n"/>
      <c r="M41" s="1292" t="n"/>
      <c r="N41" s="1292" t="n"/>
      <c r="O41" s="1292" t="n"/>
      <c r="P41" s="1292" t="n"/>
      <c r="Q41" s="1293" t="n"/>
      <c r="R41" s="1279" t="n"/>
    </row>
    <row r="42" ht="16.5" customHeight="1" s="838">
      <c r="B42" s="756" t="n"/>
      <c r="C42" s="738" t="n"/>
      <c r="D42" s="754" t="inlineStr">
        <is>
          <t>실적</t>
        </is>
      </c>
      <c r="E42" s="833" t="inlineStr">
        <is>
          <t>계</t>
        </is>
      </c>
      <c r="F42" s="1294">
        <f>SUM(F43:F46)</f>
        <v/>
      </c>
      <c r="G42" s="1294">
        <f>SUM(G43:G46)</f>
        <v/>
      </c>
      <c r="H42" s="1294">
        <f>SUM(H43:H46)</f>
        <v/>
      </c>
      <c r="I42" s="1294">
        <f>SUM(I43:I46)</f>
        <v/>
      </c>
      <c r="J42" s="1294" t="n"/>
      <c r="K42" s="1294" t="n"/>
      <c r="L42" s="1294" t="n"/>
      <c r="M42" s="1294" t="n"/>
      <c r="N42" s="1294" t="n"/>
      <c r="O42" s="367" t="n"/>
      <c r="P42" s="367" t="n"/>
      <c r="Q42" s="152" t="n"/>
    </row>
    <row r="43" ht="16.5" customHeight="1" s="838">
      <c r="B43" s="756" t="n"/>
      <c r="C43" s="738" t="n"/>
      <c r="D43" s="738" t="n"/>
      <c r="E43" s="833" t="inlineStr">
        <is>
          <t>매출 확대</t>
        </is>
      </c>
      <c r="F43" s="1280" t="n">
        <v>0.32382566</v>
      </c>
      <c r="G43" s="1280" t="n">
        <v>-65.752449</v>
      </c>
      <c r="H43" s="1280" t="n">
        <v>-3.0282057</v>
      </c>
      <c r="I43" s="1280" t="n">
        <v>16.01747947</v>
      </c>
      <c r="J43" s="1280" t="n"/>
      <c r="K43" s="1280" t="n"/>
      <c r="L43" s="1280" t="n"/>
      <c r="M43" s="1280" t="n"/>
      <c r="N43" s="1280" t="n"/>
      <c r="O43" s="367" t="n"/>
      <c r="P43" s="367" t="n"/>
      <c r="Q43" s="152" t="n"/>
    </row>
    <row r="44" ht="16.5" customHeight="1" s="838">
      <c r="B44" s="756" t="n"/>
      <c r="C44" s="738" t="n"/>
      <c r="D44" s="738" t="n"/>
      <c r="E44" s="834" t="inlineStr">
        <is>
          <t>Mix 개선</t>
        </is>
      </c>
      <c r="F44" s="1280" t="n">
        <v>0.59198194</v>
      </c>
      <c r="G44" s="1280" t="n">
        <v>0.95</v>
      </c>
      <c r="H44" s="1280" t="n">
        <v>53.74097</v>
      </c>
      <c r="I44" s="1280" t="n">
        <v>31.771117</v>
      </c>
      <c r="J44" s="1280" t="n"/>
      <c r="K44" s="1280" t="n"/>
      <c r="L44" s="1280" t="n"/>
      <c r="M44" s="1280" t="n"/>
      <c r="N44" s="1280" t="n"/>
      <c r="O44" s="367" t="n"/>
      <c r="P44" s="367" t="n"/>
      <c r="Q44" s="152" t="n"/>
    </row>
    <row r="45" ht="16.5" customHeight="1" s="838">
      <c r="B45" s="756" t="n"/>
      <c r="C45" s="738" t="n"/>
      <c r="D45" s="738" t="n"/>
      <c r="E45" s="833" t="inlineStr">
        <is>
          <t>판가 개선</t>
        </is>
      </c>
      <c r="F45" s="1280" t="n">
        <v>42.430427</v>
      </c>
      <c r="G45" s="1280" t="n">
        <v>7.62463513</v>
      </c>
      <c r="H45" s="1280" t="n">
        <v>33.838142</v>
      </c>
      <c r="I45" s="1280" t="n">
        <v>18.427794</v>
      </c>
      <c r="J45" s="1280" t="n"/>
      <c r="K45" s="1280" t="n"/>
      <c r="L45" s="1280" t="n"/>
      <c r="M45" s="1280" t="n"/>
      <c r="N45" s="1280" t="n"/>
      <c r="O45" s="367" t="n"/>
      <c r="P45" s="367" t="n"/>
      <c r="Q45" s="152" t="n"/>
    </row>
    <row r="46" ht="17.25" customHeight="1" s="838" thickBot="1">
      <c r="B46" s="770" t="n"/>
      <c r="C46" s="739" t="n"/>
      <c r="D46" s="739" t="n"/>
      <c r="E46" s="580" t="inlineStr">
        <is>
          <t>매출 차감</t>
        </is>
      </c>
      <c r="F46" s="1295" t="n">
        <v>8.54579464</v>
      </c>
      <c r="G46" s="1295" t="n">
        <v>14.44405</v>
      </c>
      <c r="H46" s="1295" t="n">
        <v>41.865182</v>
      </c>
      <c r="I46" s="1295" t="n">
        <v>-90.74813899999999</v>
      </c>
      <c r="J46" s="1295" t="n"/>
      <c r="K46" s="1295" t="n"/>
      <c r="L46" s="1295" t="n"/>
      <c r="M46" s="1295" t="n"/>
      <c r="N46" s="1295" t="n"/>
      <c r="O46" s="582" t="n"/>
      <c r="P46" s="582" t="n"/>
      <c r="Q46" s="147" t="n"/>
    </row>
    <row r="47" ht="17.25" customHeight="1" s="838">
      <c r="B47" s="779" t="inlineStr">
        <is>
          <t>제품2</t>
        </is>
      </c>
      <c r="C47" s="750" t="inlineStr">
        <is>
          <t>재무지표</t>
        </is>
      </c>
      <c r="D47" s="750" t="inlineStr">
        <is>
          <t>목표</t>
        </is>
      </c>
      <c r="E47" s="583" t="inlineStr">
        <is>
          <t>총매출</t>
        </is>
      </c>
      <c r="F47" s="1277" t="n">
        <v>691.606812</v>
      </c>
      <c r="G47" s="1277" t="n">
        <v>954.5721129999999</v>
      </c>
      <c r="H47" s="1277" t="n">
        <v>1179.816877</v>
      </c>
      <c r="I47" s="1277" t="n">
        <v>1885.598759</v>
      </c>
      <c r="J47" s="1277" t="n"/>
      <c r="K47" s="1277" t="n"/>
      <c r="L47" s="1277" t="n"/>
      <c r="M47" s="1277" t="n"/>
      <c r="N47" s="1277" t="n"/>
      <c r="O47" s="1277" t="n"/>
      <c r="P47" s="1277" t="n"/>
      <c r="Q47" s="1278" t="n"/>
      <c r="R47" s="1279" t="n"/>
    </row>
    <row r="48" ht="17.25" customHeight="1" s="838">
      <c r="B48" s="756" t="n"/>
      <c r="C48" s="738" t="n"/>
      <c r="D48" s="738" t="n"/>
      <c r="E48" s="833" t="inlineStr">
        <is>
          <t>순매출</t>
        </is>
      </c>
      <c r="F48" s="1280" t="n">
        <v>868.933906</v>
      </c>
      <c r="G48" s="1280" t="n">
        <v>582.152497</v>
      </c>
      <c r="H48" s="1280" t="n">
        <v>1090.316116</v>
      </c>
      <c r="I48" s="1280" t="n">
        <v>1506.495732</v>
      </c>
      <c r="J48" s="1280" t="n"/>
      <c r="K48" s="1280" t="n"/>
      <c r="L48" s="1280" t="n"/>
      <c r="M48" s="1280" t="n"/>
      <c r="N48" s="1280" t="n"/>
      <c r="O48" s="1280" t="n"/>
      <c r="P48" s="1280" t="n"/>
      <c r="Q48" s="1281" t="n"/>
      <c r="R48" s="1279" t="n"/>
    </row>
    <row r="49" ht="17.25" customHeight="1" s="838">
      <c r="B49" s="756" t="n"/>
      <c r="C49" s="738" t="n"/>
      <c r="D49" s="738" t="n"/>
      <c r="E49" s="833" t="inlineStr">
        <is>
          <t>차감</t>
        </is>
      </c>
      <c r="F49" s="1280">
        <f>F47-F48</f>
        <v/>
      </c>
      <c r="G49" s="1280">
        <f>G47-G48</f>
        <v/>
      </c>
      <c r="H49" s="1280">
        <f>H47-H48</f>
        <v/>
      </c>
      <c r="I49" s="1280">
        <f>I47-I48</f>
        <v/>
      </c>
      <c r="J49" s="1280" t="n"/>
      <c r="K49" s="1280" t="n"/>
      <c r="L49" s="1280" t="n"/>
      <c r="M49" s="1280" t="n"/>
      <c r="N49" s="1280" t="n"/>
      <c r="O49" s="1280" t="n"/>
      <c r="P49" s="1280" t="n"/>
      <c r="Q49" s="1281" t="n"/>
      <c r="R49" s="1279" t="n"/>
    </row>
    <row r="50" ht="17.25" customHeight="1" s="838">
      <c r="B50" s="756" t="n"/>
      <c r="C50" s="738" t="n"/>
      <c r="D50" s="738" t="n"/>
      <c r="E50" s="833" t="inlineStr">
        <is>
          <t>차감률%</t>
        </is>
      </c>
      <c r="F50" s="1282">
        <f>F49/F47</f>
        <v/>
      </c>
      <c r="G50" s="1282">
        <f>G49/G47</f>
        <v/>
      </c>
      <c r="H50" s="1282">
        <f>H49/H47</f>
        <v/>
      </c>
      <c r="I50" s="1282">
        <f>I49/I47</f>
        <v/>
      </c>
      <c r="J50" s="1282" t="n"/>
      <c r="K50" s="1282" t="n"/>
      <c r="L50" s="1282" t="n"/>
      <c r="M50" s="1282" t="n"/>
      <c r="N50" s="1282" t="n"/>
      <c r="O50" s="1282" t="n"/>
      <c r="P50" s="1282" t="n"/>
      <c r="Q50" s="1283" t="n"/>
      <c r="R50" s="1284" t="n"/>
    </row>
    <row r="51" ht="17.25" customHeight="1" s="838">
      <c r="B51" s="756" t="n"/>
      <c r="C51" s="738" t="n"/>
      <c r="D51" s="738" t="n"/>
      <c r="E51" s="833" t="inlineStr">
        <is>
          <t>한계이익</t>
        </is>
      </c>
      <c r="F51" s="1280" t="n">
        <v>548.770409</v>
      </c>
      <c r="G51" s="1280" t="n">
        <v>550.880303</v>
      </c>
      <c r="H51" s="1280" t="n">
        <v>374.866417</v>
      </c>
      <c r="I51" s="1280" t="n">
        <v>269.574142</v>
      </c>
      <c r="J51" s="1280" t="n"/>
      <c r="K51" s="1280" t="n"/>
      <c r="L51" s="1280" t="n"/>
      <c r="M51" s="1280" t="n"/>
      <c r="N51" s="1280" t="n"/>
      <c r="O51" s="1280" t="n"/>
      <c r="P51" s="1280" t="n"/>
      <c r="Q51" s="1281" t="n"/>
      <c r="R51" s="1279" t="n"/>
    </row>
    <row r="52" ht="16.5" customHeight="1" s="838">
      <c r="B52" s="756" t="n"/>
      <c r="C52" s="738" t="n"/>
      <c r="D52" s="739" t="n"/>
      <c r="E52" s="833" t="inlineStr">
        <is>
          <t>한계이익율</t>
        </is>
      </c>
      <c r="F52" s="1285">
        <f>F51/F47</f>
        <v/>
      </c>
      <c r="G52" s="1285">
        <f>G51/G47</f>
        <v/>
      </c>
      <c r="H52" s="1285">
        <f>H51/H47</f>
        <v/>
      </c>
      <c r="I52" s="1285">
        <f>I51/I47</f>
        <v/>
      </c>
      <c r="J52" s="1285" t="n"/>
      <c r="K52" s="1285" t="n"/>
      <c r="L52" s="1285" t="n"/>
      <c r="M52" s="1285" t="n"/>
      <c r="N52" s="1285" t="n"/>
      <c r="O52" s="1285" t="n"/>
      <c r="P52" s="1285" t="n"/>
      <c r="Q52" s="1286" t="n"/>
      <c r="R52" s="1287" t="n"/>
    </row>
    <row r="53" ht="17.25" customHeight="1" s="838">
      <c r="B53" s="756" t="n"/>
      <c r="C53" s="738" t="n"/>
      <c r="D53" s="737" t="inlineStr">
        <is>
          <t>실적</t>
        </is>
      </c>
      <c r="E53" s="569" t="inlineStr">
        <is>
          <t>총매출</t>
        </is>
      </c>
      <c r="F53" s="1288" t="n">
        <v>1501.085415</v>
      </c>
      <c r="G53" s="1288" t="n">
        <v>723.00971</v>
      </c>
      <c r="H53" s="1288" t="n">
        <v>1245.205052</v>
      </c>
      <c r="I53" s="1288" t="n">
        <v>801.405368</v>
      </c>
      <c r="J53" s="1288" t="n"/>
      <c r="K53" s="1288" t="n"/>
      <c r="L53" s="366" t="n"/>
      <c r="M53" s="366" t="n"/>
      <c r="N53" s="366" t="n"/>
      <c r="O53" s="366" t="n"/>
      <c r="P53" s="366" t="n"/>
      <c r="Q53" s="571" t="n"/>
    </row>
    <row r="54" ht="17.25" customHeight="1" s="838">
      <c r="B54" s="756" t="n"/>
      <c r="C54" s="738" t="n"/>
      <c r="D54" s="738" t="n"/>
      <c r="E54" s="833" t="inlineStr">
        <is>
          <t>순매출</t>
        </is>
      </c>
      <c r="F54" s="1280" t="n">
        <v>624.694596</v>
      </c>
      <c r="G54" s="1280" t="n">
        <v>844.127822</v>
      </c>
      <c r="H54" s="1280" t="n">
        <v>1372.961181</v>
      </c>
      <c r="I54" s="1280" t="n">
        <v>1127.589861</v>
      </c>
      <c r="J54" s="1280" t="n"/>
      <c r="K54" s="1280" t="n"/>
      <c r="L54" s="367" t="n"/>
      <c r="M54" s="367" t="n"/>
      <c r="N54" s="367" t="n"/>
      <c r="O54" s="367" t="n"/>
      <c r="P54" s="367" t="n"/>
      <c r="Q54" s="152" t="n"/>
    </row>
    <row r="55" ht="17.25" customHeight="1" s="838">
      <c r="B55" s="756" t="n"/>
      <c r="C55" s="738" t="n"/>
      <c r="D55" s="738" t="n"/>
      <c r="E55" s="833" t="inlineStr">
        <is>
          <t>차감</t>
        </is>
      </c>
      <c r="F55" s="1280" t="n">
        <v>26.885495</v>
      </c>
      <c r="G55" s="1280" t="n">
        <v>46.872906</v>
      </c>
      <c r="H55" s="1280" t="n">
        <v>52.522823</v>
      </c>
      <c r="I55" s="1280" t="n">
        <v>42.484518</v>
      </c>
      <c r="J55" s="1280" t="n"/>
      <c r="K55" s="1280" t="n"/>
      <c r="L55" s="367" t="n"/>
      <c r="M55" s="367" t="n"/>
      <c r="N55" s="367" t="n"/>
      <c r="O55" s="367" t="n"/>
      <c r="P55" s="367" t="n"/>
      <c r="Q55" s="152" t="n"/>
    </row>
    <row r="56" ht="17.25" customHeight="1" s="838">
      <c r="B56" s="756" t="n"/>
      <c r="C56" s="738" t="n"/>
      <c r="D56" s="738" t="n"/>
      <c r="E56" s="833" t="inlineStr">
        <is>
          <t>차감률%</t>
        </is>
      </c>
      <c r="F56" s="1282">
        <f>F55/F53</f>
        <v/>
      </c>
      <c r="G56" s="1282">
        <f>G55/G53</f>
        <v/>
      </c>
      <c r="H56" s="1282">
        <f>H55/H53</f>
        <v/>
      </c>
      <c r="I56" s="1282">
        <f>I55/I53</f>
        <v/>
      </c>
      <c r="J56" s="1282" t="n"/>
      <c r="K56" s="1282" t="n"/>
      <c r="L56" s="367" t="n"/>
      <c r="M56" s="367" t="n"/>
      <c r="N56" s="367" t="n"/>
      <c r="O56" s="367" t="n"/>
      <c r="P56" s="367" t="n"/>
      <c r="Q56" s="152" t="n"/>
    </row>
    <row r="57" ht="17.25" customHeight="1" s="838">
      <c r="B57" s="756" t="n"/>
      <c r="C57" s="738" t="n"/>
      <c r="D57" s="738" t="n"/>
      <c r="E57" s="833" t="inlineStr">
        <is>
          <t>한계이익</t>
        </is>
      </c>
      <c r="F57" s="367" t="n"/>
      <c r="G57" s="367" t="n"/>
      <c r="H57" s="367" t="n"/>
      <c r="I57" s="367" t="n"/>
      <c r="J57" s="367" t="n"/>
      <c r="K57" s="367" t="n"/>
      <c r="L57" s="367" t="n"/>
      <c r="M57" s="367" t="n"/>
      <c r="N57" s="367" t="n"/>
      <c r="O57" s="367" t="n"/>
      <c r="P57" s="367" t="n"/>
      <c r="Q57" s="152" t="n"/>
    </row>
    <row r="58" ht="16.5" customHeight="1" s="838">
      <c r="B58" s="756" t="n"/>
      <c r="C58" s="739" t="n"/>
      <c r="D58" s="739" t="n"/>
      <c r="E58" s="573" t="inlineStr">
        <is>
          <t>한계이익율</t>
        </is>
      </c>
      <c r="F58" s="368" t="n"/>
      <c r="G58" s="368" t="n"/>
      <c r="H58" s="368" t="n"/>
      <c r="I58" s="368" t="n"/>
      <c r="J58" s="368" t="n"/>
      <c r="K58" s="368" t="n"/>
      <c r="L58" s="368" t="n"/>
      <c r="M58" s="368" t="n"/>
      <c r="N58" s="368" t="n"/>
      <c r="O58" s="368" t="n"/>
      <c r="P58" s="368" t="n"/>
      <c r="Q58" s="135" t="n"/>
    </row>
    <row r="59" ht="16.5" customHeight="1" s="838">
      <c r="B59" s="756" t="n"/>
      <c r="C59" s="828" t="inlineStr">
        <is>
          <t>개선금액</t>
        </is>
      </c>
      <c r="D59" s="737" t="inlineStr">
        <is>
          <t>목표</t>
        </is>
      </c>
      <c r="E59" s="569" t="inlineStr">
        <is>
          <t>계</t>
        </is>
      </c>
      <c r="F59" s="1289">
        <f>SUM(F60:F63)</f>
        <v/>
      </c>
      <c r="G59" s="1289">
        <f>SUM(G60:G63)</f>
        <v/>
      </c>
      <c r="H59" s="1289">
        <f>SUM(H60:H63)</f>
        <v/>
      </c>
      <c r="I59" s="1289">
        <f>SUM(I60:I63)</f>
        <v/>
      </c>
      <c r="J59" s="1289" t="n"/>
      <c r="K59" s="1289" t="n"/>
      <c r="L59" s="1289" t="n"/>
      <c r="M59" s="1289" t="n"/>
      <c r="N59" s="1289" t="n"/>
      <c r="O59" s="1289" t="n"/>
      <c r="P59" s="1289" t="n"/>
      <c r="Q59" s="1290" t="n"/>
      <c r="R59" s="1291" t="n"/>
    </row>
    <row r="60" ht="16.5" customHeight="1" s="838">
      <c r="B60" s="756" t="n"/>
      <c r="C60" s="738" t="n"/>
      <c r="D60" s="738" t="n"/>
      <c r="E60" s="833" t="inlineStr">
        <is>
          <t>매출 확대</t>
        </is>
      </c>
      <c r="F60" s="1280" t="n">
        <v>58.377056</v>
      </c>
      <c r="G60" s="1280" t="n">
        <v>58.438202</v>
      </c>
      <c r="H60" s="1280" t="n">
        <v>6.40256261</v>
      </c>
      <c r="I60" s="1280" t="n">
        <v>85.71444099999999</v>
      </c>
      <c r="J60" s="1280" t="n"/>
      <c r="K60" s="1280" t="n"/>
      <c r="L60" s="1280" t="n"/>
      <c r="M60" s="1280" t="n"/>
      <c r="N60" s="1280" t="n"/>
      <c r="O60" s="1280" t="n"/>
      <c r="P60" s="1280" t="n"/>
      <c r="Q60" s="1281" t="n"/>
      <c r="R60" s="1279" t="n"/>
    </row>
    <row r="61" ht="16.5" customHeight="1" s="838">
      <c r="B61" s="756" t="n"/>
      <c r="C61" s="738" t="n"/>
      <c r="D61" s="738" t="n"/>
      <c r="E61" s="834" t="inlineStr">
        <is>
          <t>Mix 개선</t>
        </is>
      </c>
      <c r="F61" s="1280" t="n">
        <v>7.03008301</v>
      </c>
      <c r="G61" s="1280" t="n">
        <v>10.93581438</v>
      </c>
      <c r="H61" s="1280" t="n">
        <v>12.59128542</v>
      </c>
      <c r="I61" s="1280" t="n">
        <v>6.55646671</v>
      </c>
      <c r="J61" s="1280" t="n"/>
      <c r="K61" s="1280" t="n"/>
      <c r="L61" s="1280" t="n"/>
      <c r="M61" s="1280" t="n"/>
      <c r="N61" s="1280" t="n"/>
      <c r="O61" s="1280" t="n"/>
      <c r="P61" s="1280" t="n"/>
      <c r="Q61" s="1281" t="n"/>
      <c r="R61" s="1279" t="n"/>
    </row>
    <row r="62" ht="16.5" customHeight="1" s="838">
      <c r="B62" s="756" t="n"/>
      <c r="C62" s="738" t="n"/>
      <c r="D62" s="738" t="n"/>
      <c r="E62" s="833" t="inlineStr">
        <is>
          <t>판가 개선</t>
        </is>
      </c>
      <c r="F62" s="1280" t="n"/>
      <c r="G62" s="1280" t="n"/>
      <c r="H62" s="1280" t="n"/>
      <c r="I62" s="1280" t="n"/>
      <c r="J62" s="1280" t="n"/>
      <c r="K62" s="1280" t="n"/>
      <c r="L62" s="1280" t="n"/>
      <c r="M62" s="1280" t="n"/>
      <c r="N62" s="1280" t="n"/>
      <c r="O62" s="1280" t="n"/>
      <c r="P62" s="1280" t="n"/>
      <c r="Q62" s="1281" t="n"/>
      <c r="R62" s="1279" t="n"/>
    </row>
    <row r="63" ht="16.5" customHeight="1" s="838">
      <c r="B63" s="756" t="n"/>
      <c r="C63" s="738" t="n"/>
      <c r="D63" s="739" t="n"/>
      <c r="E63" s="573" t="inlineStr">
        <is>
          <t>매출 차감</t>
        </is>
      </c>
      <c r="F63" s="1292" t="n">
        <v>0.95</v>
      </c>
      <c r="G63" s="1292" t="n">
        <v>6.09735642</v>
      </c>
      <c r="H63" s="1292" t="n">
        <v>3.25100001</v>
      </c>
      <c r="I63" s="1292" t="n">
        <v>4.57574162</v>
      </c>
      <c r="J63" s="1292" t="n"/>
      <c r="K63" s="1292" t="n"/>
      <c r="L63" s="1292" t="n"/>
      <c r="M63" s="1292" t="n"/>
      <c r="N63" s="1292" t="n"/>
      <c r="O63" s="1292" t="n"/>
      <c r="P63" s="1292" t="n"/>
      <c r="Q63" s="1293" t="n"/>
      <c r="R63" s="1279" t="n"/>
    </row>
    <row r="64" ht="16.5" customHeight="1" s="838">
      <c r="B64" s="756" t="n"/>
      <c r="C64" s="738" t="n"/>
      <c r="D64" s="754" t="inlineStr">
        <is>
          <t>실적</t>
        </is>
      </c>
      <c r="E64" s="833" t="inlineStr">
        <is>
          <t>계</t>
        </is>
      </c>
      <c r="F64" s="1294">
        <f>SUM(F65:F68)</f>
        <v/>
      </c>
      <c r="G64" s="1294">
        <f>SUM(G65:G68)</f>
        <v/>
      </c>
      <c r="H64" s="1294">
        <f>SUM(H65:H68)</f>
        <v/>
      </c>
      <c r="I64" s="1294">
        <f>SUM(I65:I68)</f>
        <v/>
      </c>
      <c r="J64" s="1294" t="n"/>
      <c r="K64" s="1294" t="n"/>
      <c r="L64" s="1294" t="n"/>
      <c r="M64" s="1294" t="n"/>
      <c r="N64" s="1294" t="n"/>
      <c r="O64" s="367" t="n"/>
      <c r="P64" s="367" t="n"/>
      <c r="Q64" s="152" t="n"/>
    </row>
    <row r="65" ht="16.5" customHeight="1" s="838">
      <c r="B65" s="756" t="n"/>
      <c r="C65" s="738" t="n"/>
      <c r="D65" s="738" t="n"/>
      <c r="E65" s="833" t="inlineStr">
        <is>
          <t>매출 확대</t>
        </is>
      </c>
      <c r="F65" s="1280" t="n">
        <v>18.90261495</v>
      </c>
      <c r="G65" s="1280" t="n">
        <v>-20.04667746</v>
      </c>
      <c r="H65" s="1280" t="n">
        <v>-4.27368098</v>
      </c>
      <c r="I65" s="1280" t="n">
        <v>-3.97724477</v>
      </c>
      <c r="J65" s="1280" t="n"/>
      <c r="K65" s="1280" t="n"/>
      <c r="L65" s="1280" t="n"/>
      <c r="M65" s="1280" t="n"/>
      <c r="N65" s="1280" t="n"/>
      <c r="O65" s="367" t="n"/>
      <c r="P65" s="367" t="n"/>
      <c r="Q65" s="152" t="n"/>
    </row>
    <row r="66" ht="16.5" customHeight="1" s="838">
      <c r="B66" s="756" t="n"/>
      <c r="C66" s="738" t="n"/>
      <c r="D66" s="738" t="n"/>
      <c r="E66" s="834" t="inlineStr">
        <is>
          <t>Mix 개선</t>
        </is>
      </c>
      <c r="F66" s="1280" t="n">
        <v>0.20604056</v>
      </c>
      <c r="G66" s="1280" t="n">
        <v>0.31508611</v>
      </c>
      <c r="H66" s="1280" t="n">
        <v>22.510824</v>
      </c>
      <c r="I66" s="1280" t="n">
        <v>14.64252573</v>
      </c>
      <c r="J66" s="1280" t="n"/>
      <c r="K66" s="1280" t="n"/>
      <c r="L66" s="1280" t="n"/>
      <c r="M66" s="1280" t="n"/>
      <c r="N66" s="1280" t="n"/>
      <c r="O66" s="367" t="n"/>
      <c r="P66" s="367" t="n"/>
      <c r="Q66" s="152" t="n"/>
    </row>
    <row r="67" ht="16.5" customHeight="1" s="838">
      <c r="B67" s="756" t="n"/>
      <c r="C67" s="738" t="n"/>
      <c r="D67" s="738" t="n"/>
      <c r="E67" s="833" t="inlineStr">
        <is>
          <t>판가 개선</t>
        </is>
      </c>
      <c r="F67" s="1280" t="n"/>
      <c r="G67" s="1280" t="n"/>
      <c r="H67" s="1280" t="n"/>
      <c r="I67" s="1280" t="n"/>
      <c r="J67" s="1280" t="n"/>
      <c r="K67" s="1280" t="n"/>
      <c r="L67" s="1280" t="n"/>
      <c r="M67" s="367" t="n"/>
      <c r="N67" s="367" t="n"/>
      <c r="O67" s="367" t="n"/>
      <c r="P67" s="367" t="n"/>
      <c r="Q67" s="152" t="n"/>
    </row>
    <row r="68" ht="17.25" customHeight="1" s="838" thickBot="1">
      <c r="B68" s="770" t="n"/>
      <c r="C68" s="739" t="n"/>
      <c r="D68" s="739" t="n"/>
      <c r="E68" s="580" t="inlineStr">
        <is>
          <t>매출 차감</t>
        </is>
      </c>
      <c r="F68" s="1295" t="n">
        <v>35.928476</v>
      </c>
      <c r="G68" s="1295" t="n">
        <v>11.01026058</v>
      </c>
      <c r="H68" s="1295" t="n">
        <v>8.580610610000001</v>
      </c>
      <c r="I68" s="1295" t="n">
        <v>4.24651885</v>
      </c>
      <c r="J68" s="1295" t="n"/>
      <c r="K68" s="1295" t="n"/>
      <c r="L68" s="1295" t="n"/>
      <c r="M68" s="1295" t="n"/>
      <c r="N68" s="1295" t="n"/>
      <c r="O68" s="582" t="n"/>
      <c r="P68" s="582" t="n"/>
      <c r="Q68" s="147" t="n"/>
    </row>
  </sheetData>
  <mergeCells count="22">
    <mergeCell ref="D31:D36"/>
    <mergeCell ref="C3:C14"/>
    <mergeCell ref="C37:C46"/>
    <mergeCell ref="D37:D41"/>
    <mergeCell ref="D15:D19"/>
    <mergeCell ref="C15:C24"/>
    <mergeCell ref="D64:D68"/>
    <mergeCell ref="D42:D46"/>
    <mergeCell ref="D20:D24"/>
    <mergeCell ref="C59:C68"/>
    <mergeCell ref="D59:D63"/>
    <mergeCell ref="D53:D58"/>
    <mergeCell ref="D3:D8"/>
    <mergeCell ref="D47:D52"/>
    <mergeCell ref="D25:D30"/>
    <mergeCell ref="B2:E2"/>
    <mergeCell ref="C47:C58"/>
    <mergeCell ref="D9:D14"/>
    <mergeCell ref="C25:C36"/>
    <mergeCell ref="B25:B46"/>
    <mergeCell ref="B47:B68"/>
    <mergeCell ref="B3:B24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006600"/>
    <outlinePr summaryBelow="1" summaryRight="1"/>
    <pageSetUpPr/>
  </sheetPr>
  <dimension ref="B2:BZ36"/>
  <sheetViews>
    <sheetView showGridLines="0"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P27" sqref="P27"/>
    </sheetView>
  </sheetViews>
  <sheetFormatPr baseColWidth="8" defaultColWidth="9" defaultRowHeight="16.5" customHeight="1"/>
  <cols>
    <col width="3.125" customWidth="1" style="831" min="1" max="1"/>
    <col width="10.125" customWidth="1" style="831" min="2" max="2"/>
    <col width="8.625" customWidth="1" style="831" min="3" max="3"/>
    <col width="7.875" customWidth="1" style="833" min="4" max="4"/>
    <col width="5.25" customWidth="1" style="831" min="5" max="5"/>
    <col outlineLevel="1" width="4.25" customWidth="1" style="831" min="6" max="10"/>
    <col width="5.25" customWidth="1" style="831" min="11" max="11"/>
    <col outlineLevel="1" width="4.25" customWidth="1" style="831" min="12" max="15"/>
    <col width="5.25" customWidth="1" style="831" min="16" max="16"/>
    <col outlineLevel="1" width="4.625" customWidth="1" style="831" min="17" max="21"/>
    <col width="5.25" customWidth="1" style="831" min="22" max="22"/>
    <col outlineLevel="1" width="4.625" customWidth="1" style="831" min="23" max="27"/>
    <col width="5.25" customWidth="1" style="831" min="28" max="28"/>
    <col outlineLevel="1" width="4.625" customWidth="1" style="831" min="29" max="34"/>
    <col width="4.625" customWidth="1" style="831" min="35" max="35"/>
    <col outlineLevel="1" width="4.625" customWidth="1" style="831" min="36" max="40"/>
    <col width="7.25" customWidth="1" style="831" min="41" max="41"/>
    <col outlineLevel="1" width="7.25" customWidth="1" style="831" min="42" max="46"/>
    <col width="5.125" customWidth="1" style="831" min="47" max="47"/>
    <col outlineLevel="1" width="5.125" customWidth="1" style="831" min="48" max="53"/>
    <col width="5.125" customWidth="1" style="831" min="54" max="54"/>
    <col outlineLevel="1" width="5.125" customWidth="1" style="831" min="55" max="59"/>
    <col width="5.125" customWidth="1" style="831" min="60" max="60"/>
    <col outlineLevel="1" width="5.125" customWidth="1" style="831" min="61" max="65"/>
    <col width="5.125" customWidth="1" style="831" min="66" max="66"/>
    <col outlineLevel="1" width="5.125" customWidth="1" style="831" min="67" max="71"/>
    <col width="5.125" customWidth="1" style="831" min="72" max="72"/>
    <col outlineLevel="1" width="5.125" customWidth="1" style="831" min="73" max="77"/>
    <col width="5.25" customWidth="1" style="831" min="78" max="78"/>
    <col width="9" customWidth="1" style="831" min="79" max="79"/>
    <col width="9" customWidth="1" style="831" min="80" max="16384"/>
  </cols>
  <sheetData>
    <row r="2" ht="16.5" customHeight="1" s="838">
      <c r="B2" s="834" t="n"/>
      <c r="E2" s="783" t="inlineStr">
        <is>
          <t>1월</t>
        </is>
      </c>
      <c r="F2" s="740" t="n"/>
      <c r="G2" s="740" t="n"/>
      <c r="H2" s="740" t="n"/>
      <c r="I2" s="740" t="n"/>
      <c r="J2" s="741" t="n"/>
      <c r="K2" s="733" t="inlineStr">
        <is>
          <t>2월</t>
        </is>
      </c>
      <c r="L2" s="740" t="n"/>
      <c r="M2" s="740" t="n"/>
      <c r="N2" s="740" t="n"/>
      <c r="O2" s="741" t="n"/>
      <c r="P2" s="777" t="inlineStr">
        <is>
          <t>3월</t>
        </is>
      </c>
      <c r="Q2" s="740" t="n"/>
      <c r="R2" s="740" t="n"/>
      <c r="S2" s="740" t="n"/>
      <c r="T2" s="740" t="n"/>
      <c r="U2" s="741" t="n"/>
      <c r="V2" s="783" t="inlineStr">
        <is>
          <t>4월</t>
        </is>
      </c>
      <c r="W2" s="740" t="n"/>
      <c r="X2" s="740" t="n"/>
      <c r="Y2" s="740" t="n"/>
      <c r="Z2" s="740" t="n"/>
      <c r="AA2" s="741" t="n"/>
      <c r="AB2" s="783" t="inlineStr">
        <is>
          <t>5월</t>
        </is>
      </c>
      <c r="AC2" s="740" t="n"/>
      <c r="AD2" s="740" t="n"/>
      <c r="AE2" s="740" t="n"/>
      <c r="AF2" s="740" t="n"/>
      <c r="AG2" s="740" t="n"/>
      <c r="AH2" s="741" t="n"/>
      <c r="AI2" s="783" t="inlineStr">
        <is>
          <t>6월</t>
        </is>
      </c>
      <c r="AJ2" s="740" t="n"/>
      <c r="AK2" s="740" t="n"/>
      <c r="AL2" s="740" t="n"/>
      <c r="AM2" s="740" t="n"/>
      <c r="AN2" s="741" t="n"/>
      <c r="AO2" s="783" t="inlineStr">
        <is>
          <t>7월</t>
        </is>
      </c>
      <c r="AP2" s="740" t="n"/>
      <c r="AQ2" s="740" t="n"/>
      <c r="AR2" s="740" t="n"/>
      <c r="AS2" s="740" t="n"/>
      <c r="AT2" s="741" t="n"/>
      <c r="AU2" s="776" t="inlineStr">
        <is>
          <t>8월</t>
        </is>
      </c>
      <c r="AV2" s="740" t="n"/>
      <c r="AW2" s="740" t="n"/>
      <c r="AX2" s="740" t="n"/>
      <c r="AY2" s="740" t="n"/>
      <c r="AZ2" s="740" t="n"/>
      <c r="BA2" s="741" t="n"/>
      <c r="BB2" s="776" t="inlineStr">
        <is>
          <t>9월</t>
        </is>
      </c>
      <c r="BC2" s="740" t="n"/>
      <c r="BD2" s="740" t="n"/>
      <c r="BE2" s="740" t="n"/>
      <c r="BF2" s="740" t="n"/>
      <c r="BG2" s="741" t="n"/>
      <c r="BH2" s="776" t="inlineStr">
        <is>
          <t>10월</t>
        </is>
      </c>
      <c r="BI2" s="740" t="n"/>
      <c r="BJ2" s="740" t="n"/>
      <c r="BK2" s="740" t="n"/>
      <c r="BL2" s="740" t="n"/>
      <c r="BM2" s="741" t="n"/>
      <c r="BN2" s="776" t="inlineStr">
        <is>
          <t>11월</t>
        </is>
      </c>
      <c r="BO2" s="740" t="n"/>
      <c r="BP2" s="740" t="n"/>
      <c r="BQ2" s="740" t="n"/>
      <c r="BR2" s="740" t="n"/>
      <c r="BS2" s="741" t="n"/>
      <c r="BT2" s="776" t="inlineStr">
        <is>
          <t>12월</t>
        </is>
      </c>
      <c r="BU2" s="740" t="n"/>
      <c r="BV2" s="740" t="n"/>
      <c r="BW2" s="740" t="n"/>
      <c r="BX2" s="740" t="n"/>
      <c r="BY2" s="741" t="n"/>
    </row>
    <row r="3" ht="17.25" customHeight="1" s="838">
      <c r="E3" s="395" t="inlineStr">
        <is>
          <t>실적</t>
        </is>
      </c>
      <c r="F3" s="783" t="inlineStr">
        <is>
          <t>W1</t>
        </is>
      </c>
      <c r="G3" s="783" t="inlineStr">
        <is>
          <t>W2</t>
        </is>
      </c>
      <c r="H3" s="783" t="inlineStr">
        <is>
          <t>W3</t>
        </is>
      </c>
      <c r="I3" s="783" t="inlineStr">
        <is>
          <t>W4</t>
        </is>
      </c>
      <c r="J3" s="783" t="inlineStr">
        <is>
          <t>W5</t>
        </is>
      </c>
      <c r="K3" s="83" t="inlineStr">
        <is>
          <t>실적</t>
        </is>
      </c>
      <c r="L3" s="797" t="inlineStr">
        <is>
          <t>W6</t>
        </is>
      </c>
      <c r="M3" s="797" t="inlineStr">
        <is>
          <t>W7</t>
        </is>
      </c>
      <c r="N3" s="797" t="inlineStr">
        <is>
          <t>W8</t>
        </is>
      </c>
      <c r="O3" s="797" t="inlineStr">
        <is>
          <t>W9</t>
        </is>
      </c>
      <c r="P3" s="194" t="inlineStr">
        <is>
          <t>실적</t>
        </is>
      </c>
      <c r="Q3" s="797" t="inlineStr">
        <is>
          <t>W10</t>
        </is>
      </c>
      <c r="R3" s="797" t="inlineStr">
        <is>
          <t>W11</t>
        </is>
      </c>
      <c r="S3" s="797" t="inlineStr">
        <is>
          <t>W12</t>
        </is>
      </c>
      <c r="T3" s="797" t="inlineStr">
        <is>
          <t>W13</t>
        </is>
      </c>
      <c r="U3" s="394" t="inlineStr">
        <is>
          <t>W14</t>
        </is>
      </c>
      <c r="V3" s="395" t="inlineStr">
        <is>
          <t>실적</t>
        </is>
      </c>
      <c r="W3" s="783" t="inlineStr">
        <is>
          <t>W14</t>
        </is>
      </c>
      <c r="X3" s="783" t="inlineStr">
        <is>
          <t>W15</t>
        </is>
      </c>
      <c r="Y3" s="783" t="inlineStr">
        <is>
          <t>W16</t>
        </is>
      </c>
      <c r="Z3" s="783" t="inlineStr">
        <is>
          <t>W17</t>
        </is>
      </c>
      <c r="AA3" s="783" t="inlineStr">
        <is>
          <t>W18</t>
        </is>
      </c>
      <c r="AB3" s="395" t="inlineStr">
        <is>
          <t>실적</t>
        </is>
      </c>
      <c r="AC3" s="783" t="inlineStr">
        <is>
          <t>W18</t>
        </is>
      </c>
      <c r="AD3" s="783" t="inlineStr">
        <is>
          <t>W19</t>
        </is>
      </c>
      <c r="AE3" s="783" t="inlineStr">
        <is>
          <t>W20</t>
        </is>
      </c>
      <c r="AF3" s="783" t="inlineStr">
        <is>
          <t>W21</t>
        </is>
      </c>
      <c r="AG3" s="783" t="inlineStr">
        <is>
          <t>W22</t>
        </is>
      </c>
      <c r="AH3" s="783" t="inlineStr">
        <is>
          <t>W23</t>
        </is>
      </c>
      <c r="AI3" s="395" t="inlineStr">
        <is>
          <t>실적</t>
        </is>
      </c>
      <c r="AJ3" s="783" t="inlineStr">
        <is>
          <t>W23</t>
        </is>
      </c>
      <c r="AK3" s="783" t="inlineStr">
        <is>
          <t>W24</t>
        </is>
      </c>
      <c r="AL3" s="783" t="inlineStr">
        <is>
          <t>W25</t>
        </is>
      </c>
      <c r="AM3" s="783" t="inlineStr">
        <is>
          <t>W26</t>
        </is>
      </c>
      <c r="AN3" s="783" t="inlineStr">
        <is>
          <t>W27</t>
        </is>
      </c>
      <c r="AO3" s="395" t="inlineStr">
        <is>
          <t>실적</t>
        </is>
      </c>
      <c r="AP3" s="783" t="inlineStr">
        <is>
          <t>W27</t>
        </is>
      </c>
      <c r="AQ3" s="783" t="inlineStr">
        <is>
          <t>W28</t>
        </is>
      </c>
      <c r="AR3" s="783" t="inlineStr">
        <is>
          <t>W29</t>
        </is>
      </c>
      <c r="AS3" s="783" t="inlineStr">
        <is>
          <t>W30</t>
        </is>
      </c>
      <c r="AT3" s="783" t="inlineStr">
        <is>
          <t>W31</t>
        </is>
      </c>
      <c r="AU3" s="395" t="inlineStr">
        <is>
          <t>실적</t>
        </is>
      </c>
      <c r="AV3" s="776" t="inlineStr">
        <is>
          <t>W31</t>
        </is>
      </c>
      <c r="AW3" s="776" t="inlineStr">
        <is>
          <t>W32</t>
        </is>
      </c>
      <c r="AX3" s="776" t="inlineStr">
        <is>
          <t>W33</t>
        </is>
      </c>
      <c r="AY3" s="776" t="inlineStr">
        <is>
          <t>W34</t>
        </is>
      </c>
      <c r="AZ3" s="776" t="inlineStr">
        <is>
          <t>W35</t>
        </is>
      </c>
      <c r="BA3" s="475" t="inlineStr">
        <is>
          <t>W36</t>
        </is>
      </c>
      <c r="BB3" s="395" t="inlineStr">
        <is>
          <t>실적</t>
        </is>
      </c>
      <c r="BC3" s="776" t="inlineStr">
        <is>
          <t>W36</t>
        </is>
      </c>
      <c r="BD3" s="776" t="inlineStr">
        <is>
          <t>W37</t>
        </is>
      </c>
      <c r="BE3" s="776" t="inlineStr">
        <is>
          <t>W38</t>
        </is>
      </c>
      <c r="BF3" s="776" t="inlineStr">
        <is>
          <t>W39</t>
        </is>
      </c>
      <c r="BG3" s="776" t="inlineStr">
        <is>
          <t>W40</t>
        </is>
      </c>
      <c r="BH3" s="395" t="inlineStr">
        <is>
          <t>실적</t>
        </is>
      </c>
      <c r="BI3" s="776" t="inlineStr">
        <is>
          <t>W40</t>
        </is>
      </c>
      <c r="BJ3" s="776" t="inlineStr">
        <is>
          <t>W41</t>
        </is>
      </c>
      <c r="BK3" s="776" t="inlineStr">
        <is>
          <t>W42</t>
        </is>
      </c>
      <c r="BL3" s="776" t="inlineStr">
        <is>
          <t>W43</t>
        </is>
      </c>
      <c r="BM3" s="776" t="inlineStr">
        <is>
          <t>W44</t>
        </is>
      </c>
      <c r="BN3" s="395" t="inlineStr">
        <is>
          <t>실적</t>
        </is>
      </c>
      <c r="BO3" s="776" t="inlineStr">
        <is>
          <t>W45</t>
        </is>
      </c>
      <c r="BP3" s="776" t="inlineStr">
        <is>
          <t>W46</t>
        </is>
      </c>
      <c r="BQ3" s="776" t="inlineStr">
        <is>
          <t>W47</t>
        </is>
      </c>
      <c r="BR3" s="776" t="inlineStr">
        <is>
          <t>W48</t>
        </is>
      </c>
      <c r="BS3" s="776" t="inlineStr">
        <is>
          <t>W49</t>
        </is>
      </c>
      <c r="BT3" s="395" t="inlineStr">
        <is>
          <t>실적</t>
        </is>
      </c>
      <c r="BU3" s="776" t="inlineStr">
        <is>
          <t>W49</t>
        </is>
      </c>
      <c r="BV3" s="776" t="inlineStr">
        <is>
          <t>W50</t>
        </is>
      </c>
      <c r="BW3" s="776" t="inlineStr">
        <is>
          <t>W51</t>
        </is>
      </c>
      <c r="BX3" s="776" t="inlineStr">
        <is>
          <t>W52</t>
        </is>
      </c>
      <c r="BY3" s="776" t="inlineStr">
        <is>
          <t>W53</t>
        </is>
      </c>
    </row>
    <row r="4" ht="16.5" customHeight="1" s="838">
      <c r="B4" s="779" t="inlineStr">
        <is>
          <t>키친솔루션</t>
        </is>
      </c>
      <c r="C4" s="750" t="inlineStr">
        <is>
          <t>개선금액</t>
        </is>
      </c>
      <c r="D4" s="419" t="inlineStr">
        <is>
          <t>`26 목표</t>
        </is>
      </c>
      <c r="E4" s="1252">
        <f>E6-E7</f>
        <v/>
      </c>
      <c r="F4" s="1253">
        <f>F6-F7</f>
        <v/>
      </c>
      <c r="G4" s="1253">
        <f>G6-G7</f>
        <v/>
      </c>
      <c r="H4" s="1253">
        <f>H6-H7</f>
        <v/>
      </c>
      <c r="I4" s="1253">
        <f>I6-I7</f>
        <v/>
      </c>
      <c r="J4" s="1253">
        <f>J6-J7</f>
        <v/>
      </c>
      <c r="K4" s="1254">
        <f>K6-K7</f>
        <v/>
      </c>
      <c r="L4" s="1253">
        <f>L6-L7</f>
        <v/>
      </c>
      <c r="M4" s="1253">
        <f>M6-M7</f>
        <v/>
      </c>
      <c r="N4" s="1253">
        <f>N6-N7</f>
        <v/>
      </c>
      <c r="O4" s="1255">
        <f>O6-O7</f>
        <v/>
      </c>
      <c r="P4" s="1252">
        <f>P6-P7</f>
        <v/>
      </c>
      <c r="Q4" s="1253">
        <f>Q6-Q7</f>
        <v/>
      </c>
      <c r="R4" s="1253">
        <f>R6-R7</f>
        <v/>
      </c>
      <c r="S4" s="1253">
        <f>S6-S7</f>
        <v/>
      </c>
      <c r="T4" s="1253">
        <f>T6-T7</f>
        <v/>
      </c>
      <c r="U4" s="1253">
        <f>U6-U7</f>
        <v/>
      </c>
      <c r="V4" s="1254">
        <f>V6-V7</f>
        <v/>
      </c>
      <c r="W4" s="1253">
        <f>W6-W7</f>
        <v/>
      </c>
      <c r="X4" s="1253">
        <f>X6-X7</f>
        <v/>
      </c>
      <c r="Y4" s="1253">
        <f>Y6-Y7</f>
        <v/>
      </c>
      <c r="Z4" s="1253">
        <f>Z6-Z7</f>
        <v/>
      </c>
      <c r="AA4" s="1255">
        <f>AA6-AA7</f>
        <v/>
      </c>
      <c r="AB4" s="1252" t="n"/>
      <c r="AC4" s="1253" t="n"/>
      <c r="AD4" s="1253" t="n"/>
      <c r="AE4" s="1253" t="n"/>
      <c r="AF4" s="1253" t="n"/>
      <c r="AG4" s="1253" t="n"/>
      <c r="AH4" s="1253" t="n"/>
      <c r="AI4" s="1254" t="n"/>
      <c r="AJ4" s="1253" t="n"/>
      <c r="AK4" s="1253" t="n"/>
      <c r="AL4" s="1253" t="n"/>
      <c r="AM4" s="1253" t="n"/>
      <c r="AN4" s="1255" t="n"/>
      <c r="AO4" s="1252" t="n"/>
      <c r="AP4" s="1253" t="n"/>
      <c r="AQ4" s="1253" t="n"/>
      <c r="AR4" s="1253" t="n"/>
      <c r="AS4" s="1253" t="n"/>
      <c r="AT4" s="1253" t="n"/>
      <c r="AU4" s="1254" t="n"/>
      <c r="AV4" s="1253" t="n"/>
      <c r="AW4" s="1253" t="n"/>
      <c r="AX4" s="1253" t="n"/>
      <c r="AY4" s="1253" t="n"/>
      <c r="AZ4" s="1253" t="n"/>
      <c r="BA4" s="1253" t="n"/>
      <c r="BB4" s="1254" t="n"/>
      <c r="BC4" s="1253" t="n"/>
      <c r="BD4" s="1253" t="n"/>
      <c r="BE4" s="1253" t="n"/>
      <c r="BF4" s="1253" t="n"/>
      <c r="BG4" s="1255" t="n"/>
      <c r="BH4" s="1254" t="n"/>
      <c r="BI4" s="1253" t="n"/>
      <c r="BJ4" s="1253" t="n"/>
      <c r="BK4" s="1253" t="n"/>
      <c r="BL4" s="1253" t="n"/>
      <c r="BM4" s="1255" t="n"/>
      <c r="BN4" s="1254" t="n"/>
      <c r="BO4" s="1253" t="n"/>
      <c r="BP4" s="1253" t="n"/>
      <c r="BQ4" s="1253" t="n"/>
      <c r="BR4" s="1253" t="n"/>
      <c r="BS4" s="1255" t="n"/>
      <c r="BT4" s="1254" t="n"/>
      <c r="BU4" s="1253" t="n"/>
      <c r="BV4" s="1253" t="n"/>
      <c r="BW4" s="1253" t="n"/>
      <c r="BX4" s="1253" t="n"/>
      <c r="BY4" s="1256" t="n"/>
      <c r="BZ4" s="1258" t="n"/>
    </row>
    <row r="5" ht="16.5" customHeight="1" s="838">
      <c r="B5" s="756" t="n"/>
      <c r="C5" s="739" t="n"/>
      <c r="D5" s="834" t="inlineStr">
        <is>
          <t>`26 실적</t>
        </is>
      </c>
      <c r="E5" s="1257">
        <f>E6-E8</f>
        <v/>
      </c>
      <c r="F5" s="1258">
        <f>F6-F8</f>
        <v/>
      </c>
      <c r="G5" s="1258">
        <f>G6-G8</f>
        <v/>
      </c>
      <c r="H5" s="1258">
        <f>H6-H8</f>
        <v/>
      </c>
      <c r="I5" s="1258">
        <f>I6-I8</f>
        <v/>
      </c>
      <c r="J5" s="1258">
        <f>J6-J8</f>
        <v/>
      </c>
      <c r="K5" s="1259">
        <f>K6-K8</f>
        <v/>
      </c>
      <c r="L5" s="1258">
        <f>L6-L8</f>
        <v/>
      </c>
      <c r="M5" s="1258">
        <f>M6-M8</f>
        <v/>
      </c>
      <c r="N5" s="1258">
        <f>N6-N8</f>
        <v/>
      </c>
      <c r="O5" s="1260">
        <f>O6-O8</f>
        <v/>
      </c>
      <c r="P5" s="1257">
        <f>P6-P8</f>
        <v/>
      </c>
      <c r="Q5" s="1258">
        <f>Q6-Q8</f>
        <v/>
      </c>
      <c r="R5" s="1258">
        <f>R6-R8</f>
        <v/>
      </c>
      <c r="S5" s="1258">
        <f>S6-S8</f>
        <v/>
      </c>
      <c r="T5" s="1258">
        <f>T6-T8</f>
        <v/>
      </c>
      <c r="U5" s="1258">
        <f>U6-U8</f>
        <v/>
      </c>
      <c r="V5" s="1259">
        <f>V6-V8</f>
        <v/>
      </c>
      <c r="W5" s="1258">
        <f>W6-W8</f>
        <v/>
      </c>
      <c r="X5" s="1258">
        <f>X6-X8</f>
        <v/>
      </c>
      <c r="Y5" s="1258">
        <f>Y6-Y8</f>
        <v/>
      </c>
      <c r="Z5" s="1258">
        <f>Z6-Z8</f>
        <v/>
      </c>
      <c r="AA5" s="1260">
        <f>AA6-AA8</f>
        <v/>
      </c>
      <c r="AB5" s="1257" t="n"/>
      <c r="AC5" s="1258" t="n"/>
      <c r="AD5" s="1258" t="n"/>
      <c r="AE5" s="1258" t="n"/>
      <c r="AF5" s="1258" t="n"/>
      <c r="AG5" s="1258" t="n"/>
      <c r="AH5" s="1258" t="n"/>
      <c r="AI5" s="1259" t="n"/>
      <c r="AJ5" s="1258" t="n"/>
      <c r="AK5" s="1258" t="n"/>
      <c r="AL5" s="1258" t="n"/>
      <c r="AM5" s="1258" t="n"/>
      <c r="AN5" s="1260" t="n"/>
      <c r="AO5" s="1257" t="n"/>
      <c r="AP5" s="1258" t="n"/>
      <c r="AQ5" s="1258" t="n"/>
      <c r="AR5" s="1258" t="n"/>
      <c r="AS5" s="1258" t="n"/>
      <c r="AT5" s="1258" t="n"/>
      <c r="AU5" s="1259" t="n"/>
      <c r="AV5" s="1258" t="n"/>
      <c r="AW5" s="1258" t="n"/>
      <c r="AX5" s="1258" t="n"/>
      <c r="AY5" s="1258" t="n"/>
      <c r="AZ5" s="1258" t="n"/>
      <c r="BA5" s="1258" t="n"/>
      <c r="BB5" s="1259" t="n"/>
      <c r="BC5" s="1258" t="n"/>
      <c r="BD5" s="1258" t="n"/>
      <c r="BE5" s="1258" t="n"/>
      <c r="BF5" s="1258" t="n"/>
      <c r="BG5" s="1260" t="n"/>
      <c r="BH5" s="1259" t="n"/>
      <c r="BI5" s="1258" t="n"/>
      <c r="BJ5" s="1258" t="n"/>
      <c r="BK5" s="1258" t="n"/>
      <c r="BL5" s="1258" t="n"/>
      <c r="BM5" s="1260" t="n"/>
      <c r="BN5" s="1259" t="n"/>
      <c r="BO5" s="1258" t="n"/>
      <c r="BP5" s="1258" t="n"/>
      <c r="BQ5" s="1258" t="n"/>
      <c r="BR5" s="1258" t="n"/>
      <c r="BS5" s="1260" t="n"/>
      <c r="BT5" s="1259" t="n"/>
      <c r="BU5" s="1258" t="n"/>
      <c r="BV5" s="1258" t="n"/>
      <c r="BW5" s="1258" t="n"/>
      <c r="BX5" s="1258" t="n"/>
      <c r="BY5" s="1261" t="n"/>
      <c r="BZ5" s="1258" t="n"/>
    </row>
    <row r="6" ht="16.5" customHeight="1" s="838">
      <c r="B6" s="756" t="n"/>
      <c r="C6" s="737" t="inlineStr">
        <is>
          <t>품질비용</t>
        </is>
      </c>
      <c r="D6" s="406" t="inlineStr">
        <is>
          <t>`25 실적</t>
        </is>
      </c>
      <c r="E6" s="1262">
        <f>SUM(E17,E28)</f>
        <v/>
      </c>
      <c r="F6" s="1263">
        <f>SUM(F17,F28)</f>
        <v/>
      </c>
      <c r="G6" s="1263">
        <f>SUM(G17,G28)</f>
        <v/>
      </c>
      <c r="H6" s="1263">
        <f>SUM(H17,H28)</f>
        <v/>
      </c>
      <c r="I6" s="1263">
        <f>SUM(I17,I28)</f>
        <v/>
      </c>
      <c r="J6" s="1263">
        <f>SUM(J17,J28)</f>
        <v/>
      </c>
      <c r="K6" s="1264">
        <f>SUM(K17,K28)</f>
        <v/>
      </c>
      <c r="L6" s="1263">
        <f>SUM(L17,L28)</f>
        <v/>
      </c>
      <c r="M6" s="1263">
        <f>SUM(M17,M28)</f>
        <v/>
      </c>
      <c r="N6" s="1263">
        <f>SUM(N17,N28)</f>
        <v/>
      </c>
      <c r="O6" s="1265">
        <f>SUM(O17,O28)</f>
        <v/>
      </c>
      <c r="P6" s="1262">
        <f>SUM(P17,P28)</f>
        <v/>
      </c>
      <c r="Q6" s="1263">
        <f>SUM(Q17,Q28)</f>
        <v/>
      </c>
      <c r="R6" s="1263">
        <f>SUM(R17,R28)</f>
        <v/>
      </c>
      <c r="S6" s="1263">
        <f>SUM(S17,S28)</f>
        <v/>
      </c>
      <c r="T6" s="1263">
        <f>SUM(T17,T28)</f>
        <v/>
      </c>
      <c r="U6" s="1263">
        <f>SUM(U17,U28)</f>
        <v/>
      </c>
      <c r="V6" s="1264">
        <f>SUM(V17,V28)</f>
        <v/>
      </c>
      <c r="W6" s="1263">
        <f>SUM(W17,W28)</f>
        <v/>
      </c>
      <c r="X6" s="1263">
        <f>SUM(X17,X28)</f>
        <v/>
      </c>
      <c r="Y6" s="1263">
        <f>SUM(Y17,Y28)</f>
        <v/>
      </c>
      <c r="Z6" s="1263">
        <f>SUM(Z17,Z28)</f>
        <v/>
      </c>
      <c r="AA6" s="1265">
        <f>SUM(AA17,AA28)</f>
        <v/>
      </c>
      <c r="AB6" s="1262" t="n"/>
      <c r="AC6" s="1263" t="n"/>
      <c r="AD6" s="1263" t="n"/>
      <c r="AE6" s="1263" t="n"/>
      <c r="AF6" s="1263" t="n"/>
      <c r="AG6" s="1263" t="n"/>
      <c r="AH6" s="1263" t="n"/>
      <c r="AI6" s="1264" t="n"/>
      <c r="AJ6" s="1263" t="n"/>
      <c r="AK6" s="1263" t="n"/>
      <c r="AL6" s="1263" t="n"/>
      <c r="AM6" s="1263" t="n"/>
      <c r="AN6" s="1265" t="n"/>
      <c r="AO6" s="1262" t="n"/>
      <c r="AP6" s="1263" t="n"/>
      <c r="AQ6" s="1263" t="n"/>
      <c r="AR6" s="1263" t="n"/>
      <c r="AS6" s="1263" t="n"/>
      <c r="AT6" s="1263" t="n"/>
      <c r="AU6" s="1264" t="n"/>
      <c r="AV6" s="1263" t="n"/>
      <c r="AW6" s="1263" t="n"/>
      <c r="AX6" s="1263" t="n"/>
      <c r="AY6" s="1263" t="n"/>
      <c r="AZ6" s="1263" t="n"/>
      <c r="BA6" s="1263" t="n"/>
      <c r="BB6" s="1264" t="n"/>
      <c r="BC6" s="1263" t="n"/>
      <c r="BD6" s="1263" t="n"/>
      <c r="BE6" s="1263" t="n"/>
      <c r="BF6" s="1263" t="n"/>
      <c r="BG6" s="1265" t="n"/>
      <c r="BH6" s="1264" t="n"/>
      <c r="BI6" s="1263" t="n"/>
      <c r="BJ6" s="1263" t="n"/>
      <c r="BK6" s="1263" t="n"/>
      <c r="BL6" s="1263" t="n"/>
      <c r="BM6" s="1265" t="n"/>
      <c r="BN6" s="1264" t="n"/>
      <c r="BO6" s="1263" t="n"/>
      <c r="BP6" s="1263" t="n"/>
      <c r="BQ6" s="1263" t="n"/>
      <c r="BR6" s="1263" t="n"/>
      <c r="BS6" s="1265" t="n"/>
      <c r="BT6" s="1264" t="n"/>
      <c r="BU6" s="1263" t="n"/>
      <c r="BV6" s="1263" t="n"/>
      <c r="BW6" s="1263" t="n"/>
      <c r="BX6" s="1263" t="n"/>
      <c r="BY6" s="1266" t="n"/>
      <c r="BZ6" s="1258" t="n"/>
    </row>
    <row r="7" ht="16.5" customHeight="1" s="838">
      <c r="B7" s="756" t="n"/>
      <c r="C7" s="738" t="n"/>
      <c r="D7" s="834" t="inlineStr">
        <is>
          <t>`26 목표</t>
        </is>
      </c>
      <c r="E7" s="1257">
        <f>SUM(E18,E29)</f>
        <v/>
      </c>
      <c r="F7" s="1258">
        <f>SUM(F18,F29)</f>
        <v/>
      </c>
      <c r="G7" s="1258">
        <f>SUM(G18,G29)</f>
        <v/>
      </c>
      <c r="H7" s="1258">
        <f>SUM(H18,H29)</f>
        <v/>
      </c>
      <c r="I7" s="1258">
        <f>SUM(I18,I29)</f>
        <v/>
      </c>
      <c r="J7" s="1258">
        <f>SUM(J18,J29)</f>
        <v/>
      </c>
      <c r="K7" s="1259">
        <f>SUM(K18,K29)</f>
        <v/>
      </c>
      <c r="L7" s="1258">
        <f>SUM(L18,L29)</f>
        <v/>
      </c>
      <c r="M7" s="1258">
        <f>SUM(M18,M29)</f>
        <v/>
      </c>
      <c r="N7" s="1258">
        <f>SUM(N18,N29)</f>
        <v/>
      </c>
      <c r="O7" s="1260">
        <f>SUM(O18,O29)</f>
        <v/>
      </c>
      <c r="P7" s="1257">
        <f>SUM(P18,P29)</f>
        <v/>
      </c>
      <c r="Q7" s="1258">
        <f>SUM(Q18,Q29)</f>
        <v/>
      </c>
      <c r="R7" s="1258">
        <f>SUM(R18,R29)</f>
        <v/>
      </c>
      <c r="S7" s="1258">
        <f>SUM(S18,S29)</f>
        <v/>
      </c>
      <c r="T7" s="1258">
        <f>SUM(T18,T29)</f>
        <v/>
      </c>
      <c r="U7" s="1258">
        <f>SUM(U18,U29)</f>
        <v/>
      </c>
      <c r="V7" s="1259">
        <f>SUM(V18,V29)</f>
        <v/>
      </c>
      <c r="W7" s="1258">
        <f>SUM(W18,W29)</f>
        <v/>
      </c>
      <c r="X7" s="1258">
        <f>SUM(X18,X29)</f>
        <v/>
      </c>
      <c r="Y7" s="1258">
        <f>SUM(Y18,Y29)</f>
        <v/>
      </c>
      <c r="Z7" s="1258">
        <f>SUM(Z18,Z29)</f>
        <v/>
      </c>
      <c r="AA7" s="1260">
        <f>SUM(AA18,AA29)</f>
        <v/>
      </c>
      <c r="AB7" s="1257" t="n"/>
      <c r="AC7" s="1258" t="n"/>
      <c r="AD7" s="1258" t="n"/>
      <c r="AE7" s="1258" t="n"/>
      <c r="AF7" s="1258" t="n"/>
      <c r="AG7" s="1258" t="n"/>
      <c r="AH7" s="1258" t="n"/>
      <c r="AI7" s="1259" t="n"/>
      <c r="AJ7" s="1258" t="n"/>
      <c r="AK7" s="1258" t="n"/>
      <c r="AL7" s="1258" t="n"/>
      <c r="AM7" s="1258" t="n"/>
      <c r="AN7" s="1260" t="n"/>
      <c r="AO7" s="1257" t="n"/>
      <c r="AP7" s="1258" t="n"/>
      <c r="AQ7" s="1258" t="n"/>
      <c r="AR7" s="1258" t="n"/>
      <c r="AS7" s="1258" t="n"/>
      <c r="AT7" s="1258" t="n"/>
      <c r="AU7" s="1259" t="n"/>
      <c r="AV7" s="1258" t="n"/>
      <c r="AW7" s="1258" t="n"/>
      <c r="AX7" s="1258" t="n"/>
      <c r="AY7" s="1258" t="n"/>
      <c r="AZ7" s="1258" t="n"/>
      <c r="BA7" s="1258" t="n"/>
      <c r="BB7" s="1259" t="n"/>
      <c r="BC7" s="1258" t="n"/>
      <c r="BD7" s="1258" t="n"/>
      <c r="BE7" s="1258" t="n"/>
      <c r="BF7" s="1258" t="n"/>
      <c r="BG7" s="1260" t="n"/>
      <c r="BH7" s="1259" t="n"/>
      <c r="BI7" s="1258" t="n"/>
      <c r="BJ7" s="1258" t="n"/>
      <c r="BK7" s="1258" t="n"/>
      <c r="BL7" s="1258" t="n"/>
      <c r="BM7" s="1260" t="n"/>
      <c r="BN7" s="1259" t="n"/>
      <c r="BO7" s="1258" t="n"/>
      <c r="BP7" s="1258" t="n"/>
      <c r="BQ7" s="1258" t="n"/>
      <c r="BR7" s="1258" t="n"/>
      <c r="BS7" s="1260" t="n"/>
      <c r="BT7" s="1259" t="n"/>
      <c r="BU7" s="1258" t="n"/>
      <c r="BV7" s="1258" t="n"/>
      <c r="BW7" s="1258" t="n"/>
      <c r="BX7" s="1258" t="n"/>
      <c r="BY7" s="1261" t="n"/>
      <c r="BZ7" s="1258" t="n"/>
    </row>
    <row r="8" ht="16.5" customHeight="1" s="838">
      <c r="B8" s="756" t="n"/>
      <c r="C8" s="739" t="n"/>
      <c r="D8" s="407" t="inlineStr">
        <is>
          <t>`26 실적</t>
        </is>
      </c>
      <c r="E8" s="1267">
        <f>SUM(E19,E30)</f>
        <v/>
      </c>
      <c r="F8" s="1268">
        <f>SUM(F19,F30)</f>
        <v/>
      </c>
      <c r="G8" s="1268">
        <f>SUM(G19,G30)</f>
        <v/>
      </c>
      <c r="H8" s="1268">
        <f>SUM(H19,H30)</f>
        <v/>
      </c>
      <c r="I8" s="1268">
        <f>SUM(I19,I30)</f>
        <v/>
      </c>
      <c r="J8" s="1268">
        <f>SUM(J19,J30)</f>
        <v/>
      </c>
      <c r="K8" s="1269">
        <f>SUM(K19,K30)</f>
        <v/>
      </c>
      <c r="L8" s="1268">
        <f>SUM(L19,L30)</f>
        <v/>
      </c>
      <c r="M8" s="1268">
        <f>SUM(M19,M30)</f>
        <v/>
      </c>
      <c r="N8" s="1268">
        <f>SUM(N19,N30)</f>
        <v/>
      </c>
      <c r="O8" s="1270">
        <f>SUM(O19,O30)</f>
        <v/>
      </c>
      <c r="P8" s="1267">
        <f>SUM(P19,P30)</f>
        <v/>
      </c>
      <c r="Q8" s="1268">
        <f>SUM(Q19,Q30)</f>
        <v/>
      </c>
      <c r="R8" s="1268">
        <f>SUM(R19,R30)</f>
        <v/>
      </c>
      <c r="S8" s="1268">
        <f>SUM(S19,S30)</f>
        <v/>
      </c>
      <c r="T8" s="1268">
        <f>SUM(T19,T30)</f>
        <v/>
      </c>
      <c r="U8" s="1268">
        <f>SUM(U19,U30)</f>
        <v/>
      </c>
      <c r="V8" s="1269">
        <f>SUM(V19,V30)</f>
        <v/>
      </c>
      <c r="W8" s="1268">
        <f>SUM(W19,W30)</f>
        <v/>
      </c>
      <c r="X8" s="1268">
        <f>SUM(X19,X30)</f>
        <v/>
      </c>
      <c r="Y8" s="1268">
        <f>SUM(Y19,Y30)</f>
        <v/>
      </c>
      <c r="Z8" s="1268">
        <f>SUM(Z19,Z30)</f>
        <v/>
      </c>
      <c r="AA8" s="1270">
        <f>SUM(AA19,AA30)</f>
        <v/>
      </c>
      <c r="AB8" s="1267" t="n"/>
      <c r="AC8" s="1268" t="n"/>
      <c r="AD8" s="1268" t="n"/>
      <c r="AE8" s="1268" t="n"/>
      <c r="AF8" s="1268" t="n"/>
      <c r="AG8" s="1268" t="n"/>
      <c r="AH8" s="1268" t="n"/>
      <c r="AI8" s="1269" t="n"/>
      <c r="AJ8" s="1268" t="n"/>
      <c r="AK8" s="1268" t="n"/>
      <c r="AL8" s="1268" t="n"/>
      <c r="AM8" s="1268" t="n"/>
      <c r="AN8" s="1270" t="n"/>
      <c r="AO8" s="1267" t="n"/>
      <c r="AP8" s="1268" t="n"/>
      <c r="AQ8" s="1268" t="n"/>
      <c r="AR8" s="1268" t="n"/>
      <c r="AS8" s="1268" t="n"/>
      <c r="AT8" s="1268" t="n"/>
      <c r="AU8" s="1269" t="n"/>
      <c r="AV8" s="1268" t="n"/>
      <c r="AW8" s="1268" t="n"/>
      <c r="AX8" s="1268" t="n"/>
      <c r="AY8" s="1268" t="n"/>
      <c r="AZ8" s="1268" t="n"/>
      <c r="BA8" s="1268" t="n"/>
      <c r="BB8" s="1269" t="n"/>
      <c r="BC8" s="1268" t="n"/>
      <c r="BD8" s="1268" t="n"/>
      <c r="BE8" s="1268" t="n"/>
      <c r="BF8" s="1268" t="n"/>
      <c r="BG8" s="1270" t="n"/>
      <c r="BH8" s="1269" t="n"/>
      <c r="BI8" s="1268" t="n"/>
      <c r="BJ8" s="1268" t="n"/>
      <c r="BK8" s="1268" t="n"/>
      <c r="BL8" s="1268" t="n"/>
      <c r="BM8" s="1270" t="n"/>
      <c r="BN8" s="1269" t="n"/>
      <c r="BO8" s="1268" t="n"/>
      <c r="BP8" s="1268" t="n"/>
      <c r="BQ8" s="1268" t="n"/>
      <c r="BR8" s="1268" t="n"/>
      <c r="BS8" s="1270" t="n"/>
      <c r="BT8" s="1269" t="n"/>
      <c r="BU8" s="1268" t="n"/>
      <c r="BV8" s="1268" t="n"/>
      <c r="BW8" s="1268" t="n"/>
      <c r="BX8" s="1268" t="n"/>
      <c r="BY8" s="1271" t="n"/>
      <c r="BZ8" s="1258" t="n"/>
    </row>
    <row r="9" ht="16.5" customHeight="1" s="838">
      <c r="B9" s="756" t="n"/>
      <c r="C9" s="737" t="inlineStr">
        <is>
          <t>실패비용</t>
        </is>
      </c>
      <c r="D9" s="406" t="inlineStr">
        <is>
          <t>`25 실적</t>
        </is>
      </c>
      <c r="E9" s="1262">
        <f>SUM(E20,E31)</f>
        <v/>
      </c>
      <c r="F9" s="1263">
        <f>SUM(F20,F31)</f>
        <v/>
      </c>
      <c r="G9" s="1263">
        <f>SUM(G20,G31)</f>
        <v/>
      </c>
      <c r="H9" s="1263">
        <f>SUM(H20,H31)</f>
        <v/>
      </c>
      <c r="I9" s="1263">
        <f>SUM(I20,I31)</f>
        <v/>
      </c>
      <c r="J9" s="1263">
        <f>SUM(J20,J31)</f>
        <v/>
      </c>
      <c r="K9" s="1264">
        <f>SUM(K20,K31)</f>
        <v/>
      </c>
      <c r="L9" s="1263">
        <f>SUM(L20,L31)</f>
        <v/>
      </c>
      <c r="M9" s="1263">
        <f>SUM(M20,M31)</f>
        <v/>
      </c>
      <c r="N9" s="1263">
        <f>SUM(N20,N31)</f>
        <v/>
      </c>
      <c r="O9" s="1265">
        <f>SUM(O20,O31)</f>
        <v/>
      </c>
      <c r="P9" s="1262">
        <f>SUM(P20,P31)</f>
        <v/>
      </c>
      <c r="Q9" s="1263">
        <f>SUM(Q20,Q31)</f>
        <v/>
      </c>
      <c r="R9" s="1263">
        <f>SUM(R20,R31)</f>
        <v/>
      </c>
      <c r="S9" s="1263">
        <f>SUM(S20,S31)</f>
        <v/>
      </c>
      <c r="T9" s="1263">
        <f>SUM(T20,T31)</f>
        <v/>
      </c>
      <c r="U9" s="1263">
        <f>SUM(U20,U31)</f>
        <v/>
      </c>
      <c r="V9" s="1264">
        <f>SUM(V20,V31)</f>
        <v/>
      </c>
      <c r="W9" s="1263">
        <f>SUM(W20,W31)</f>
        <v/>
      </c>
      <c r="X9" s="1263">
        <f>SUM(X20,X31)</f>
        <v/>
      </c>
      <c r="Y9" s="1263">
        <f>SUM(Y20,Y31)</f>
        <v/>
      </c>
      <c r="Z9" s="1263">
        <f>SUM(Z20,Z31)</f>
        <v/>
      </c>
      <c r="AA9" s="1265">
        <f>SUM(AA20,AA31)</f>
        <v/>
      </c>
      <c r="AB9" s="1262" t="n"/>
      <c r="AC9" s="1263" t="n"/>
      <c r="AD9" s="1263" t="n"/>
      <c r="AE9" s="1263" t="n"/>
      <c r="AF9" s="1263" t="n"/>
      <c r="AG9" s="1263" t="n"/>
      <c r="AH9" s="1263" t="n"/>
      <c r="AI9" s="1264" t="n"/>
      <c r="AJ9" s="1263" t="n"/>
      <c r="AK9" s="1263" t="n"/>
      <c r="AL9" s="1263" t="n"/>
      <c r="AM9" s="1263" t="n"/>
      <c r="AN9" s="1265" t="n"/>
      <c r="AO9" s="1262" t="n"/>
      <c r="AP9" s="1263" t="n"/>
      <c r="AQ9" s="1263" t="n"/>
      <c r="AR9" s="1263" t="n"/>
      <c r="AS9" s="1263" t="n"/>
      <c r="AT9" s="1263" t="n"/>
      <c r="AU9" s="1264" t="n"/>
      <c r="AV9" s="1263" t="n"/>
      <c r="AW9" s="1263" t="n"/>
      <c r="AX9" s="1263" t="n"/>
      <c r="AY9" s="1263" t="n"/>
      <c r="AZ9" s="1263" t="n"/>
      <c r="BA9" s="1263" t="n"/>
      <c r="BB9" s="1264" t="n"/>
      <c r="BC9" s="1263" t="n"/>
      <c r="BD9" s="1263" t="n"/>
      <c r="BE9" s="1263" t="n"/>
      <c r="BF9" s="1263" t="n"/>
      <c r="BG9" s="1265" t="n"/>
      <c r="BH9" s="1264" t="n"/>
      <c r="BI9" s="1263" t="n"/>
      <c r="BJ9" s="1263" t="n"/>
      <c r="BK9" s="1263" t="n"/>
      <c r="BL9" s="1263" t="n"/>
      <c r="BM9" s="1265" t="n"/>
      <c r="BN9" s="1264" t="n"/>
      <c r="BO9" s="1263" t="n"/>
      <c r="BP9" s="1263" t="n"/>
      <c r="BQ9" s="1263" t="n"/>
      <c r="BR9" s="1263" t="n"/>
      <c r="BS9" s="1265" t="n"/>
      <c r="BT9" s="1264" t="n"/>
      <c r="BU9" s="1263" t="n"/>
      <c r="BV9" s="1263" t="n"/>
      <c r="BW9" s="1263" t="n"/>
      <c r="BX9" s="1263" t="n"/>
      <c r="BY9" s="1266" t="n"/>
      <c r="BZ9" s="1258" t="n"/>
    </row>
    <row r="10" ht="16.5" customHeight="1" s="838">
      <c r="B10" s="756" t="n"/>
      <c r="C10" s="738" t="n"/>
      <c r="D10" s="834" t="inlineStr">
        <is>
          <t>`26 목표</t>
        </is>
      </c>
      <c r="E10" s="1257">
        <f>SUM(E21,E32)</f>
        <v/>
      </c>
      <c r="F10" s="1258">
        <f>SUM(F21,F32)</f>
        <v/>
      </c>
      <c r="G10" s="1258">
        <f>SUM(G21,G32)</f>
        <v/>
      </c>
      <c r="H10" s="1258">
        <f>SUM(H21,H32)</f>
        <v/>
      </c>
      <c r="I10" s="1258">
        <f>SUM(I21,I32)</f>
        <v/>
      </c>
      <c r="J10" s="1258">
        <f>SUM(J21,J32)</f>
        <v/>
      </c>
      <c r="K10" s="1259">
        <f>SUM(K21,K32)</f>
        <v/>
      </c>
      <c r="L10" s="1258">
        <f>SUM(L21,L32)</f>
        <v/>
      </c>
      <c r="M10" s="1258">
        <f>SUM(M21,M32)</f>
        <v/>
      </c>
      <c r="N10" s="1258">
        <f>SUM(N21,N32)</f>
        <v/>
      </c>
      <c r="O10" s="1260">
        <f>SUM(O21,O32)</f>
        <v/>
      </c>
      <c r="P10" s="1257">
        <f>SUM(P21,P32)</f>
        <v/>
      </c>
      <c r="Q10" s="1258">
        <f>SUM(Q21,Q32)</f>
        <v/>
      </c>
      <c r="R10" s="1258">
        <f>SUM(R21,R32)</f>
        <v/>
      </c>
      <c r="S10" s="1258">
        <f>SUM(S21,S32)</f>
        <v/>
      </c>
      <c r="T10" s="1258">
        <f>SUM(T21,T32)</f>
        <v/>
      </c>
      <c r="U10" s="1258">
        <f>SUM(U21,U32)</f>
        <v/>
      </c>
      <c r="V10" s="1259">
        <f>SUM(V21,V32)</f>
        <v/>
      </c>
      <c r="W10" s="1258">
        <f>SUM(W21,W32)</f>
        <v/>
      </c>
      <c r="X10" s="1258">
        <f>SUM(X21,X32)</f>
        <v/>
      </c>
      <c r="Y10" s="1258">
        <f>SUM(Y21,Y32)</f>
        <v/>
      </c>
      <c r="Z10" s="1258">
        <f>SUM(Z21,Z32)</f>
        <v/>
      </c>
      <c r="AA10" s="1260">
        <f>SUM(AA21,AA32)</f>
        <v/>
      </c>
      <c r="AB10" s="1257" t="n"/>
      <c r="AC10" s="1258" t="n"/>
      <c r="AD10" s="1258" t="n"/>
      <c r="AE10" s="1258" t="n"/>
      <c r="AF10" s="1258" t="n"/>
      <c r="AG10" s="1258" t="n"/>
      <c r="AH10" s="1258" t="n"/>
      <c r="AI10" s="1259" t="n"/>
      <c r="AJ10" s="1258" t="n"/>
      <c r="AK10" s="1258" t="n"/>
      <c r="AL10" s="1258" t="n"/>
      <c r="AM10" s="1258" t="n"/>
      <c r="AN10" s="1260" t="n"/>
      <c r="AO10" s="1257" t="n"/>
      <c r="AP10" s="1258" t="n"/>
      <c r="AQ10" s="1258" t="n"/>
      <c r="AR10" s="1258" t="n"/>
      <c r="AS10" s="1258" t="n"/>
      <c r="AT10" s="1258" t="n"/>
      <c r="AU10" s="1259" t="n"/>
      <c r="AV10" s="1258" t="n"/>
      <c r="AW10" s="1258" t="n"/>
      <c r="AX10" s="1258" t="n"/>
      <c r="AY10" s="1258" t="n"/>
      <c r="AZ10" s="1258" t="n"/>
      <c r="BA10" s="1258" t="n"/>
      <c r="BB10" s="1259" t="n"/>
      <c r="BC10" s="1258" t="n"/>
      <c r="BD10" s="1258" t="n"/>
      <c r="BE10" s="1258" t="n"/>
      <c r="BF10" s="1258" t="n"/>
      <c r="BG10" s="1260" t="n"/>
      <c r="BH10" s="1259" t="n"/>
      <c r="BI10" s="1258" t="n"/>
      <c r="BJ10" s="1258" t="n"/>
      <c r="BK10" s="1258" t="n"/>
      <c r="BL10" s="1258" t="n"/>
      <c r="BM10" s="1260" t="n"/>
      <c r="BN10" s="1259" t="n"/>
      <c r="BO10" s="1258" t="n"/>
      <c r="BP10" s="1258" t="n"/>
      <c r="BQ10" s="1258" t="n"/>
      <c r="BR10" s="1258" t="n"/>
      <c r="BS10" s="1260" t="n"/>
      <c r="BT10" s="1259" t="n"/>
      <c r="BU10" s="1258" t="n"/>
      <c r="BV10" s="1258" t="n"/>
      <c r="BW10" s="1258" t="n"/>
      <c r="BX10" s="1258" t="n"/>
      <c r="BY10" s="1261" t="n"/>
      <c r="BZ10" s="1258" t="n"/>
    </row>
    <row r="11" ht="16.5" customHeight="1" s="838">
      <c r="B11" s="756" t="n"/>
      <c r="C11" s="739" t="n"/>
      <c r="D11" s="407" t="inlineStr">
        <is>
          <t>`26 실적</t>
        </is>
      </c>
      <c r="E11" s="1267">
        <f>SUM(E22,E33)</f>
        <v/>
      </c>
      <c r="F11" s="1268">
        <f>SUM(F22,F33)</f>
        <v/>
      </c>
      <c r="G11" s="1268">
        <f>SUM(G22,G33)</f>
        <v/>
      </c>
      <c r="H11" s="1268">
        <f>SUM(H22,H33)</f>
        <v/>
      </c>
      <c r="I11" s="1268">
        <f>SUM(I22,I33)</f>
        <v/>
      </c>
      <c r="J11" s="1268">
        <f>SUM(J22,J33)</f>
        <v/>
      </c>
      <c r="K11" s="1269">
        <f>SUM(K22,K33)</f>
        <v/>
      </c>
      <c r="L11" s="1268">
        <f>SUM(L22,L33)</f>
        <v/>
      </c>
      <c r="M11" s="1268">
        <f>SUM(M22,M33)</f>
        <v/>
      </c>
      <c r="N11" s="1268">
        <f>SUM(N22,N33)</f>
        <v/>
      </c>
      <c r="O11" s="1270">
        <f>SUM(O22,O33)</f>
        <v/>
      </c>
      <c r="P11" s="1267">
        <f>SUM(P22,P33)</f>
        <v/>
      </c>
      <c r="Q11" s="1268">
        <f>SUM(Q22,Q33)</f>
        <v/>
      </c>
      <c r="R11" s="1268">
        <f>SUM(R22,R33)</f>
        <v/>
      </c>
      <c r="S11" s="1268">
        <f>SUM(S22,S33)</f>
        <v/>
      </c>
      <c r="T11" s="1268">
        <f>SUM(T22,T33)</f>
        <v/>
      </c>
      <c r="U11" s="1268">
        <f>SUM(U22,U33)</f>
        <v/>
      </c>
      <c r="V11" s="1269">
        <f>SUM(V22,V33)</f>
        <v/>
      </c>
      <c r="W11" s="1268">
        <f>SUM(W22,W33)</f>
        <v/>
      </c>
      <c r="X11" s="1268">
        <f>SUM(X22,X33)</f>
        <v/>
      </c>
      <c r="Y11" s="1268">
        <f>SUM(Y22,Y33)</f>
        <v/>
      </c>
      <c r="Z11" s="1268">
        <f>SUM(Z22,Z33)</f>
        <v/>
      </c>
      <c r="AA11" s="1270">
        <f>SUM(AA22,AA33)</f>
        <v/>
      </c>
      <c r="AB11" s="1267" t="n"/>
      <c r="AC11" s="1268" t="n"/>
      <c r="AD11" s="1268" t="n"/>
      <c r="AE11" s="1268" t="n"/>
      <c r="AF11" s="1268" t="n"/>
      <c r="AG11" s="1268" t="n"/>
      <c r="AH11" s="1268" t="n"/>
      <c r="AI11" s="1269" t="n"/>
      <c r="AJ11" s="1268" t="n"/>
      <c r="AK11" s="1268" t="n"/>
      <c r="AL11" s="1268" t="n"/>
      <c r="AM11" s="1268" t="n"/>
      <c r="AN11" s="1270" t="n"/>
      <c r="AO11" s="1267" t="n"/>
      <c r="AP11" s="1268" t="n"/>
      <c r="AQ11" s="1268" t="n"/>
      <c r="AR11" s="1268" t="n"/>
      <c r="AS11" s="1268" t="n"/>
      <c r="AT11" s="1268" t="n"/>
      <c r="AU11" s="1269" t="n"/>
      <c r="AV11" s="1268" t="n"/>
      <c r="AW11" s="1268" t="n"/>
      <c r="AX11" s="1268" t="n"/>
      <c r="AY11" s="1268" t="n"/>
      <c r="AZ11" s="1268" t="n"/>
      <c r="BA11" s="1268" t="n"/>
      <c r="BB11" s="1269" t="n"/>
      <c r="BC11" s="1268" t="n"/>
      <c r="BD11" s="1268" t="n"/>
      <c r="BE11" s="1268" t="n"/>
      <c r="BF11" s="1268" t="n"/>
      <c r="BG11" s="1270" t="n"/>
      <c r="BH11" s="1269" t="n"/>
      <c r="BI11" s="1268" t="n"/>
      <c r="BJ11" s="1268" t="n"/>
      <c r="BK11" s="1268" t="n"/>
      <c r="BL11" s="1268" t="n"/>
      <c r="BM11" s="1270" t="n"/>
      <c r="BN11" s="1269" t="n"/>
      <c r="BO11" s="1268" t="n"/>
      <c r="BP11" s="1268" t="n"/>
      <c r="BQ11" s="1268" t="n"/>
      <c r="BR11" s="1268" t="n"/>
      <c r="BS11" s="1270" t="n"/>
      <c r="BT11" s="1269" t="n"/>
      <c r="BU11" s="1268" t="n"/>
      <c r="BV11" s="1268" t="n"/>
      <c r="BW11" s="1268" t="n"/>
      <c r="BX11" s="1268" t="n"/>
      <c r="BY11" s="1271" t="n"/>
      <c r="BZ11" s="1258" t="n"/>
    </row>
    <row r="12" ht="16.5" customHeight="1" s="838">
      <c r="B12" s="756" t="n"/>
      <c r="C12" s="754" t="inlineStr">
        <is>
          <t>유상수익</t>
        </is>
      </c>
      <c r="D12" s="834" t="inlineStr">
        <is>
          <t>`25 실적</t>
        </is>
      </c>
      <c r="E12" s="1257">
        <f>SUM(E23,E34)</f>
        <v/>
      </c>
      <c r="F12" s="1258">
        <f>SUM(F23,F34)</f>
        <v/>
      </c>
      <c r="G12" s="1258">
        <f>SUM(G23,G34)</f>
        <v/>
      </c>
      <c r="H12" s="1258">
        <f>SUM(H23,H34)</f>
        <v/>
      </c>
      <c r="I12" s="1258">
        <f>SUM(I23,I34)</f>
        <v/>
      </c>
      <c r="J12" s="1258">
        <f>SUM(J23,J34)</f>
        <v/>
      </c>
      <c r="K12" s="1259">
        <f>SUM(K23,K34)</f>
        <v/>
      </c>
      <c r="L12" s="1258">
        <f>SUM(L23,L34)</f>
        <v/>
      </c>
      <c r="M12" s="1258">
        <f>SUM(M23,M34)</f>
        <v/>
      </c>
      <c r="N12" s="1258">
        <f>SUM(N23,N34)</f>
        <v/>
      </c>
      <c r="O12" s="1260">
        <f>SUM(O23,O34)</f>
        <v/>
      </c>
      <c r="P12" s="1257">
        <f>SUM(P23,P34)</f>
        <v/>
      </c>
      <c r="Q12" s="1258">
        <f>SUM(Q23,Q34)</f>
        <v/>
      </c>
      <c r="R12" s="1258">
        <f>SUM(R23,R34)</f>
        <v/>
      </c>
      <c r="S12" s="1258">
        <f>SUM(S23,S34)</f>
        <v/>
      </c>
      <c r="T12" s="1258">
        <f>SUM(T23,T34)</f>
        <v/>
      </c>
      <c r="U12" s="1258">
        <f>SUM(U23,U34)</f>
        <v/>
      </c>
      <c r="V12" s="1259">
        <f>SUM(V23,V34)</f>
        <v/>
      </c>
      <c r="W12" s="1258">
        <f>SUM(W23,W34)</f>
        <v/>
      </c>
      <c r="X12" s="1258">
        <f>SUM(X23,X34)</f>
        <v/>
      </c>
      <c r="Y12" s="1258">
        <f>SUM(Y23,Y34)</f>
        <v/>
      </c>
      <c r="Z12" s="1258">
        <f>SUM(Z23,Z34)</f>
        <v/>
      </c>
      <c r="AA12" s="1260">
        <f>SUM(AA23,AA34)</f>
        <v/>
      </c>
      <c r="AB12" s="1257" t="n"/>
      <c r="AC12" s="1258" t="n"/>
      <c r="AD12" s="1258" t="n"/>
      <c r="AE12" s="1258" t="n"/>
      <c r="AF12" s="1258" t="n"/>
      <c r="AG12" s="1258" t="n"/>
      <c r="AH12" s="1258" t="n"/>
      <c r="AI12" s="1259" t="n"/>
      <c r="AJ12" s="1258" t="n"/>
      <c r="AK12" s="1258" t="n"/>
      <c r="AL12" s="1258" t="n"/>
      <c r="AM12" s="1258" t="n"/>
      <c r="AN12" s="1260" t="n"/>
      <c r="AO12" s="1257" t="n"/>
      <c r="AP12" s="1258" t="n"/>
      <c r="AQ12" s="1258" t="n"/>
      <c r="AR12" s="1258" t="n"/>
      <c r="AS12" s="1258" t="n"/>
      <c r="AT12" s="1258" t="n"/>
      <c r="AU12" s="1259" t="n"/>
      <c r="AV12" s="1258" t="n"/>
      <c r="AW12" s="1258" t="n"/>
      <c r="AX12" s="1258" t="n"/>
      <c r="AY12" s="1258" t="n"/>
      <c r="AZ12" s="1258" t="n"/>
      <c r="BA12" s="1258" t="n"/>
      <c r="BB12" s="1259" t="n"/>
      <c r="BC12" s="1258" t="n"/>
      <c r="BD12" s="1258" t="n"/>
      <c r="BE12" s="1258" t="n"/>
      <c r="BF12" s="1258" t="n"/>
      <c r="BG12" s="1260" t="n"/>
      <c r="BH12" s="1259" t="n"/>
      <c r="BI12" s="1258" t="n"/>
      <c r="BJ12" s="1258" t="n"/>
      <c r="BK12" s="1258" t="n"/>
      <c r="BL12" s="1258" t="n"/>
      <c r="BM12" s="1260" t="n"/>
      <c r="BN12" s="1259" t="n"/>
      <c r="BO12" s="1258" t="n"/>
      <c r="BP12" s="1258" t="n"/>
      <c r="BQ12" s="1258" t="n"/>
      <c r="BR12" s="1258" t="n"/>
      <c r="BS12" s="1260" t="n"/>
      <c r="BT12" s="1259" t="n"/>
      <c r="BU12" s="1258" t="n"/>
      <c r="BV12" s="1258" t="n"/>
      <c r="BW12" s="1258" t="n"/>
      <c r="BX12" s="1258" t="n"/>
      <c r="BY12" s="1261" t="n"/>
      <c r="BZ12" s="1258" t="n"/>
    </row>
    <row r="13" ht="16.5" customHeight="1" s="838">
      <c r="B13" s="756" t="n"/>
      <c r="C13" s="738" t="n"/>
      <c r="D13" s="834" t="inlineStr">
        <is>
          <t>`26 목표</t>
        </is>
      </c>
      <c r="E13" s="1257">
        <f>SUM(E24,E35)</f>
        <v/>
      </c>
      <c r="F13" s="1258">
        <f>SUM(F24,F35)</f>
        <v/>
      </c>
      <c r="G13" s="1258">
        <f>SUM(G24,G35)</f>
        <v/>
      </c>
      <c r="H13" s="1258">
        <f>SUM(H24,H35)</f>
        <v/>
      </c>
      <c r="I13" s="1258">
        <f>SUM(I24,I35)</f>
        <v/>
      </c>
      <c r="J13" s="1258">
        <f>SUM(J24,J35)</f>
        <v/>
      </c>
      <c r="K13" s="1259">
        <f>SUM(K24,K35)</f>
        <v/>
      </c>
      <c r="L13" s="1258">
        <f>SUM(L24,L35)</f>
        <v/>
      </c>
      <c r="M13" s="1258">
        <f>SUM(M24,M35)</f>
        <v/>
      </c>
      <c r="N13" s="1258">
        <f>SUM(N24,N35)</f>
        <v/>
      </c>
      <c r="O13" s="1260">
        <f>SUM(O24,O35)</f>
        <v/>
      </c>
      <c r="P13" s="1257">
        <f>SUM(P24,P35)</f>
        <v/>
      </c>
      <c r="Q13" s="1258">
        <f>SUM(Q24,Q35)</f>
        <v/>
      </c>
      <c r="R13" s="1258">
        <f>SUM(R24,R35)</f>
        <v/>
      </c>
      <c r="S13" s="1258">
        <f>SUM(S24,S35)</f>
        <v/>
      </c>
      <c r="T13" s="1258">
        <f>SUM(T24,T35)</f>
        <v/>
      </c>
      <c r="U13" s="1258">
        <f>SUM(U24,U35)</f>
        <v/>
      </c>
      <c r="V13" s="1259">
        <f>SUM(V24,V35)</f>
        <v/>
      </c>
      <c r="W13" s="1258">
        <f>SUM(W24,W35)</f>
        <v/>
      </c>
      <c r="X13" s="1258">
        <f>SUM(X24,X35)</f>
        <v/>
      </c>
      <c r="Y13" s="1258">
        <f>SUM(Y24,Y35)</f>
        <v/>
      </c>
      <c r="Z13" s="1258">
        <f>SUM(Z24,Z35)</f>
        <v/>
      </c>
      <c r="AA13" s="1260">
        <f>SUM(AA24,AA35)</f>
        <v/>
      </c>
      <c r="AB13" s="1257" t="n"/>
      <c r="AC13" s="1258" t="n"/>
      <c r="AD13" s="1258" t="n"/>
      <c r="AE13" s="1258" t="n"/>
      <c r="AF13" s="1258" t="n"/>
      <c r="AG13" s="1258" t="n"/>
      <c r="AH13" s="1258" t="n"/>
      <c r="AI13" s="1259" t="n"/>
      <c r="AJ13" s="1258" t="n"/>
      <c r="AK13" s="1258" t="n"/>
      <c r="AL13" s="1258" t="n"/>
      <c r="AM13" s="1258" t="n"/>
      <c r="AN13" s="1260" t="n"/>
      <c r="AO13" s="1257" t="n"/>
      <c r="AP13" s="1258" t="n"/>
      <c r="AQ13" s="1258" t="n"/>
      <c r="AR13" s="1258" t="n"/>
      <c r="AS13" s="1258" t="n"/>
      <c r="AT13" s="1258" t="n"/>
      <c r="AU13" s="1259" t="n"/>
      <c r="AV13" s="1258" t="n"/>
      <c r="AW13" s="1258" t="n"/>
      <c r="AX13" s="1258" t="n"/>
      <c r="AY13" s="1258" t="n"/>
      <c r="AZ13" s="1258" t="n"/>
      <c r="BA13" s="1258" t="n"/>
      <c r="BB13" s="1259" t="n"/>
      <c r="BC13" s="1258" t="n"/>
      <c r="BD13" s="1258" t="n"/>
      <c r="BE13" s="1258" t="n"/>
      <c r="BF13" s="1258" t="n"/>
      <c r="BG13" s="1260" t="n"/>
      <c r="BH13" s="1259" t="n"/>
      <c r="BI13" s="1258" t="n"/>
      <c r="BJ13" s="1258" t="n"/>
      <c r="BK13" s="1258" t="n"/>
      <c r="BL13" s="1258" t="n"/>
      <c r="BM13" s="1260" t="n"/>
      <c r="BN13" s="1259" t="n"/>
      <c r="BO13" s="1258" t="n"/>
      <c r="BP13" s="1258" t="n"/>
      <c r="BQ13" s="1258" t="n"/>
      <c r="BR13" s="1258" t="n"/>
      <c r="BS13" s="1260" t="n"/>
      <c r="BT13" s="1259" t="n"/>
      <c r="BU13" s="1258" t="n"/>
      <c r="BV13" s="1258" t="n"/>
      <c r="BW13" s="1258" t="n"/>
      <c r="BX13" s="1258" t="n"/>
      <c r="BY13" s="1261" t="n"/>
      <c r="BZ13" s="1258" t="n"/>
    </row>
    <row r="14" ht="17.25" customHeight="1" s="838">
      <c r="B14" s="770" t="n"/>
      <c r="C14" s="739" t="n"/>
      <c r="D14" s="413" t="inlineStr">
        <is>
          <t>`26 실적</t>
        </is>
      </c>
      <c r="E14" s="1272">
        <f>SUM(E25,E36)</f>
        <v/>
      </c>
      <c r="F14" s="1273">
        <f>SUM(F25,F36)</f>
        <v/>
      </c>
      <c r="G14" s="1273">
        <f>SUM(G25,G36)</f>
        <v/>
      </c>
      <c r="H14" s="1273">
        <f>SUM(H25,H36)</f>
        <v/>
      </c>
      <c r="I14" s="1273">
        <f>SUM(I25,I36)</f>
        <v/>
      </c>
      <c r="J14" s="1273">
        <f>SUM(J25,J36)</f>
        <v/>
      </c>
      <c r="K14" s="1274">
        <f>SUM(K25,K36)</f>
        <v/>
      </c>
      <c r="L14" s="1273">
        <f>SUM(L25,L36)</f>
        <v/>
      </c>
      <c r="M14" s="1273">
        <f>SUM(M25,M36)</f>
        <v/>
      </c>
      <c r="N14" s="1273">
        <f>SUM(N25,N36)</f>
        <v/>
      </c>
      <c r="O14" s="1275">
        <f>SUM(O25,O36)</f>
        <v/>
      </c>
      <c r="P14" s="1272">
        <f>SUM(P25,P36)</f>
        <v/>
      </c>
      <c r="Q14" s="1273">
        <f>SUM(Q25,Q36)</f>
        <v/>
      </c>
      <c r="R14" s="1273">
        <f>SUM(R25,R36)</f>
        <v/>
      </c>
      <c r="S14" s="1273">
        <f>SUM(S25,S36)</f>
        <v/>
      </c>
      <c r="T14" s="1273">
        <f>SUM(T25,T36)</f>
        <v/>
      </c>
      <c r="U14" s="1273">
        <f>SUM(U25,U36)</f>
        <v/>
      </c>
      <c r="V14" s="1274">
        <f>SUM(V25,V36)</f>
        <v/>
      </c>
      <c r="W14" s="1273">
        <f>SUM(W25,W36)</f>
        <v/>
      </c>
      <c r="X14" s="1273">
        <f>SUM(X25,X36)</f>
        <v/>
      </c>
      <c r="Y14" s="1273">
        <f>SUM(Y25,Y36)</f>
        <v/>
      </c>
      <c r="Z14" s="1273">
        <f>SUM(Z25,Z36)</f>
        <v/>
      </c>
      <c r="AA14" s="1275">
        <f>SUM(AA25,AA36)</f>
        <v/>
      </c>
      <c r="AB14" s="1272" t="n"/>
      <c r="AC14" s="1273" t="n"/>
      <c r="AD14" s="1273" t="n"/>
      <c r="AE14" s="1273" t="n"/>
      <c r="AF14" s="1273" t="n"/>
      <c r="AG14" s="1273" t="n"/>
      <c r="AH14" s="1273" t="n"/>
      <c r="AI14" s="1274" t="n"/>
      <c r="AJ14" s="1273" t="n"/>
      <c r="AK14" s="1273" t="n"/>
      <c r="AL14" s="1273" t="n"/>
      <c r="AM14" s="1273" t="n"/>
      <c r="AN14" s="1275" t="n"/>
      <c r="AO14" s="1272" t="n"/>
      <c r="AP14" s="1273" t="n"/>
      <c r="AQ14" s="1273" t="n"/>
      <c r="AR14" s="1273" t="n"/>
      <c r="AS14" s="1273" t="n"/>
      <c r="AT14" s="1273" t="n"/>
      <c r="AU14" s="1274" t="n"/>
      <c r="AV14" s="1273" t="n"/>
      <c r="AW14" s="1273" t="n"/>
      <c r="AX14" s="1273" t="n"/>
      <c r="AY14" s="1273" t="n"/>
      <c r="AZ14" s="1273" t="n"/>
      <c r="BA14" s="1273" t="n"/>
      <c r="BB14" s="1274" t="n"/>
      <c r="BC14" s="1273" t="n"/>
      <c r="BD14" s="1273" t="n"/>
      <c r="BE14" s="1273" t="n"/>
      <c r="BF14" s="1273" t="n"/>
      <c r="BG14" s="1275" t="n"/>
      <c r="BH14" s="1274" t="n"/>
      <c r="BI14" s="1273" t="n"/>
      <c r="BJ14" s="1273" t="n"/>
      <c r="BK14" s="1273" t="n"/>
      <c r="BL14" s="1273" t="n"/>
      <c r="BM14" s="1275" t="n"/>
      <c r="BN14" s="1274" t="n"/>
      <c r="BO14" s="1273" t="n"/>
      <c r="BP14" s="1273" t="n"/>
      <c r="BQ14" s="1273" t="n"/>
      <c r="BR14" s="1273" t="n"/>
      <c r="BS14" s="1275" t="n"/>
      <c r="BT14" s="1274" t="n"/>
      <c r="BU14" s="1273" t="n"/>
      <c r="BV14" s="1273" t="n"/>
      <c r="BW14" s="1273" t="n"/>
      <c r="BX14" s="1273" t="n"/>
      <c r="BY14" s="1276" t="n"/>
      <c r="BZ14" s="1258" t="n"/>
    </row>
    <row r="15" ht="16.5" customHeight="1" s="838">
      <c r="B15" s="779" t="inlineStr">
        <is>
          <t>제품1</t>
        </is>
      </c>
      <c r="C15" s="750" t="inlineStr">
        <is>
          <t>개선금액</t>
        </is>
      </c>
      <c r="D15" s="419" t="inlineStr">
        <is>
          <t>`26 목표</t>
        </is>
      </c>
      <c r="E15" s="1252">
        <f>E17-E18</f>
        <v/>
      </c>
      <c r="F15" s="1253">
        <f>F17-F18</f>
        <v/>
      </c>
      <c r="G15" s="1253">
        <f>G17-G18</f>
        <v/>
      </c>
      <c r="H15" s="1253">
        <f>H17-H18</f>
        <v/>
      </c>
      <c r="I15" s="1253">
        <f>I17-I18</f>
        <v/>
      </c>
      <c r="J15" s="1253">
        <f>J17-J18</f>
        <v/>
      </c>
      <c r="K15" s="1254">
        <f>K17-K18</f>
        <v/>
      </c>
      <c r="L15" s="1253">
        <f>L17-L18</f>
        <v/>
      </c>
      <c r="M15" s="1253">
        <f>M17-M18</f>
        <v/>
      </c>
      <c r="N15" s="1253">
        <f>N17-N18</f>
        <v/>
      </c>
      <c r="O15" s="1255">
        <f>O17-O18</f>
        <v/>
      </c>
      <c r="P15" s="1252">
        <f>P17-P18</f>
        <v/>
      </c>
      <c r="Q15" s="1253">
        <f>Q17-Q18</f>
        <v/>
      </c>
      <c r="R15" s="1253">
        <f>R17-R18</f>
        <v/>
      </c>
      <c r="S15" s="1253">
        <f>S17-S18</f>
        <v/>
      </c>
      <c r="T15" s="1253">
        <f>T17-T18</f>
        <v/>
      </c>
      <c r="U15" s="1253">
        <f>U17-U18</f>
        <v/>
      </c>
      <c r="V15" s="1254">
        <f>V17-V18</f>
        <v/>
      </c>
      <c r="W15" s="1253">
        <f>W17-W18</f>
        <v/>
      </c>
      <c r="X15" s="1253">
        <f>X17-X18</f>
        <v/>
      </c>
      <c r="Y15" s="1253">
        <f>Y17-Y18</f>
        <v/>
      </c>
      <c r="Z15" s="1253">
        <f>Z17-Z18</f>
        <v/>
      </c>
      <c r="AA15" s="1255">
        <f>AA17-AA18</f>
        <v/>
      </c>
      <c r="AB15" s="1252" t="n"/>
      <c r="AC15" s="1253" t="n"/>
      <c r="AD15" s="1253" t="n"/>
      <c r="AE15" s="1253" t="n"/>
      <c r="AF15" s="1253" t="n"/>
      <c r="AG15" s="1253" t="n"/>
      <c r="AH15" s="1253" t="n"/>
      <c r="AI15" s="1254" t="n"/>
      <c r="AJ15" s="1253" t="n"/>
      <c r="AK15" s="1253" t="n"/>
      <c r="AL15" s="1253" t="n"/>
      <c r="AM15" s="1253" t="n"/>
      <c r="AN15" s="1255" t="n"/>
      <c r="AO15" s="1252" t="n"/>
      <c r="AP15" s="1253" t="n"/>
      <c r="AQ15" s="1253" t="n"/>
      <c r="AR15" s="1253" t="n"/>
      <c r="AS15" s="1253" t="n"/>
      <c r="AT15" s="1253" t="n"/>
      <c r="AU15" s="1254" t="n"/>
      <c r="AV15" s="1253" t="n"/>
      <c r="AW15" s="1253" t="n"/>
      <c r="AX15" s="1253" t="n"/>
      <c r="AY15" s="1253" t="n"/>
      <c r="AZ15" s="1253" t="n"/>
      <c r="BA15" s="1253" t="n"/>
      <c r="BB15" s="1254" t="n"/>
      <c r="BC15" s="1253" t="n"/>
      <c r="BD15" s="1253" t="n"/>
      <c r="BE15" s="1253" t="n"/>
      <c r="BF15" s="1253" t="n"/>
      <c r="BG15" s="1255" t="n"/>
      <c r="BH15" s="1254" t="n"/>
      <c r="BI15" s="1253" t="n"/>
      <c r="BJ15" s="1253" t="n"/>
      <c r="BK15" s="1253" t="n"/>
      <c r="BL15" s="1253" t="n"/>
      <c r="BM15" s="1255" t="n"/>
      <c r="BN15" s="1254" t="n"/>
      <c r="BO15" s="1253" t="n"/>
      <c r="BP15" s="1253" t="n"/>
      <c r="BQ15" s="1253" t="n"/>
      <c r="BR15" s="1253" t="n"/>
      <c r="BS15" s="1255" t="n"/>
      <c r="BT15" s="1254" t="n"/>
      <c r="BU15" s="1253" t="n"/>
      <c r="BV15" s="1253" t="n"/>
      <c r="BW15" s="1253" t="n"/>
      <c r="BX15" s="1253" t="n"/>
      <c r="BY15" s="1256" t="n"/>
      <c r="BZ15" s="1258" t="n"/>
    </row>
    <row r="16" ht="16.5" customHeight="1" s="838">
      <c r="B16" s="756" t="n"/>
      <c r="C16" s="739" t="n"/>
      <c r="D16" s="834" t="inlineStr">
        <is>
          <t>`26 실적</t>
        </is>
      </c>
      <c r="E16" s="1257">
        <f>E17-E19</f>
        <v/>
      </c>
      <c r="F16" s="1258">
        <f>F17-F19</f>
        <v/>
      </c>
      <c r="G16" s="1258">
        <f>G17-G19</f>
        <v/>
      </c>
      <c r="H16" s="1258">
        <f>H17-H19</f>
        <v/>
      </c>
      <c r="I16" s="1258">
        <f>I17-I19</f>
        <v/>
      </c>
      <c r="J16" s="1258">
        <f>J17-J19</f>
        <v/>
      </c>
      <c r="K16" s="1259">
        <f>K17-K19</f>
        <v/>
      </c>
      <c r="L16" s="1258">
        <f>L17-L19</f>
        <v/>
      </c>
      <c r="M16" s="1258">
        <f>M17-M19</f>
        <v/>
      </c>
      <c r="N16" s="1258">
        <f>N17-N19</f>
        <v/>
      </c>
      <c r="O16" s="1260">
        <f>O17-O19</f>
        <v/>
      </c>
      <c r="P16" s="1257">
        <f>P17-P19</f>
        <v/>
      </c>
      <c r="Q16" s="1258">
        <f>Q17-Q19</f>
        <v/>
      </c>
      <c r="R16" s="1258">
        <f>R17-R19</f>
        <v/>
      </c>
      <c r="S16" s="1258">
        <f>S17-S19</f>
        <v/>
      </c>
      <c r="T16" s="1258">
        <f>T17-T19</f>
        <v/>
      </c>
      <c r="U16" s="1258">
        <f>U17-U19</f>
        <v/>
      </c>
      <c r="V16" s="1259">
        <f>V17-V19</f>
        <v/>
      </c>
      <c r="W16" s="1258">
        <f>W17-W19</f>
        <v/>
      </c>
      <c r="X16" s="1258">
        <f>X17-X19</f>
        <v/>
      </c>
      <c r="Y16" s="1258">
        <f>Y17-Y19</f>
        <v/>
      </c>
      <c r="Z16" s="1258">
        <f>Z17-Z19</f>
        <v/>
      </c>
      <c r="AA16" s="1260">
        <f>AA17-AA19</f>
        <v/>
      </c>
      <c r="AB16" s="1257" t="n"/>
      <c r="AC16" s="1258" t="n"/>
      <c r="AD16" s="1258" t="n"/>
      <c r="AE16" s="1258" t="n"/>
      <c r="AF16" s="1258" t="n"/>
      <c r="AG16" s="1258" t="n"/>
      <c r="AH16" s="1258" t="n"/>
      <c r="AI16" s="1259" t="n"/>
      <c r="AJ16" s="1258" t="n"/>
      <c r="AK16" s="1258" t="n"/>
      <c r="AL16" s="1258" t="n"/>
      <c r="AM16" s="1258" t="n"/>
      <c r="AN16" s="1260" t="n"/>
      <c r="AO16" s="1257" t="n"/>
      <c r="AP16" s="1258" t="n"/>
      <c r="AQ16" s="1258" t="n"/>
      <c r="AR16" s="1258" t="n"/>
      <c r="AS16" s="1258" t="n"/>
      <c r="AT16" s="1258" t="n"/>
      <c r="AU16" s="1259" t="n"/>
      <c r="AV16" s="1258" t="n"/>
      <c r="AW16" s="1258" t="n"/>
      <c r="AX16" s="1258" t="n"/>
      <c r="AY16" s="1258" t="n"/>
      <c r="AZ16" s="1258" t="n"/>
      <c r="BA16" s="1258" t="n"/>
      <c r="BB16" s="1259" t="n"/>
      <c r="BC16" s="1258" t="n"/>
      <c r="BD16" s="1258" t="n"/>
      <c r="BE16" s="1258" t="n"/>
      <c r="BF16" s="1258" t="n"/>
      <c r="BG16" s="1260" t="n"/>
      <c r="BH16" s="1259" t="n"/>
      <c r="BI16" s="1258" t="n"/>
      <c r="BJ16" s="1258" t="n"/>
      <c r="BK16" s="1258" t="n"/>
      <c r="BL16" s="1258" t="n"/>
      <c r="BM16" s="1260" t="n"/>
      <c r="BN16" s="1259" t="n"/>
      <c r="BO16" s="1258" t="n"/>
      <c r="BP16" s="1258" t="n"/>
      <c r="BQ16" s="1258" t="n"/>
      <c r="BR16" s="1258" t="n"/>
      <c r="BS16" s="1260" t="n"/>
      <c r="BT16" s="1259" t="n"/>
      <c r="BU16" s="1258" t="n"/>
      <c r="BV16" s="1258" t="n"/>
      <c r="BW16" s="1258" t="n"/>
      <c r="BX16" s="1258" t="n"/>
      <c r="BY16" s="1261" t="n"/>
      <c r="BZ16" s="1258" t="n"/>
    </row>
    <row r="17" ht="16.5" customHeight="1" s="838">
      <c r="B17" s="756" t="n"/>
      <c r="C17" s="737" t="inlineStr">
        <is>
          <t>품질비용</t>
        </is>
      </c>
      <c r="D17" s="406" t="inlineStr">
        <is>
          <t>`25 실적</t>
        </is>
      </c>
      <c r="E17" s="1262">
        <f>E20-E23</f>
        <v/>
      </c>
      <c r="F17" s="1263">
        <f>F20-F23</f>
        <v/>
      </c>
      <c r="G17" s="1263">
        <f>G20-G23</f>
        <v/>
      </c>
      <c r="H17" s="1263">
        <f>H20-H23</f>
        <v/>
      </c>
      <c r="I17" s="1263">
        <f>I20-I23</f>
        <v/>
      </c>
      <c r="J17" s="1263">
        <f>J20-J23</f>
        <v/>
      </c>
      <c r="K17" s="1264">
        <f>K20-K23</f>
        <v/>
      </c>
      <c r="L17" s="1263">
        <f>L20-L23</f>
        <v/>
      </c>
      <c r="M17" s="1263">
        <f>M20-M23</f>
        <v/>
      </c>
      <c r="N17" s="1263">
        <f>N20-N23</f>
        <v/>
      </c>
      <c r="O17" s="1265">
        <f>O20-O23</f>
        <v/>
      </c>
      <c r="P17" s="1262">
        <f>P20-P23</f>
        <v/>
      </c>
      <c r="Q17" s="1263">
        <f>Q20-Q23</f>
        <v/>
      </c>
      <c r="R17" s="1263">
        <f>R20-R23</f>
        <v/>
      </c>
      <c r="S17" s="1263">
        <f>S20-S23</f>
        <v/>
      </c>
      <c r="T17" s="1263">
        <f>T20-T23</f>
        <v/>
      </c>
      <c r="U17" s="1263">
        <f>U20-U23</f>
        <v/>
      </c>
      <c r="V17" s="1264">
        <f>V20-V23</f>
        <v/>
      </c>
      <c r="W17" s="1263">
        <f>W20-W23</f>
        <v/>
      </c>
      <c r="X17" s="1263">
        <f>X20-X23</f>
        <v/>
      </c>
      <c r="Y17" s="1263">
        <f>Y20-Y23</f>
        <v/>
      </c>
      <c r="Z17" s="1263">
        <f>Z20-Z23</f>
        <v/>
      </c>
      <c r="AA17" s="1265">
        <f>AA20-AA23</f>
        <v/>
      </c>
      <c r="AB17" s="1262" t="n"/>
      <c r="AC17" s="1263" t="n"/>
      <c r="AD17" s="1263" t="n"/>
      <c r="AE17" s="1263" t="n"/>
      <c r="AF17" s="1263" t="n"/>
      <c r="AG17" s="1263" t="n"/>
      <c r="AH17" s="1263" t="n"/>
      <c r="AI17" s="1264" t="n"/>
      <c r="AJ17" s="1263" t="n"/>
      <c r="AK17" s="1263" t="n"/>
      <c r="AL17" s="1263" t="n"/>
      <c r="AM17" s="1263" t="n"/>
      <c r="AN17" s="1265" t="n"/>
      <c r="AO17" s="1262" t="n"/>
      <c r="AP17" s="1263" t="n"/>
      <c r="AQ17" s="1263" t="n"/>
      <c r="AR17" s="1263" t="n"/>
      <c r="AS17" s="1263" t="n"/>
      <c r="AT17" s="1263" t="n"/>
      <c r="AU17" s="1264" t="n"/>
      <c r="AV17" s="1263" t="n"/>
      <c r="AW17" s="1263" t="n"/>
      <c r="AX17" s="1263" t="n"/>
      <c r="AY17" s="1263" t="n"/>
      <c r="AZ17" s="1263" t="n"/>
      <c r="BA17" s="1263" t="n"/>
      <c r="BB17" s="1264" t="n"/>
      <c r="BC17" s="1263" t="n"/>
      <c r="BD17" s="1263" t="n"/>
      <c r="BE17" s="1263" t="n"/>
      <c r="BF17" s="1263" t="n"/>
      <c r="BG17" s="1265" t="n"/>
      <c r="BH17" s="1264" t="n"/>
      <c r="BI17" s="1263" t="n"/>
      <c r="BJ17" s="1263" t="n"/>
      <c r="BK17" s="1263" t="n"/>
      <c r="BL17" s="1263" t="n"/>
      <c r="BM17" s="1265" t="n"/>
      <c r="BN17" s="1264" t="n"/>
      <c r="BO17" s="1263" t="n"/>
      <c r="BP17" s="1263" t="n"/>
      <c r="BQ17" s="1263" t="n"/>
      <c r="BR17" s="1263" t="n"/>
      <c r="BS17" s="1265" t="n"/>
      <c r="BT17" s="1264" t="n"/>
      <c r="BU17" s="1263" t="n"/>
      <c r="BV17" s="1263" t="n"/>
      <c r="BW17" s="1263" t="n"/>
      <c r="BX17" s="1263" t="n"/>
      <c r="BY17" s="1266" t="n"/>
      <c r="BZ17" s="1258" t="n"/>
    </row>
    <row r="18" ht="16.5" customHeight="1" s="838">
      <c r="B18" s="756" t="n"/>
      <c r="C18" s="738" t="n"/>
      <c r="D18" s="834" t="inlineStr">
        <is>
          <t>`26 목표</t>
        </is>
      </c>
      <c r="E18" s="1257">
        <f>E21-E24</f>
        <v/>
      </c>
      <c r="F18" s="1258">
        <f>F21-F24</f>
        <v/>
      </c>
      <c r="G18" s="1258">
        <f>G21-G24</f>
        <v/>
      </c>
      <c r="H18" s="1258">
        <f>H21-H24</f>
        <v/>
      </c>
      <c r="I18" s="1258">
        <f>I21-I24</f>
        <v/>
      </c>
      <c r="J18" s="1258">
        <f>J21-J24</f>
        <v/>
      </c>
      <c r="K18" s="1259">
        <f>K21-K24</f>
        <v/>
      </c>
      <c r="L18" s="1258">
        <f>L21-L24</f>
        <v/>
      </c>
      <c r="M18" s="1258">
        <f>M21-M24</f>
        <v/>
      </c>
      <c r="N18" s="1258">
        <f>N21-N24</f>
        <v/>
      </c>
      <c r="O18" s="1260">
        <f>O21-O24</f>
        <v/>
      </c>
      <c r="P18" s="1257">
        <f>P21-P24</f>
        <v/>
      </c>
      <c r="Q18" s="1258">
        <f>Q21-Q24</f>
        <v/>
      </c>
      <c r="R18" s="1258">
        <f>R21-R24</f>
        <v/>
      </c>
      <c r="S18" s="1258">
        <f>S21-S24</f>
        <v/>
      </c>
      <c r="T18" s="1258">
        <f>T21-T24</f>
        <v/>
      </c>
      <c r="U18" s="1258">
        <f>U21-U24</f>
        <v/>
      </c>
      <c r="V18" s="1259">
        <f>V21-V24</f>
        <v/>
      </c>
      <c r="W18" s="1258">
        <f>W21-W24</f>
        <v/>
      </c>
      <c r="X18" s="1258">
        <f>X21-X24</f>
        <v/>
      </c>
      <c r="Y18" s="1258">
        <f>Y21-Y24</f>
        <v/>
      </c>
      <c r="Z18" s="1258">
        <f>Z21-Z24</f>
        <v/>
      </c>
      <c r="AA18" s="1260">
        <f>AA21-AA24</f>
        <v/>
      </c>
      <c r="AB18" s="1257" t="n"/>
      <c r="AC18" s="1258" t="n"/>
      <c r="AD18" s="1258" t="n"/>
      <c r="AE18" s="1258" t="n"/>
      <c r="AF18" s="1258" t="n"/>
      <c r="AG18" s="1258" t="n"/>
      <c r="AH18" s="1258" t="n"/>
      <c r="AI18" s="1259" t="n"/>
      <c r="AJ18" s="1258" t="n"/>
      <c r="AK18" s="1258" t="n"/>
      <c r="AL18" s="1258" t="n"/>
      <c r="AM18" s="1258" t="n"/>
      <c r="AN18" s="1260" t="n"/>
      <c r="AO18" s="1257" t="n"/>
      <c r="AP18" s="1258" t="n"/>
      <c r="AQ18" s="1258" t="n"/>
      <c r="AR18" s="1258" t="n"/>
      <c r="AS18" s="1258" t="n"/>
      <c r="AT18" s="1258" t="n"/>
      <c r="AU18" s="1259" t="n"/>
      <c r="AV18" s="1258" t="n"/>
      <c r="AW18" s="1258" t="n"/>
      <c r="AX18" s="1258" t="n"/>
      <c r="AY18" s="1258" t="n"/>
      <c r="AZ18" s="1258" t="n"/>
      <c r="BA18" s="1258" t="n"/>
      <c r="BB18" s="1259" t="n"/>
      <c r="BC18" s="1258" t="n"/>
      <c r="BD18" s="1258" t="n"/>
      <c r="BE18" s="1258" t="n"/>
      <c r="BF18" s="1258" t="n"/>
      <c r="BG18" s="1260" t="n"/>
      <c r="BH18" s="1259" t="n"/>
      <c r="BI18" s="1258" t="n"/>
      <c r="BJ18" s="1258" t="n"/>
      <c r="BK18" s="1258" t="n"/>
      <c r="BL18" s="1258" t="n"/>
      <c r="BM18" s="1260" t="n"/>
      <c r="BN18" s="1259" t="n"/>
      <c r="BO18" s="1258" t="n"/>
      <c r="BP18" s="1258" t="n"/>
      <c r="BQ18" s="1258" t="n"/>
      <c r="BR18" s="1258" t="n"/>
      <c r="BS18" s="1260" t="n"/>
      <c r="BT18" s="1259" t="n"/>
      <c r="BU18" s="1258" t="n"/>
      <c r="BV18" s="1258" t="n"/>
      <c r="BW18" s="1258" t="n"/>
      <c r="BX18" s="1258" t="n"/>
      <c r="BY18" s="1261" t="n"/>
      <c r="BZ18" s="1258" t="n"/>
    </row>
    <row r="19" ht="16.5" customHeight="1" s="838">
      <c r="B19" s="756" t="n"/>
      <c r="C19" s="739" t="n"/>
      <c r="D19" s="407" t="inlineStr">
        <is>
          <t>`26 실적</t>
        </is>
      </c>
      <c r="E19" s="1267">
        <f>E22-E25</f>
        <v/>
      </c>
      <c r="F19" s="1268">
        <f>F22-F25</f>
        <v/>
      </c>
      <c r="G19" s="1268">
        <f>G22-G25</f>
        <v/>
      </c>
      <c r="H19" s="1268">
        <f>H22-H25</f>
        <v/>
      </c>
      <c r="I19" s="1268">
        <f>I22-I25</f>
        <v/>
      </c>
      <c r="J19" s="1268">
        <f>J22-J25</f>
        <v/>
      </c>
      <c r="K19" s="1269">
        <f>K22-K25</f>
        <v/>
      </c>
      <c r="L19" s="1268">
        <f>L22-L25</f>
        <v/>
      </c>
      <c r="M19" s="1268">
        <f>M22-M25</f>
        <v/>
      </c>
      <c r="N19" s="1268">
        <f>N22-N25</f>
        <v/>
      </c>
      <c r="O19" s="1270">
        <f>O22-O25</f>
        <v/>
      </c>
      <c r="P19" s="1267">
        <f>P22-P25</f>
        <v/>
      </c>
      <c r="Q19" s="1268">
        <f>Q22-Q25</f>
        <v/>
      </c>
      <c r="R19" s="1268">
        <f>R22-R25</f>
        <v/>
      </c>
      <c r="S19" s="1268">
        <f>S22-S25</f>
        <v/>
      </c>
      <c r="T19" s="1268">
        <f>T22-T25</f>
        <v/>
      </c>
      <c r="U19" s="1268">
        <f>U22-U25</f>
        <v/>
      </c>
      <c r="V19" s="1269">
        <f>V22-V25</f>
        <v/>
      </c>
      <c r="W19" s="1268">
        <f>W22-W25</f>
        <v/>
      </c>
      <c r="X19" s="1268">
        <f>X22-X25</f>
        <v/>
      </c>
      <c r="Y19" s="1268">
        <f>Y22-Y25</f>
        <v/>
      </c>
      <c r="Z19" s="1268">
        <f>Z22-Z25</f>
        <v/>
      </c>
      <c r="AA19" s="1270">
        <f>AA22-AA25</f>
        <v/>
      </c>
      <c r="AB19" s="1267" t="n"/>
      <c r="AC19" s="1268" t="n"/>
      <c r="AD19" s="1268" t="n"/>
      <c r="AE19" s="1268" t="n"/>
      <c r="AF19" s="1268" t="n"/>
      <c r="AG19" s="1268" t="n"/>
      <c r="AH19" s="1268" t="n"/>
      <c r="AI19" s="1269" t="n"/>
      <c r="AJ19" s="1268" t="n"/>
      <c r="AK19" s="1268" t="n"/>
      <c r="AL19" s="1268" t="n"/>
      <c r="AM19" s="1268" t="n"/>
      <c r="AN19" s="1270" t="n"/>
      <c r="AO19" s="1267" t="n"/>
      <c r="AP19" s="1268" t="n"/>
      <c r="AQ19" s="1268" t="n"/>
      <c r="AR19" s="1268" t="n"/>
      <c r="AS19" s="1268" t="n"/>
      <c r="AT19" s="1268" t="n"/>
      <c r="AU19" s="1269" t="n"/>
      <c r="AV19" s="1268" t="n"/>
      <c r="AW19" s="1268" t="n"/>
      <c r="AX19" s="1268" t="n"/>
      <c r="AY19" s="1268" t="n"/>
      <c r="AZ19" s="1268" t="n"/>
      <c r="BA19" s="1268" t="n"/>
      <c r="BB19" s="1269" t="n"/>
      <c r="BC19" s="1268" t="n"/>
      <c r="BD19" s="1268" t="n"/>
      <c r="BE19" s="1268" t="n"/>
      <c r="BF19" s="1268" t="n"/>
      <c r="BG19" s="1270" t="n"/>
      <c r="BH19" s="1269" t="n"/>
      <c r="BI19" s="1268" t="n"/>
      <c r="BJ19" s="1268" t="n"/>
      <c r="BK19" s="1268" t="n"/>
      <c r="BL19" s="1268" t="n"/>
      <c r="BM19" s="1270" t="n"/>
      <c r="BN19" s="1269" t="n"/>
      <c r="BO19" s="1268" t="n"/>
      <c r="BP19" s="1268" t="n"/>
      <c r="BQ19" s="1268" t="n"/>
      <c r="BR19" s="1268" t="n"/>
      <c r="BS19" s="1270" t="n"/>
      <c r="BT19" s="1269" t="n"/>
      <c r="BU19" s="1268" t="n"/>
      <c r="BV19" s="1268" t="n"/>
      <c r="BW19" s="1268" t="n"/>
      <c r="BX19" s="1268" t="n"/>
      <c r="BY19" s="1271" t="n"/>
      <c r="BZ19" s="1258" t="n"/>
    </row>
    <row r="20" ht="16.5" customHeight="1" s="838">
      <c r="B20" s="756" t="n"/>
      <c r="C20" s="737" t="inlineStr">
        <is>
          <t>실패비용</t>
        </is>
      </c>
      <c r="D20" s="406" t="inlineStr">
        <is>
          <t>`25 실적</t>
        </is>
      </c>
      <c r="E20" s="1262" t="n">
        <v>277.344751</v>
      </c>
      <c r="F20" s="1263" t="n">
        <v>277.344751</v>
      </c>
      <c r="G20" s="1263" t="n">
        <v>277.344751</v>
      </c>
      <c r="H20" s="1263" t="n">
        <v>277.344751</v>
      </c>
      <c r="I20" s="1263" t="n">
        <v>277.344751</v>
      </c>
      <c r="J20" s="1263" t="n">
        <v>277.344751</v>
      </c>
      <c r="K20" s="1264" t="n">
        <v>98.494181</v>
      </c>
      <c r="L20" s="1263" t="n">
        <v>98.494181</v>
      </c>
      <c r="M20" s="1263" t="n">
        <v>98.494181</v>
      </c>
      <c r="N20" s="1263" t="n">
        <v>98.494181</v>
      </c>
      <c r="O20" s="1265" t="n">
        <v>98.494181</v>
      </c>
      <c r="P20" s="1262" t="n">
        <v>105.490116</v>
      </c>
      <c r="Q20" s="1263" t="n">
        <v>105.490116</v>
      </c>
      <c r="R20" s="1263" t="n">
        <v>105.490116</v>
      </c>
      <c r="S20" s="1263" t="n">
        <v>105.490116</v>
      </c>
      <c r="T20" s="1263" t="n">
        <v>105.490116</v>
      </c>
      <c r="U20" s="1263" t="n">
        <v>105.490116</v>
      </c>
      <c r="V20" s="1264" t="n">
        <v>174.367149</v>
      </c>
      <c r="W20" s="1263" t="n">
        <v>174.367149</v>
      </c>
      <c r="X20" s="1263" t="n">
        <v>174.367149</v>
      </c>
      <c r="Y20" s="1263" t="n">
        <v>174.367149</v>
      </c>
      <c r="Z20" s="1263" t="n">
        <v>174.367149</v>
      </c>
      <c r="AA20" s="1265" t="n">
        <v>174.367149</v>
      </c>
      <c r="AB20" s="1262" t="n"/>
      <c r="AC20" s="1263" t="n"/>
      <c r="AD20" s="1263" t="n"/>
      <c r="AE20" s="1263" t="n"/>
      <c r="AF20" s="1263" t="n"/>
      <c r="AG20" s="1263" t="n"/>
      <c r="AH20" s="1263" t="n"/>
      <c r="AI20" s="1264" t="n"/>
      <c r="AJ20" s="1263" t="n"/>
      <c r="AK20" s="1263" t="n"/>
      <c r="AL20" s="1263" t="n"/>
      <c r="AM20" s="1263" t="n"/>
      <c r="AN20" s="1265" t="n"/>
      <c r="AO20" s="1262" t="n"/>
      <c r="AP20" s="1263" t="n"/>
      <c r="AQ20" s="1263" t="n"/>
      <c r="AR20" s="1263" t="n"/>
      <c r="AS20" s="1263" t="n"/>
      <c r="AT20" s="1263" t="n"/>
      <c r="AU20" s="1264" t="n"/>
      <c r="AV20" s="1263" t="n"/>
      <c r="AW20" s="1263" t="n"/>
      <c r="AX20" s="1263" t="n"/>
      <c r="AY20" s="1263" t="n"/>
      <c r="AZ20" s="1263" t="n"/>
      <c r="BA20" s="1263" t="n"/>
      <c r="BB20" s="1264" t="n"/>
      <c r="BC20" s="1263" t="n"/>
      <c r="BD20" s="1263" t="n"/>
      <c r="BE20" s="1263" t="n"/>
      <c r="BF20" s="1263" t="n"/>
      <c r="BG20" s="1265" t="n"/>
      <c r="BH20" s="1264" t="n"/>
      <c r="BI20" s="1263" t="n"/>
      <c r="BJ20" s="1263" t="n"/>
      <c r="BK20" s="1263" t="n"/>
      <c r="BL20" s="1263" t="n"/>
      <c r="BM20" s="1265" t="n"/>
      <c r="BN20" s="1264" t="n"/>
      <c r="BO20" s="1263" t="n"/>
      <c r="BP20" s="1263" t="n"/>
      <c r="BQ20" s="1263" t="n"/>
      <c r="BR20" s="1263" t="n"/>
      <c r="BS20" s="1265" t="n"/>
      <c r="BT20" s="1264" t="n"/>
      <c r="BU20" s="1263" t="n"/>
      <c r="BV20" s="1263" t="n"/>
      <c r="BW20" s="1263" t="n"/>
      <c r="BX20" s="1263" t="n"/>
      <c r="BY20" s="1266" t="n"/>
      <c r="BZ20" s="1258" t="n"/>
    </row>
    <row r="21" ht="16.5" customHeight="1" s="838">
      <c r="B21" s="756" t="n"/>
      <c r="C21" s="738" t="n"/>
      <c r="D21" s="834" t="inlineStr">
        <is>
          <t>`26 목표</t>
        </is>
      </c>
      <c r="E21" s="1257" t="n">
        <v>228.088062</v>
      </c>
      <c r="F21" s="1258" t="n">
        <v>228.088062</v>
      </c>
      <c r="G21" s="1258" t="n">
        <v>228.088062</v>
      </c>
      <c r="H21" s="1258" t="n">
        <v>228.088062</v>
      </c>
      <c r="I21" s="1258" t="n">
        <v>228.088062</v>
      </c>
      <c r="J21" s="1258" t="n">
        <v>228.088062</v>
      </c>
      <c r="K21" s="1259" t="n">
        <v>245.345333</v>
      </c>
      <c r="L21" s="1258" t="n">
        <v>245.345333</v>
      </c>
      <c r="M21" s="1258" t="n">
        <v>245.345333</v>
      </c>
      <c r="N21" s="1258" t="n">
        <v>245.345333</v>
      </c>
      <c r="O21" s="1260" t="n">
        <v>245.345333</v>
      </c>
      <c r="P21" s="1257" t="n">
        <v>146.676182</v>
      </c>
      <c r="Q21" s="1258" t="n">
        <v>146.676182</v>
      </c>
      <c r="R21" s="1258" t="n">
        <v>146.676182</v>
      </c>
      <c r="S21" s="1258" t="n">
        <v>146.676182</v>
      </c>
      <c r="T21" s="1258" t="n">
        <v>146.676182</v>
      </c>
      <c r="U21" s="1258" t="n">
        <v>146.676182</v>
      </c>
      <c r="V21" s="1259" t="n">
        <v>249.673127</v>
      </c>
      <c r="W21" s="1258" t="n">
        <v>249.673127</v>
      </c>
      <c r="X21" s="1258" t="n">
        <v>249.673127</v>
      </c>
      <c r="Y21" s="1258" t="n">
        <v>249.673127</v>
      </c>
      <c r="Z21" s="1258" t="n">
        <v>249.673127</v>
      </c>
      <c r="AA21" s="1260" t="n">
        <v>249.673127</v>
      </c>
      <c r="AB21" s="1257" t="n"/>
      <c r="AC21" s="1258" t="n"/>
      <c r="AD21" s="1258" t="n"/>
      <c r="AE21" s="1258" t="n"/>
      <c r="AF21" s="1258" t="n"/>
      <c r="AG21" s="1258" t="n"/>
      <c r="AH21" s="1258" t="n"/>
      <c r="AI21" s="1259" t="n"/>
      <c r="AJ21" s="1258" t="n"/>
      <c r="AK21" s="1258" t="n"/>
      <c r="AL21" s="1258" t="n"/>
      <c r="AM21" s="1258" t="n"/>
      <c r="AN21" s="1260" t="n"/>
      <c r="AO21" s="1257" t="n"/>
      <c r="AP21" s="1258" t="n"/>
      <c r="AQ21" s="1258" t="n"/>
      <c r="AR21" s="1258" t="n"/>
      <c r="AS21" s="1258" t="n"/>
      <c r="AT21" s="1258" t="n"/>
      <c r="AU21" s="1259" t="n"/>
      <c r="AV21" s="1258" t="n"/>
      <c r="AW21" s="1258" t="n"/>
      <c r="AX21" s="1258" t="n"/>
      <c r="AY21" s="1258" t="n"/>
      <c r="AZ21" s="1258" t="n"/>
      <c r="BA21" s="1258" t="n"/>
      <c r="BB21" s="1259" t="n"/>
      <c r="BC21" s="1258" t="n"/>
      <c r="BD21" s="1258" t="n"/>
      <c r="BE21" s="1258" t="n"/>
      <c r="BF21" s="1258" t="n"/>
      <c r="BG21" s="1260" t="n"/>
      <c r="BH21" s="1259" t="n"/>
      <c r="BI21" s="1258" t="n"/>
      <c r="BJ21" s="1258" t="n"/>
      <c r="BK21" s="1258" t="n"/>
      <c r="BL21" s="1258" t="n"/>
      <c r="BM21" s="1260" t="n"/>
      <c r="BN21" s="1259" t="n"/>
      <c r="BO21" s="1258" t="n"/>
      <c r="BP21" s="1258" t="n"/>
      <c r="BQ21" s="1258" t="n"/>
      <c r="BR21" s="1258" t="n"/>
      <c r="BS21" s="1260" t="n"/>
      <c r="BT21" s="1259" t="n"/>
      <c r="BU21" s="1258" t="n"/>
      <c r="BV21" s="1258" t="n"/>
      <c r="BW21" s="1258" t="n"/>
      <c r="BX21" s="1258" t="n"/>
      <c r="BY21" s="1261" t="n"/>
      <c r="BZ21" s="1258" t="n"/>
    </row>
    <row r="22" ht="16.5" customHeight="1" s="838">
      <c r="B22" s="756" t="n"/>
      <c r="C22" s="739" t="n"/>
      <c r="D22" s="407" t="inlineStr">
        <is>
          <t>`26 실적</t>
        </is>
      </c>
      <c r="E22" s="1267" t="n">
        <v>159.260908</v>
      </c>
      <c r="F22" s="1268" t="n">
        <v>228.088062</v>
      </c>
      <c r="G22" s="1268" t="n">
        <v>228.088062</v>
      </c>
      <c r="H22" s="1268" t="n">
        <v>228.088062</v>
      </c>
      <c r="I22" s="1268" t="n">
        <v>228.088062</v>
      </c>
      <c r="J22" s="1268" t="n">
        <v>228.088062</v>
      </c>
      <c r="K22" s="1269" t="n">
        <v>220.057543</v>
      </c>
      <c r="L22" s="1268" t="n">
        <v>253.317169</v>
      </c>
      <c r="M22" s="1268" t="n">
        <v>90.249317</v>
      </c>
      <c r="N22" s="1268" t="n">
        <v>91.802605</v>
      </c>
      <c r="O22" s="1270" t="n">
        <v>90.249317</v>
      </c>
      <c r="P22" s="1267" t="n">
        <v>140.342576</v>
      </c>
      <c r="Q22" s="1268" t="n">
        <v>272.262993</v>
      </c>
      <c r="R22" s="1268" t="n">
        <v>99.08232099999999</v>
      </c>
      <c r="S22" s="1268" t="n">
        <v>139.06323</v>
      </c>
      <c r="T22" s="1268" t="n">
        <v>272.262993</v>
      </c>
      <c r="U22" s="1268" t="n">
        <v>139.06323</v>
      </c>
      <c r="V22" s="1269" t="n">
        <v>253.67047</v>
      </c>
      <c r="W22" s="1268" t="n">
        <v>224.402658</v>
      </c>
      <c r="X22" s="1268" t="n">
        <v>140.342576</v>
      </c>
      <c r="Y22" s="1268" t="n">
        <v>236.857054</v>
      </c>
      <c r="Z22" s="1268" t="n">
        <v>140.342576</v>
      </c>
      <c r="AA22" s="1270" t="n">
        <v>236.857054</v>
      </c>
      <c r="AB22" s="1267" t="n"/>
      <c r="AC22" s="1268" t="n"/>
      <c r="AD22" s="1268" t="n"/>
      <c r="AE22" s="1268" t="n"/>
      <c r="AF22" s="1268" t="n"/>
      <c r="AG22" s="1268" t="n"/>
      <c r="AH22" s="1268" t="n"/>
      <c r="AI22" s="1269" t="n"/>
      <c r="AJ22" s="1268" t="n"/>
      <c r="AK22" s="1268" t="n"/>
      <c r="AL22" s="1268" t="n"/>
      <c r="AM22" s="1268" t="n"/>
      <c r="AN22" s="1270" t="n"/>
      <c r="AO22" s="1267" t="n"/>
      <c r="AP22" s="1268" t="n"/>
      <c r="AQ22" s="1268" t="n"/>
      <c r="AR22" s="1268" t="n"/>
      <c r="AS22" s="1268" t="n"/>
      <c r="AT22" s="1268" t="n"/>
      <c r="AU22" s="1269" t="n"/>
      <c r="AV22" s="1268" t="n"/>
      <c r="AW22" s="1268" t="n"/>
      <c r="AX22" s="1268" t="n"/>
      <c r="AY22" s="1268" t="n"/>
      <c r="AZ22" s="1268" t="n"/>
      <c r="BA22" s="1268" t="n"/>
      <c r="BB22" s="1269" t="n"/>
      <c r="BC22" s="1268" t="n"/>
      <c r="BD22" s="1268" t="n"/>
      <c r="BE22" s="1268" t="n"/>
      <c r="BF22" s="1268" t="n"/>
      <c r="BG22" s="1270" t="n"/>
      <c r="BH22" s="1269" t="n"/>
      <c r="BI22" s="1268" t="n"/>
      <c r="BJ22" s="1268" t="n"/>
      <c r="BK22" s="1268" t="n"/>
      <c r="BL22" s="1268" t="n"/>
      <c r="BM22" s="1270" t="n"/>
      <c r="BN22" s="1269" t="n"/>
      <c r="BO22" s="1268" t="n"/>
      <c r="BP22" s="1268" t="n"/>
      <c r="BQ22" s="1268" t="n"/>
      <c r="BR22" s="1268" t="n"/>
      <c r="BS22" s="1270" t="n"/>
      <c r="BT22" s="1269" t="n"/>
      <c r="BU22" s="1268" t="n"/>
      <c r="BV22" s="1268" t="n"/>
      <c r="BW22" s="1268" t="n"/>
      <c r="BX22" s="1268" t="n"/>
      <c r="BY22" s="1271" t="n"/>
      <c r="BZ22" s="1258" t="n"/>
    </row>
    <row r="23" ht="16.5" customHeight="1" s="838">
      <c r="B23" s="756" t="n"/>
      <c r="C23" s="754" t="inlineStr">
        <is>
          <t>유상수익</t>
        </is>
      </c>
      <c r="D23" s="834" t="inlineStr">
        <is>
          <t>`25 실적</t>
        </is>
      </c>
      <c r="E23" s="1257" t="n">
        <v>195.279123</v>
      </c>
      <c r="F23" s="1258" t="n">
        <v>195.279123</v>
      </c>
      <c r="G23" s="1258" t="n">
        <v>195.279123</v>
      </c>
      <c r="H23" s="1258" t="n">
        <v>195.279123</v>
      </c>
      <c r="I23" s="1258" t="n">
        <v>195.279123</v>
      </c>
      <c r="J23" s="1258" t="n">
        <v>195.279123</v>
      </c>
      <c r="K23" s="1259" t="n">
        <v>112.927961</v>
      </c>
      <c r="L23" s="1258" t="n">
        <v>112.927961</v>
      </c>
      <c r="M23" s="1258" t="n">
        <v>112.927961</v>
      </c>
      <c r="N23" s="1258" t="n">
        <v>112.927961</v>
      </c>
      <c r="O23" s="1260" t="n">
        <v>112.927961</v>
      </c>
      <c r="P23" s="1257" t="n">
        <v>100.298127</v>
      </c>
      <c r="Q23" s="1258" t="n">
        <v>100.298127</v>
      </c>
      <c r="R23" s="1258" t="n">
        <v>100.298127</v>
      </c>
      <c r="S23" s="1258" t="n">
        <v>100.298127</v>
      </c>
      <c r="T23" s="1258" t="n">
        <v>100.298127</v>
      </c>
      <c r="U23" s="1258" t="n">
        <v>100.298127</v>
      </c>
      <c r="V23" s="1259" t="n">
        <v>234.3801</v>
      </c>
      <c r="W23" s="1258" t="n">
        <v>234.3801</v>
      </c>
      <c r="X23" s="1258" t="n">
        <v>234.3801</v>
      </c>
      <c r="Y23" s="1258" t="n">
        <v>234.3801</v>
      </c>
      <c r="Z23" s="1258" t="n">
        <v>234.3801</v>
      </c>
      <c r="AA23" s="1260" t="n">
        <v>234.3801</v>
      </c>
      <c r="AB23" s="1257" t="n"/>
      <c r="AC23" s="1258" t="n"/>
      <c r="AD23" s="1258" t="n"/>
      <c r="AE23" s="1258" t="n"/>
      <c r="AF23" s="1258" t="n"/>
      <c r="AG23" s="1258" t="n"/>
      <c r="AH23" s="1258" t="n"/>
      <c r="AI23" s="1259" t="n"/>
      <c r="AJ23" s="1258" t="n"/>
      <c r="AK23" s="1258" t="n"/>
      <c r="AL23" s="1258" t="n"/>
      <c r="AM23" s="1258" t="n"/>
      <c r="AN23" s="1260" t="n"/>
      <c r="AO23" s="1257" t="n"/>
      <c r="AP23" s="1258" t="n"/>
      <c r="AQ23" s="1258" t="n"/>
      <c r="AR23" s="1258" t="n"/>
      <c r="AS23" s="1258" t="n"/>
      <c r="AT23" s="1258" t="n"/>
      <c r="AU23" s="1259" t="n"/>
      <c r="AV23" s="1258" t="n"/>
      <c r="AW23" s="1258" t="n"/>
      <c r="AX23" s="1258" t="n"/>
      <c r="AY23" s="1258" t="n"/>
      <c r="AZ23" s="1258" t="n"/>
      <c r="BA23" s="1258" t="n"/>
      <c r="BB23" s="1259" t="n"/>
      <c r="BC23" s="1258" t="n"/>
      <c r="BD23" s="1258" t="n"/>
      <c r="BE23" s="1258" t="n"/>
      <c r="BF23" s="1258" t="n"/>
      <c r="BG23" s="1260" t="n"/>
      <c r="BH23" s="1259" t="n"/>
      <c r="BI23" s="1258" t="n"/>
      <c r="BJ23" s="1258" t="n"/>
      <c r="BK23" s="1258" t="n"/>
      <c r="BL23" s="1258" t="n"/>
      <c r="BM23" s="1260" t="n"/>
      <c r="BN23" s="1259" t="n"/>
      <c r="BO23" s="1258" t="n"/>
      <c r="BP23" s="1258" t="n"/>
      <c r="BQ23" s="1258" t="n"/>
      <c r="BR23" s="1258" t="n"/>
      <c r="BS23" s="1260" t="n"/>
      <c r="BT23" s="1259" t="n"/>
      <c r="BU23" s="1258" t="n"/>
      <c r="BV23" s="1258" t="n"/>
      <c r="BW23" s="1258" t="n"/>
      <c r="BX23" s="1258" t="n"/>
      <c r="BY23" s="1261" t="n"/>
      <c r="BZ23" s="1258" t="n"/>
    </row>
    <row r="24" ht="16.5" customHeight="1" s="838">
      <c r="B24" s="756" t="n"/>
      <c r="C24" s="738" t="n"/>
      <c r="D24" s="834" t="inlineStr">
        <is>
          <t>`26 목표</t>
        </is>
      </c>
      <c r="E24" s="1257" t="n">
        <v>166.007312</v>
      </c>
      <c r="F24" s="1258" t="n">
        <v>166.007312</v>
      </c>
      <c r="G24" s="1258" t="n">
        <v>166.007312</v>
      </c>
      <c r="H24" s="1258" t="n">
        <v>166.007312</v>
      </c>
      <c r="I24" s="1258" t="n">
        <v>166.007312</v>
      </c>
      <c r="J24" s="1258" t="n">
        <v>166.007312</v>
      </c>
      <c r="K24" s="1259" t="n">
        <v>93.13269099999999</v>
      </c>
      <c r="L24" s="1258" t="n">
        <v>93.13269099999999</v>
      </c>
      <c r="M24" s="1258" t="n">
        <v>93.13269099999999</v>
      </c>
      <c r="N24" s="1258" t="n">
        <v>93.13269099999999</v>
      </c>
      <c r="O24" s="1260" t="n">
        <v>93.13269099999999</v>
      </c>
      <c r="P24" s="1257" t="n">
        <v>85.79525599999999</v>
      </c>
      <c r="Q24" s="1258" t="n">
        <v>85.79525599999999</v>
      </c>
      <c r="R24" s="1258" t="n">
        <v>85.79525599999999</v>
      </c>
      <c r="S24" s="1258" t="n">
        <v>85.79525599999999</v>
      </c>
      <c r="T24" s="1258" t="n">
        <v>85.79525599999999</v>
      </c>
      <c r="U24" s="1258" t="n">
        <v>85.79525599999999</v>
      </c>
      <c r="V24" s="1259" t="n">
        <v>101.807381</v>
      </c>
      <c r="W24" s="1258" t="n">
        <v>101.807381</v>
      </c>
      <c r="X24" s="1258" t="n">
        <v>101.807381</v>
      </c>
      <c r="Y24" s="1258" t="n">
        <v>101.807381</v>
      </c>
      <c r="Z24" s="1258" t="n">
        <v>101.807381</v>
      </c>
      <c r="AA24" s="1260" t="n">
        <v>101.807381</v>
      </c>
      <c r="AB24" s="1257" t="n"/>
      <c r="AC24" s="1258" t="n"/>
      <c r="AD24" s="1258" t="n"/>
      <c r="AE24" s="1258" t="n"/>
      <c r="AF24" s="1258" t="n"/>
      <c r="AG24" s="1258" t="n"/>
      <c r="AH24" s="1258" t="n"/>
      <c r="AI24" s="1259" t="n"/>
      <c r="AJ24" s="1258" t="n"/>
      <c r="AK24" s="1258" t="n"/>
      <c r="AL24" s="1258" t="n"/>
      <c r="AM24" s="1258" t="n"/>
      <c r="AN24" s="1260" t="n"/>
      <c r="AO24" s="1257" t="n"/>
      <c r="AP24" s="1258" t="n"/>
      <c r="AQ24" s="1258" t="n"/>
      <c r="AR24" s="1258" t="n"/>
      <c r="AS24" s="1258" t="n"/>
      <c r="AT24" s="1258" t="n"/>
      <c r="AU24" s="1259" t="n"/>
      <c r="AV24" s="1258" t="n"/>
      <c r="AW24" s="1258" t="n"/>
      <c r="AX24" s="1258" t="n"/>
      <c r="AY24" s="1258" t="n"/>
      <c r="AZ24" s="1258" t="n"/>
      <c r="BA24" s="1258" t="n"/>
      <c r="BB24" s="1259" t="n"/>
      <c r="BC24" s="1258" t="n"/>
      <c r="BD24" s="1258" t="n"/>
      <c r="BE24" s="1258" t="n"/>
      <c r="BF24" s="1258" t="n"/>
      <c r="BG24" s="1260" t="n"/>
      <c r="BH24" s="1259" t="n"/>
      <c r="BI24" s="1258" t="n"/>
      <c r="BJ24" s="1258" t="n"/>
      <c r="BK24" s="1258" t="n"/>
      <c r="BL24" s="1258" t="n"/>
      <c r="BM24" s="1260" t="n"/>
      <c r="BN24" s="1259" t="n"/>
      <c r="BO24" s="1258" t="n"/>
      <c r="BP24" s="1258" t="n"/>
      <c r="BQ24" s="1258" t="n"/>
      <c r="BR24" s="1258" t="n"/>
      <c r="BS24" s="1260" t="n"/>
      <c r="BT24" s="1259" t="n"/>
      <c r="BU24" s="1258" t="n"/>
      <c r="BV24" s="1258" t="n"/>
      <c r="BW24" s="1258" t="n"/>
      <c r="BX24" s="1258" t="n"/>
      <c r="BY24" s="1261" t="n"/>
      <c r="BZ24" s="1258" t="n"/>
    </row>
    <row r="25" ht="17.25" customHeight="1" s="838" thickBot="1">
      <c r="B25" s="770" t="n"/>
      <c r="C25" s="739" t="n"/>
      <c r="D25" s="413" t="inlineStr">
        <is>
          <t>`26 실적</t>
        </is>
      </c>
      <c r="E25" s="1272" t="n">
        <v>177.679</v>
      </c>
      <c r="F25" s="1273" t="n">
        <v>166.007312</v>
      </c>
      <c r="G25" s="1273" t="n">
        <v>166.007312</v>
      </c>
      <c r="H25" s="1273" t="n">
        <v>166.007312</v>
      </c>
      <c r="I25" s="1273" t="n">
        <v>166.007312</v>
      </c>
      <c r="J25" s="1273" t="n">
        <v>166.007312</v>
      </c>
      <c r="K25" s="1274" t="n">
        <v>117.68871</v>
      </c>
      <c r="L25" s="1273" t="n">
        <v>65.28121899999999</v>
      </c>
      <c r="M25" s="1273" t="n">
        <v>70.189122</v>
      </c>
      <c r="N25" s="1273">
        <f>M23+14</f>
        <v/>
      </c>
      <c r="O25" s="1275" t="n">
        <v>70.189122</v>
      </c>
      <c r="P25" s="1272" t="n">
        <v>187.149505</v>
      </c>
      <c r="Q25" s="1273" t="n">
        <v>224.059</v>
      </c>
      <c r="R25" s="1273" t="n">
        <v>215.692347</v>
      </c>
      <c r="S25" s="1273" t="n">
        <v>203.171</v>
      </c>
      <c r="T25" s="1273" t="n">
        <v>203.171</v>
      </c>
      <c r="U25" s="1273" t="n">
        <v>203.171</v>
      </c>
      <c r="V25" s="1274" t="n">
        <v>203.674</v>
      </c>
      <c r="W25" s="1273" t="n">
        <v>126.603566</v>
      </c>
      <c r="X25" s="1273" t="n">
        <v>251.288336</v>
      </c>
      <c r="Y25" s="1273" t="n">
        <v>197.963092</v>
      </c>
      <c r="Z25" s="1273" t="n">
        <v>251.288336</v>
      </c>
      <c r="AA25" s="1275" t="n">
        <v>197.963092</v>
      </c>
      <c r="AB25" s="1272" t="n"/>
      <c r="AC25" s="1273" t="n"/>
      <c r="AD25" s="1273" t="n"/>
      <c r="AE25" s="1273" t="n"/>
      <c r="AF25" s="1273" t="n"/>
      <c r="AG25" s="1273" t="n"/>
      <c r="AH25" s="1273" t="n"/>
      <c r="AI25" s="1274" t="n"/>
      <c r="AJ25" s="1273" t="n"/>
      <c r="AK25" s="1273" t="n"/>
      <c r="AL25" s="1273" t="n"/>
      <c r="AM25" s="1273" t="n"/>
      <c r="AN25" s="1275" t="n"/>
      <c r="AO25" s="1272" t="n"/>
      <c r="AP25" s="1273" t="n"/>
      <c r="AQ25" s="1273" t="n"/>
      <c r="AR25" s="1273" t="n"/>
      <c r="AS25" s="1273" t="n"/>
      <c r="AT25" s="1273" t="n"/>
      <c r="AU25" s="1274" t="n"/>
      <c r="AV25" s="1273" t="n"/>
      <c r="AW25" s="1273" t="n"/>
      <c r="AX25" s="1273" t="n"/>
      <c r="AY25" s="1273" t="n"/>
      <c r="AZ25" s="1273" t="n"/>
      <c r="BA25" s="1273" t="n"/>
      <c r="BB25" s="1274" t="n"/>
      <c r="BC25" s="1273" t="n"/>
      <c r="BD25" s="1273" t="n"/>
      <c r="BE25" s="1273" t="n"/>
      <c r="BF25" s="1273" t="n"/>
      <c r="BG25" s="1275" t="n"/>
      <c r="BH25" s="1274" t="n"/>
      <c r="BI25" s="1273" t="n"/>
      <c r="BJ25" s="1273" t="n"/>
      <c r="BK25" s="1273" t="n"/>
      <c r="BL25" s="1273" t="n"/>
      <c r="BM25" s="1275" t="n"/>
      <c r="BN25" s="1274" t="n"/>
      <c r="BO25" s="1273" t="n"/>
      <c r="BP25" s="1273" t="n"/>
      <c r="BQ25" s="1273" t="n"/>
      <c r="BR25" s="1273" t="n"/>
      <c r="BS25" s="1275" t="n"/>
      <c r="BT25" s="1274" t="n"/>
      <c r="BU25" s="1273" t="n"/>
      <c r="BV25" s="1273" t="n"/>
      <c r="BW25" s="1273" t="n"/>
      <c r="BX25" s="1273" t="n"/>
      <c r="BY25" s="1276" t="n"/>
      <c r="BZ25" s="1258" t="n"/>
    </row>
    <row r="26" ht="16.5" customHeight="1" s="838">
      <c r="B26" s="779" t="inlineStr">
        <is>
          <t>제품2</t>
        </is>
      </c>
      <c r="C26" s="750" t="inlineStr">
        <is>
          <t>개선금액</t>
        </is>
      </c>
      <c r="D26" s="419" t="inlineStr">
        <is>
          <t>`26 목표</t>
        </is>
      </c>
      <c r="E26" s="1252">
        <f>E28-E29</f>
        <v/>
      </c>
      <c r="F26" s="1253">
        <f>F28-F29</f>
        <v/>
      </c>
      <c r="G26" s="1253">
        <f>G28-G29</f>
        <v/>
      </c>
      <c r="H26" s="1253">
        <f>H28-H29</f>
        <v/>
      </c>
      <c r="I26" s="1253">
        <f>I28-I29</f>
        <v/>
      </c>
      <c r="J26" s="1253">
        <f>J28-J29</f>
        <v/>
      </c>
      <c r="K26" s="1254">
        <f>K28-K29</f>
        <v/>
      </c>
      <c r="L26" s="1253">
        <f>L28-L29</f>
        <v/>
      </c>
      <c r="M26" s="1253">
        <f>M28-M29</f>
        <v/>
      </c>
      <c r="N26" s="1253">
        <f>N28-N29</f>
        <v/>
      </c>
      <c r="O26" s="1255">
        <f>O28-O29</f>
        <v/>
      </c>
      <c r="P26" s="1252">
        <f>P28-P29</f>
        <v/>
      </c>
      <c r="Q26" s="1253">
        <f>Q28-Q29</f>
        <v/>
      </c>
      <c r="R26" s="1253">
        <f>R28-R29</f>
        <v/>
      </c>
      <c r="S26" s="1253">
        <f>S28-S29</f>
        <v/>
      </c>
      <c r="T26" s="1253">
        <f>T28-T29</f>
        <v/>
      </c>
      <c r="U26" s="1253">
        <f>U28-U29</f>
        <v/>
      </c>
      <c r="V26" s="1254">
        <f>V28-V29</f>
        <v/>
      </c>
      <c r="W26" s="1253">
        <f>W28-W29</f>
        <v/>
      </c>
      <c r="X26" s="1253">
        <f>X28-X29</f>
        <v/>
      </c>
      <c r="Y26" s="1253">
        <f>Y28-Y29</f>
        <v/>
      </c>
      <c r="Z26" s="1253">
        <f>Z28-Z29</f>
        <v/>
      </c>
      <c r="AA26" s="1255">
        <f>AA28-AA29</f>
        <v/>
      </c>
      <c r="AB26" s="1252" t="n"/>
      <c r="AC26" s="1253" t="n"/>
      <c r="AD26" s="1253" t="n"/>
      <c r="AE26" s="1253" t="n"/>
      <c r="AF26" s="1253" t="n"/>
      <c r="AG26" s="1253" t="n"/>
      <c r="AH26" s="1253" t="n"/>
      <c r="AI26" s="1254" t="n"/>
      <c r="AJ26" s="1253" t="n"/>
      <c r="AK26" s="1253" t="n"/>
      <c r="AL26" s="1253" t="n"/>
      <c r="AM26" s="1253" t="n"/>
      <c r="AN26" s="1255" t="n"/>
      <c r="AO26" s="1252" t="n"/>
      <c r="AP26" s="1253" t="n"/>
      <c r="AQ26" s="1253" t="n"/>
      <c r="AR26" s="1253" t="n"/>
      <c r="AS26" s="1253" t="n"/>
      <c r="AT26" s="1253" t="n"/>
      <c r="AU26" s="1254" t="n"/>
      <c r="AV26" s="1253" t="n"/>
      <c r="AW26" s="1253" t="n"/>
      <c r="AX26" s="1253" t="n"/>
      <c r="AY26" s="1253" t="n"/>
      <c r="AZ26" s="1253" t="n"/>
      <c r="BA26" s="1253" t="n"/>
      <c r="BB26" s="1254" t="n"/>
      <c r="BC26" s="1253" t="n"/>
      <c r="BD26" s="1253" t="n"/>
      <c r="BE26" s="1253" t="n"/>
      <c r="BF26" s="1253" t="n"/>
      <c r="BG26" s="1255" t="n"/>
      <c r="BH26" s="1254" t="n"/>
      <c r="BI26" s="1253" t="n"/>
      <c r="BJ26" s="1253" t="n"/>
      <c r="BK26" s="1253" t="n"/>
      <c r="BL26" s="1253" t="n"/>
      <c r="BM26" s="1255" t="n"/>
      <c r="BN26" s="1254" t="n"/>
      <c r="BO26" s="1253" t="n"/>
      <c r="BP26" s="1253" t="n"/>
      <c r="BQ26" s="1253" t="n"/>
      <c r="BR26" s="1253" t="n"/>
      <c r="BS26" s="1255" t="n"/>
      <c r="BT26" s="1254" t="n"/>
      <c r="BU26" s="1253" t="n"/>
      <c r="BV26" s="1253" t="n"/>
      <c r="BW26" s="1253" t="n"/>
      <c r="BX26" s="1253" t="n"/>
      <c r="BY26" s="1256" t="n"/>
      <c r="BZ26" s="1258" t="n"/>
    </row>
    <row r="27" ht="16.5" customHeight="1" s="838">
      <c r="B27" s="756" t="n"/>
      <c r="C27" s="739" t="n"/>
      <c r="D27" s="834" t="inlineStr">
        <is>
          <t>`26 실적</t>
        </is>
      </c>
      <c r="E27" s="1257">
        <f>E28-E30</f>
        <v/>
      </c>
      <c r="F27" s="1258">
        <f>F28-F30</f>
        <v/>
      </c>
      <c r="G27" s="1258">
        <f>G28-G30</f>
        <v/>
      </c>
      <c r="H27" s="1258">
        <f>H28-H30</f>
        <v/>
      </c>
      <c r="I27" s="1258">
        <f>I28-I30</f>
        <v/>
      </c>
      <c r="J27" s="1258">
        <f>J28-J30</f>
        <v/>
      </c>
      <c r="K27" s="1259">
        <f>K28-K30</f>
        <v/>
      </c>
      <c r="L27" s="1258">
        <f>L28-L30</f>
        <v/>
      </c>
      <c r="M27" s="1258">
        <f>M28-M30</f>
        <v/>
      </c>
      <c r="N27" s="1258">
        <f>N28-N30</f>
        <v/>
      </c>
      <c r="O27" s="1260">
        <f>O28-O30</f>
        <v/>
      </c>
      <c r="P27" s="1257">
        <f>P28-P30</f>
        <v/>
      </c>
      <c r="Q27" s="1258">
        <f>Q28-Q30</f>
        <v/>
      </c>
      <c r="R27" s="1258">
        <f>R28-R30</f>
        <v/>
      </c>
      <c r="S27" s="1258">
        <f>S28-S30</f>
        <v/>
      </c>
      <c r="T27" s="1258">
        <f>T28-T30</f>
        <v/>
      </c>
      <c r="U27" s="1258">
        <f>U28-U30</f>
        <v/>
      </c>
      <c r="V27" s="1259">
        <f>V28-V30</f>
        <v/>
      </c>
      <c r="W27" s="1258">
        <f>W28-W30</f>
        <v/>
      </c>
      <c r="X27" s="1258">
        <f>X28-X30</f>
        <v/>
      </c>
      <c r="Y27" s="1258">
        <f>Y28-Y30</f>
        <v/>
      </c>
      <c r="Z27" s="1258">
        <f>Z28-Z30</f>
        <v/>
      </c>
      <c r="AA27" s="1260">
        <f>AA28-AA30</f>
        <v/>
      </c>
      <c r="AB27" s="1257" t="n"/>
      <c r="AC27" s="1258" t="n"/>
      <c r="AD27" s="1258" t="n"/>
      <c r="AE27" s="1258" t="n"/>
      <c r="AF27" s="1258" t="n"/>
      <c r="AG27" s="1258" t="n"/>
      <c r="AH27" s="1258" t="n"/>
      <c r="AI27" s="1259" t="n"/>
      <c r="AJ27" s="1258" t="n"/>
      <c r="AK27" s="1258" t="n"/>
      <c r="AL27" s="1258" t="n"/>
      <c r="AM27" s="1258" t="n"/>
      <c r="AN27" s="1267" t="n"/>
      <c r="AO27" s="1257" t="n"/>
      <c r="AP27" s="1258" t="n"/>
      <c r="AQ27" s="1258" t="n"/>
      <c r="AR27" s="1258" t="n"/>
      <c r="AS27" s="1258" t="n"/>
      <c r="AT27" s="1258" t="n"/>
      <c r="AU27" s="1259" t="n"/>
      <c r="AV27" s="1258" t="n"/>
      <c r="AW27" s="1258" t="n"/>
      <c r="AX27" s="1258" t="n"/>
      <c r="AY27" s="1258" t="n"/>
      <c r="AZ27" s="1258" t="n"/>
      <c r="BA27" s="1258" t="n"/>
      <c r="BB27" s="1259" t="n"/>
      <c r="BC27" s="1258" t="n"/>
      <c r="BD27" s="1258" t="n"/>
      <c r="BE27" s="1258" t="n"/>
      <c r="BF27" s="1258" t="n"/>
      <c r="BG27" s="1260" t="n"/>
      <c r="BH27" s="1259" t="n"/>
      <c r="BI27" s="1258" t="n"/>
      <c r="BJ27" s="1258" t="n"/>
      <c r="BK27" s="1258" t="n"/>
      <c r="BL27" s="1258" t="n"/>
      <c r="BM27" s="1260" t="n"/>
      <c r="BN27" s="1259" t="n"/>
      <c r="BO27" s="1258" t="n"/>
      <c r="BP27" s="1258" t="n"/>
      <c r="BQ27" s="1258" t="n"/>
      <c r="BR27" s="1258" t="n"/>
      <c r="BS27" s="1260" t="n"/>
      <c r="BT27" s="1259" t="n"/>
      <c r="BU27" s="1258" t="n"/>
      <c r="BV27" s="1258" t="n"/>
      <c r="BW27" s="1258" t="n"/>
      <c r="BX27" s="1258" t="n"/>
      <c r="BY27" s="1261" t="n"/>
      <c r="BZ27" s="1258" t="n"/>
    </row>
    <row r="28" ht="16.5" customHeight="1" s="838">
      <c r="B28" s="756" t="n"/>
      <c r="C28" s="737" t="inlineStr">
        <is>
          <t>품질비용</t>
        </is>
      </c>
      <c r="D28" s="406" t="inlineStr">
        <is>
          <t>`25 실적</t>
        </is>
      </c>
      <c r="E28" s="1262">
        <f>E31-E34</f>
        <v/>
      </c>
      <c r="F28" s="1263">
        <f>F31-F34</f>
        <v/>
      </c>
      <c r="G28" s="1263">
        <f>G31-G34</f>
        <v/>
      </c>
      <c r="H28" s="1263">
        <f>H31-H34</f>
        <v/>
      </c>
      <c r="I28" s="1263">
        <f>I31-I34</f>
        <v/>
      </c>
      <c r="J28" s="1263">
        <f>J31-J34</f>
        <v/>
      </c>
      <c r="K28" s="1264">
        <f>K31-K34</f>
        <v/>
      </c>
      <c r="L28" s="1263">
        <f>L31-L34</f>
        <v/>
      </c>
      <c r="M28" s="1263">
        <f>M31-M34</f>
        <v/>
      </c>
      <c r="N28" s="1263">
        <f>N31-N34</f>
        <v/>
      </c>
      <c r="O28" s="1265">
        <f>O31-O34</f>
        <v/>
      </c>
      <c r="P28" s="1262">
        <f>P31-P34</f>
        <v/>
      </c>
      <c r="Q28" s="1263">
        <f>Q31-Q34</f>
        <v/>
      </c>
      <c r="R28" s="1263">
        <f>R31-R34</f>
        <v/>
      </c>
      <c r="S28" s="1263">
        <f>S31-S34</f>
        <v/>
      </c>
      <c r="T28" s="1263">
        <f>T31-T34</f>
        <v/>
      </c>
      <c r="U28" s="1263">
        <f>U31-U34</f>
        <v/>
      </c>
      <c r="V28" s="1264">
        <f>V31-V34</f>
        <v/>
      </c>
      <c r="W28" s="1263">
        <f>W31-W34</f>
        <v/>
      </c>
      <c r="X28" s="1263">
        <f>X31-X34</f>
        <v/>
      </c>
      <c r="Y28" s="1263">
        <f>Y31-Y34</f>
        <v/>
      </c>
      <c r="Z28" s="1263">
        <f>Z31-Z34</f>
        <v/>
      </c>
      <c r="AA28" s="1265">
        <f>AA31-AA34</f>
        <v/>
      </c>
      <c r="AB28" s="1262" t="n"/>
      <c r="AC28" s="1263" t="n"/>
      <c r="AD28" s="1263" t="n"/>
      <c r="AE28" s="1263" t="n"/>
      <c r="AF28" s="1263" t="n"/>
      <c r="AG28" s="1263" t="n"/>
      <c r="AH28" s="1263" t="n"/>
      <c r="AI28" s="1264" t="n"/>
      <c r="AJ28" s="1263" t="n"/>
      <c r="AK28" s="1263" t="n"/>
      <c r="AL28" s="1263" t="n"/>
      <c r="AM28" s="1263" t="n"/>
      <c r="AN28" s="1265" t="n"/>
      <c r="AO28" s="1262" t="n"/>
      <c r="AP28" s="1263" t="n"/>
      <c r="AQ28" s="1263" t="n"/>
      <c r="AR28" s="1263" t="n"/>
      <c r="AS28" s="1263" t="n"/>
      <c r="AT28" s="1263" t="n"/>
      <c r="AU28" s="1264" t="n"/>
      <c r="AV28" s="1263" t="n"/>
      <c r="AW28" s="1263" t="n"/>
      <c r="AX28" s="1263" t="n"/>
      <c r="AY28" s="1263" t="n"/>
      <c r="AZ28" s="1263" t="n"/>
      <c r="BA28" s="1263" t="n"/>
      <c r="BB28" s="1264" t="n"/>
      <c r="BC28" s="1263" t="n"/>
      <c r="BD28" s="1263" t="n"/>
      <c r="BE28" s="1263" t="n"/>
      <c r="BF28" s="1263" t="n"/>
      <c r="BG28" s="1265" t="n"/>
      <c r="BH28" s="1264" t="n"/>
      <c r="BI28" s="1263" t="n"/>
      <c r="BJ28" s="1263" t="n"/>
      <c r="BK28" s="1263" t="n"/>
      <c r="BL28" s="1263" t="n"/>
      <c r="BM28" s="1265" t="n"/>
      <c r="BN28" s="1264" t="n"/>
      <c r="BO28" s="1263" t="n"/>
      <c r="BP28" s="1263" t="n"/>
      <c r="BQ28" s="1263" t="n"/>
      <c r="BR28" s="1263" t="n"/>
      <c r="BS28" s="1265" t="n"/>
      <c r="BT28" s="1264" t="n"/>
      <c r="BU28" s="1263" t="n"/>
      <c r="BV28" s="1263" t="n"/>
      <c r="BW28" s="1263" t="n"/>
      <c r="BX28" s="1263" t="n"/>
      <c r="BY28" s="1266" t="n"/>
      <c r="BZ28" s="1258" t="n"/>
    </row>
    <row r="29" ht="16.5" customHeight="1" s="838">
      <c r="B29" s="756" t="n"/>
      <c r="C29" s="738" t="n"/>
      <c r="D29" s="834" t="inlineStr">
        <is>
          <t>`26 목표</t>
        </is>
      </c>
      <c r="E29" s="1257">
        <f>E32-E35</f>
        <v/>
      </c>
      <c r="F29" s="1258">
        <f>F32-F35</f>
        <v/>
      </c>
      <c r="G29" s="1258">
        <f>G32-G35</f>
        <v/>
      </c>
      <c r="H29" s="1258">
        <f>H32-H35</f>
        <v/>
      </c>
      <c r="I29" s="1258">
        <f>I32-I35</f>
        <v/>
      </c>
      <c r="J29" s="1258">
        <f>J32-J35</f>
        <v/>
      </c>
      <c r="K29" s="1259">
        <f>K32-K35</f>
        <v/>
      </c>
      <c r="L29" s="1258">
        <f>L32-L35</f>
        <v/>
      </c>
      <c r="M29" s="1258">
        <f>M32-M35</f>
        <v/>
      </c>
      <c r="N29" s="1258">
        <f>N32-N35</f>
        <v/>
      </c>
      <c r="O29" s="1260">
        <f>O32-O35</f>
        <v/>
      </c>
      <c r="P29" s="1257">
        <f>P32-P35</f>
        <v/>
      </c>
      <c r="Q29" s="1258">
        <f>Q32-Q35</f>
        <v/>
      </c>
      <c r="R29" s="1258">
        <f>R32-R35</f>
        <v/>
      </c>
      <c r="S29" s="1258">
        <f>S32-S35</f>
        <v/>
      </c>
      <c r="T29" s="1258">
        <f>T32-T35</f>
        <v/>
      </c>
      <c r="U29" s="1258">
        <f>U32-U35</f>
        <v/>
      </c>
      <c r="V29" s="1259">
        <f>V32-V35</f>
        <v/>
      </c>
      <c r="W29" s="1258">
        <f>W32-W35</f>
        <v/>
      </c>
      <c r="X29" s="1258">
        <f>X32-X35</f>
        <v/>
      </c>
      <c r="Y29" s="1258">
        <f>Y32-Y35</f>
        <v/>
      </c>
      <c r="Z29" s="1258">
        <f>Z32-Z35</f>
        <v/>
      </c>
      <c r="AA29" s="1260">
        <f>AA32-AA35</f>
        <v/>
      </c>
      <c r="AB29" s="1257" t="n"/>
      <c r="AC29" s="1258" t="n"/>
      <c r="AD29" s="1258" t="n"/>
      <c r="AE29" s="1258" t="n"/>
      <c r="AF29" s="1258" t="n"/>
      <c r="AG29" s="1258" t="n"/>
      <c r="AH29" s="1258" t="n"/>
      <c r="AI29" s="1259" t="n"/>
      <c r="AJ29" s="1258" t="n"/>
      <c r="AK29" s="1258" t="n"/>
      <c r="AL29" s="1258" t="n"/>
      <c r="AM29" s="1258" t="n"/>
      <c r="AN29" s="1260" t="n"/>
      <c r="AO29" s="1257" t="n"/>
      <c r="AP29" s="1258" t="n"/>
      <c r="AQ29" s="1258" t="n"/>
      <c r="AR29" s="1258" t="n"/>
      <c r="AS29" s="1258" t="n"/>
      <c r="AT29" s="1258" t="n"/>
      <c r="AU29" s="1259" t="n"/>
      <c r="AV29" s="1258" t="n"/>
      <c r="AW29" s="1258" t="n"/>
      <c r="AX29" s="1258" t="n"/>
      <c r="AY29" s="1258" t="n"/>
      <c r="AZ29" s="1258" t="n"/>
      <c r="BA29" s="1258" t="n"/>
      <c r="BB29" s="1259" t="n"/>
      <c r="BC29" s="1258" t="n"/>
      <c r="BD29" s="1258" t="n"/>
      <c r="BE29" s="1258" t="n"/>
      <c r="BF29" s="1258" t="n"/>
      <c r="BG29" s="1260" t="n"/>
      <c r="BH29" s="1259" t="n"/>
      <c r="BI29" s="1258" t="n"/>
      <c r="BJ29" s="1258" t="n"/>
      <c r="BK29" s="1258" t="n"/>
      <c r="BL29" s="1258" t="n"/>
      <c r="BM29" s="1260" t="n"/>
      <c r="BN29" s="1259" t="n"/>
      <c r="BO29" s="1258" t="n"/>
      <c r="BP29" s="1258" t="n"/>
      <c r="BQ29" s="1258" t="n"/>
      <c r="BR29" s="1258" t="n"/>
      <c r="BS29" s="1260" t="n"/>
      <c r="BT29" s="1259" t="n"/>
      <c r="BU29" s="1258" t="n"/>
      <c r="BV29" s="1258" t="n"/>
      <c r="BW29" s="1258" t="n"/>
      <c r="BX29" s="1258" t="n"/>
      <c r="BY29" s="1261" t="n"/>
      <c r="BZ29" s="1258" t="n"/>
    </row>
    <row r="30" ht="16.5" customHeight="1" s="838">
      <c r="B30" s="756" t="n"/>
      <c r="C30" s="739" t="n"/>
      <c r="D30" s="407" t="inlineStr">
        <is>
          <t>`26 실적</t>
        </is>
      </c>
      <c r="E30" s="1267">
        <f>E33-E36</f>
        <v/>
      </c>
      <c r="F30" s="1268">
        <f>F33-F36</f>
        <v/>
      </c>
      <c r="G30" s="1268">
        <f>G33-G36</f>
        <v/>
      </c>
      <c r="H30" s="1268">
        <f>H33-H36</f>
        <v/>
      </c>
      <c r="I30" s="1268">
        <f>I33-I36</f>
        <v/>
      </c>
      <c r="J30" s="1268">
        <f>J33-J36</f>
        <v/>
      </c>
      <c r="K30" s="1269">
        <f>K33-K36</f>
        <v/>
      </c>
      <c r="L30" s="1268">
        <f>L33-L36</f>
        <v/>
      </c>
      <c r="M30" s="1268">
        <f>M33-M36</f>
        <v/>
      </c>
      <c r="N30" s="1268">
        <f>N33-N36</f>
        <v/>
      </c>
      <c r="O30" s="1270">
        <f>O33-O36</f>
        <v/>
      </c>
      <c r="P30" s="1267">
        <f>P33-P36</f>
        <v/>
      </c>
      <c r="Q30" s="1268">
        <f>Q33-Q36</f>
        <v/>
      </c>
      <c r="R30" s="1268">
        <f>R33-R36</f>
        <v/>
      </c>
      <c r="S30" s="1268">
        <f>S33-S36</f>
        <v/>
      </c>
      <c r="T30" s="1268">
        <f>T33-T36</f>
        <v/>
      </c>
      <c r="U30" s="1268">
        <f>U33-U36</f>
        <v/>
      </c>
      <c r="V30" s="1269">
        <f>V33-V36</f>
        <v/>
      </c>
      <c r="W30" s="1268">
        <f>W33-W36</f>
        <v/>
      </c>
      <c r="X30" s="1268">
        <f>X33-X36</f>
        <v/>
      </c>
      <c r="Y30" s="1268">
        <f>Y33-Y36</f>
        <v/>
      </c>
      <c r="Z30" s="1268">
        <f>Z33-Z36</f>
        <v/>
      </c>
      <c r="AA30" s="1270">
        <f>AA33-AA36</f>
        <v/>
      </c>
      <c r="AB30" s="1267" t="n"/>
      <c r="AC30" s="1268" t="n"/>
      <c r="AD30" s="1268" t="n"/>
      <c r="AE30" s="1268" t="n"/>
      <c r="AF30" s="1268" t="n"/>
      <c r="AG30" s="1268" t="n"/>
      <c r="AH30" s="1268" t="n"/>
      <c r="AI30" s="1269" t="n"/>
      <c r="AJ30" s="1268" t="n"/>
      <c r="AK30" s="1268" t="n"/>
      <c r="AL30" s="1268" t="n"/>
      <c r="AM30" s="1268" t="n"/>
      <c r="AN30" s="1270" t="n"/>
      <c r="AO30" s="1267" t="n"/>
      <c r="AP30" s="1268" t="n"/>
      <c r="AQ30" s="1268" t="n"/>
      <c r="AR30" s="1268" t="n"/>
      <c r="AS30" s="1268" t="n"/>
      <c r="AT30" s="1268" t="n"/>
      <c r="AU30" s="1269" t="n"/>
      <c r="AV30" s="1268" t="n"/>
      <c r="AW30" s="1268" t="n"/>
      <c r="AX30" s="1268" t="n"/>
      <c r="AY30" s="1268" t="n"/>
      <c r="AZ30" s="1268" t="n"/>
      <c r="BA30" s="1268" t="n"/>
      <c r="BB30" s="1269" t="n"/>
      <c r="BC30" s="1268" t="n"/>
      <c r="BD30" s="1268" t="n"/>
      <c r="BE30" s="1268" t="n"/>
      <c r="BF30" s="1268" t="n"/>
      <c r="BG30" s="1270" t="n"/>
      <c r="BH30" s="1269" t="n"/>
      <c r="BI30" s="1268" t="n"/>
      <c r="BJ30" s="1268" t="n"/>
      <c r="BK30" s="1268" t="n"/>
      <c r="BL30" s="1268" t="n"/>
      <c r="BM30" s="1270" t="n"/>
      <c r="BN30" s="1269" t="n"/>
      <c r="BO30" s="1268" t="n"/>
      <c r="BP30" s="1268" t="n"/>
      <c r="BQ30" s="1268" t="n"/>
      <c r="BR30" s="1268" t="n"/>
      <c r="BS30" s="1270" t="n"/>
      <c r="BT30" s="1269" t="n"/>
      <c r="BU30" s="1268" t="n"/>
      <c r="BV30" s="1268" t="n"/>
      <c r="BW30" s="1268" t="n"/>
      <c r="BX30" s="1268" t="n"/>
      <c r="BY30" s="1271" t="n"/>
      <c r="BZ30" s="1258" t="n"/>
    </row>
    <row r="31" ht="16.5" customHeight="1" s="838">
      <c r="B31" s="756" t="n"/>
      <c r="C31" s="737" t="inlineStr">
        <is>
          <t>실패비용</t>
        </is>
      </c>
      <c r="D31" s="406" t="inlineStr">
        <is>
          <t>`25 실적</t>
        </is>
      </c>
      <c r="E31" s="1262" t="n">
        <v>8.325050839999999</v>
      </c>
      <c r="F31" s="1263" t="n">
        <v>8.325050839999999</v>
      </c>
      <c r="G31" s="1263" t="n">
        <v>8.325050839999999</v>
      </c>
      <c r="H31" s="1263" t="n">
        <v>8.325050839999999</v>
      </c>
      <c r="I31" s="1263" t="n">
        <v>8.325050839999999</v>
      </c>
      <c r="J31" s="1263" t="n">
        <v>8.325050839999999</v>
      </c>
      <c r="K31" s="1264" t="n">
        <v>4.65406677</v>
      </c>
      <c r="L31" s="1263" t="n">
        <v>4.65406677</v>
      </c>
      <c r="M31" s="1263" t="n">
        <v>4.65406677</v>
      </c>
      <c r="N31" s="1263" t="n">
        <v>4.65406677</v>
      </c>
      <c r="O31" s="1265" t="n">
        <v>4.65406677</v>
      </c>
      <c r="P31" s="1262" t="n">
        <v>3.45296841</v>
      </c>
      <c r="Q31" s="1263" t="n">
        <v>3.45296841</v>
      </c>
      <c r="R31" s="1263" t="n">
        <v>3.45296841</v>
      </c>
      <c r="S31" s="1263" t="n">
        <v>3.45296841</v>
      </c>
      <c r="T31" s="1263" t="n">
        <v>3.45296841</v>
      </c>
      <c r="U31" s="1263" t="n">
        <v>3.45296841</v>
      </c>
      <c r="V31" s="1264" t="n">
        <v>9.140211880000001</v>
      </c>
      <c r="W31" s="1263" t="n">
        <v>9.140211880000001</v>
      </c>
      <c r="X31" s="1263" t="n">
        <v>9.140211880000001</v>
      </c>
      <c r="Y31" s="1263" t="n">
        <v>9.140211880000001</v>
      </c>
      <c r="Z31" s="1263" t="n">
        <v>9.140211880000001</v>
      </c>
      <c r="AA31" s="1265" t="n">
        <v>9.140211880000001</v>
      </c>
      <c r="AB31" s="1262" t="n"/>
      <c r="AC31" s="1263" t="n"/>
      <c r="AD31" s="1263" t="n"/>
      <c r="AE31" s="1263" t="n"/>
      <c r="AF31" s="1263" t="n"/>
      <c r="AG31" s="1263" t="n"/>
      <c r="AH31" s="1263" t="n"/>
      <c r="AI31" s="1264" t="n"/>
      <c r="AJ31" s="1263" t="n"/>
      <c r="AK31" s="1263" t="n"/>
      <c r="AL31" s="1263" t="n"/>
      <c r="AM31" s="1263" t="n"/>
      <c r="AN31" s="1265" t="n"/>
      <c r="AO31" s="1262" t="n"/>
      <c r="AP31" s="1263" t="n"/>
      <c r="AQ31" s="1263" t="n"/>
      <c r="AR31" s="1263" t="n"/>
      <c r="AS31" s="1263" t="n"/>
      <c r="AT31" s="1263" t="n"/>
      <c r="AU31" s="1264" t="n"/>
      <c r="AV31" s="1263" t="n"/>
      <c r="AW31" s="1263" t="n"/>
      <c r="AX31" s="1263" t="n"/>
      <c r="AY31" s="1263" t="n"/>
      <c r="AZ31" s="1263" t="n"/>
      <c r="BA31" s="1263" t="n"/>
      <c r="BB31" s="1264" t="n"/>
      <c r="BC31" s="1263" t="n"/>
      <c r="BD31" s="1263" t="n"/>
      <c r="BE31" s="1263" t="n"/>
      <c r="BF31" s="1263" t="n"/>
      <c r="BG31" s="1265" t="n"/>
      <c r="BH31" s="1264" t="n"/>
      <c r="BI31" s="1263" t="n"/>
      <c r="BJ31" s="1263" t="n"/>
      <c r="BK31" s="1263" t="n"/>
      <c r="BL31" s="1263" t="n"/>
      <c r="BM31" s="1265" t="n"/>
      <c r="BN31" s="1264" t="n"/>
      <c r="BO31" s="1263" t="n"/>
      <c r="BP31" s="1263" t="n"/>
      <c r="BQ31" s="1263" t="n"/>
      <c r="BR31" s="1263" t="n"/>
      <c r="BS31" s="1265" t="n"/>
      <c r="BT31" s="1264" t="n"/>
      <c r="BU31" s="1263" t="n"/>
      <c r="BV31" s="1263" t="n"/>
      <c r="BW31" s="1263" t="n"/>
      <c r="BX31" s="1263" t="n"/>
      <c r="BY31" s="1266" t="n"/>
      <c r="BZ31" s="1258" t="n"/>
    </row>
    <row r="32" ht="16.5" customHeight="1" s="838">
      <c r="B32" s="756" t="n"/>
      <c r="C32" s="738" t="n"/>
      <c r="D32" s="834" t="inlineStr">
        <is>
          <t>`26 목표</t>
        </is>
      </c>
      <c r="E32" s="1257" t="n">
        <v>6.19184725</v>
      </c>
      <c r="F32" s="1258" t="n">
        <v>6.19184725</v>
      </c>
      <c r="G32" s="1258" t="n">
        <v>6.19184725</v>
      </c>
      <c r="H32" s="1258" t="n">
        <v>6.19184725</v>
      </c>
      <c r="I32" s="1258" t="n">
        <v>6.19184725</v>
      </c>
      <c r="J32" s="1258" t="n">
        <v>6.19184725</v>
      </c>
      <c r="K32" s="1259" t="n">
        <v>6.02419501</v>
      </c>
      <c r="L32" s="1258" t="n">
        <v>6.02419501</v>
      </c>
      <c r="M32" s="1258" t="n">
        <v>6.02419501</v>
      </c>
      <c r="N32" s="1258" t="n">
        <v>6.02419501</v>
      </c>
      <c r="O32" s="1260" t="n">
        <v>6.02419501</v>
      </c>
      <c r="P32" s="1257" t="n">
        <v>4.19704364</v>
      </c>
      <c r="Q32" s="1258" t="n">
        <v>4.19704364</v>
      </c>
      <c r="R32" s="1258" t="n">
        <v>4.19704364</v>
      </c>
      <c r="S32" s="1258" t="n">
        <v>4.19704364</v>
      </c>
      <c r="T32" s="1258" t="n">
        <v>4.19704364</v>
      </c>
      <c r="U32" s="1258" t="n">
        <v>4.19704364</v>
      </c>
      <c r="V32" s="1259" t="n">
        <v>7.68222197</v>
      </c>
      <c r="W32" s="1258" t="n">
        <v>7.68222197</v>
      </c>
      <c r="X32" s="1258" t="n">
        <v>7.68222197</v>
      </c>
      <c r="Y32" s="1258" t="n">
        <v>7.68222197</v>
      </c>
      <c r="Z32" s="1258" t="n">
        <v>7.68222197</v>
      </c>
      <c r="AA32" s="1260" t="n">
        <v>7.68222197</v>
      </c>
      <c r="AB32" s="1257" t="n"/>
      <c r="AC32" s="1258" t="n"/>
      <c r="AD32" s="1258" t="n"/>
      <c r="AE32" s="1258" t="n"/>
      <c r="AF32" s="1258" t="n"/>
      <c r="AG32" s="1258" t="n"/>
      <c r="AH32" s="1258" t="n"/>
      <c r="AI32" s="1259" t="n"/>
      <c r="AJ32" s="1258" t="n"/>
      <c r="AK32" s="1258" t="n"/>
      <c r="AL32" s="1258" t="n"/>
      <c r="AM32" s="1258" t="n"/>
      <c r="AN32" s="1260" t="n"/>
      <c r="AO32" s="1257" t="n"/>
      <c r="AP32" s="1258" t="n"/>
      <c r="AQ32" s="1258" t="n"/>
      <c r="AR32" s="1258" t="n"/>
      <c r="AS32" s="1258" t="n"/>
      <c r="AT32" s="1258" t="n"/>
      <c r="AU32" s="1259" t="n"/>
      <c r="AV32" s="1258" t="n"/>
      <c r="AW32" s="1258" t="n"/>
      <c r="AX32" s="1258" t="n"/>
      <c r="AY32" s="1258" t="n"/>
      <c r="AZ32" s="1258" t="n"/>
      <c r="BA32" s="1258" t="n"/>
      <c r="BB32" s="1259" t="n"/>
      <c r="BC32" s="1258" t="n"/>
      <c r="BD32" s="1258" t="n"/>
      <c r="BE32" s="1258" t="n"/>
      <c r="BF32" s="1258" t="n"/>
      <c r="BG32" s="1260" t="n"/>
      <c r="BH32" s="1259" t="n"/>
      <c r="BI32" s="1258" t="n"/>
      <c r="BJ32" s="1258" t="n"/>
      <c r="BK32" s="1258" t="n"/>
      <c r="BL32" s="1258" t="n"/>
      <c r="BM32" s="1260" t="n"/>
      <c r="BN32" s="1259" t="n"/>
      <c r="BO32" s="1258" t="n"/>
      <c r="BP32" s="1258" t="n"/>
      <c r="BQ32" s="1258" t="n"/>
      <c r="BR32" s="1258" t="n"/>
      <c r="BS32" s="1260" t="n"/>
      <c r="BT32" s="1259" t="n"/>
      <c r="BU32" s="1258" t="n"/>
      <c r="BV32" s="1258" t="n"/>
      <c r="BW32" s="1258" t="n"/>
      <c r="BX32" s="1258" t="n"/>
      <c r="BY32" s="1261" t="n"/>
      <c r="BZ32" s="1258" t="n"/>
    </row>
    <row r="33" ht="16.5" customHeight="1" s="838">
      <c r="B33" s="756" t="n"/>
      <c r="C33" s="739" t="n"/>
      <c r="D33" s="407" t="inlineStr">
        <is>
          <t>`26 실적</t>
        </is>
      </c>
      <c r="E33" s="1267" t="n">
        <v>9.146627199999999</v>
      </c>
      <c r="F33" s="1268" t="n">
        <v>6.19184725</v>
      </c>
      <c r="G33" s="1268" t="n">
        <v>6.19184725</v>
      </c>
      <c r="H33" s="1268" t="n">
        <v>6.19184725</v>
      </c>
      <c r="I33" s="1268" t="n">
        <v>6.19184725</v>
      </c>
      <c r="J33" s="1268" t="n">
        <v>6.19184725</v>
      </c>
      <c r="K33" s="1269" t="n">
        <v>5.15879825</v>
      </c>
      <c r="L33" s="1268" t="n">
        <v>5.15980031</v>
      </c>
      <c r="M33" s="1268" t="n">
        <v>5.15980031</v>
      </c>
      <c r="N33" s="1268" t="n">
        <v>6.46273023</v>
      </c>
      <c r="O33" s="1270" t="n">
        <v>5.15980031</v>
      </c>
      <c r="P33" s="1267" t="n">
        <v>1.05501938</v>
      </c>
      <c r="Q33" s="1268" t="n">
        <v>8.21955094</v>
      </c>
      <c r="R33" s="1268" t="n">
        <v>3.09060176</v>
      </c>
      <c r="S33" s="1268" t="n">
        <v>6.06775649</v>
      </c>
      <c r="T33" s="1268" t="n">
        <v>4.21834817</v>
      </c>
      <c r="U33" s="1268" t="n">
        <v>6.06775649</v>
      </c>
      <c r="V33" s="1269" t="n">
        <v>4.21834817</v>
      </c>
      <c r="W33" s="1268" t="n">
        <v>5.00449288</v>
      </c>
      <c r="X33" s="1268" t="n">
        <v>2.06310537</v>
      </c>
      <c r="Y33" s="1268" t="n">
        <v>3.058</v>
      </c>
      <c r="Z33" s="1268" t="n">
        <v>2.06310537</v>
      </c>
      <c r="AA33" s="1270" t="n">
        <v>3.058</v>
      </c>
      <c r="AB33" s="1267" t="n"/>
      <c r="AC33" s="1268" t="n"/>
      <c r="AD33" s="1268" t="n"/>
      <c r="AE33" s="1268" t="n"/>
      <c r="AF33" s="1268" t="n"/>
      <c r="AG33" s="1268" t="n"/>
      <c r="AH33" s="1268" t="n"/>
      <c r="AI33" s="1269" t="n"/>
      <c r="AJ33" s="1268" t="n"/>
      <c r="AK33" s="1268" t="n"/>
      <c r="AL33" s="1268" t="n"/>
      <c r="AM33" s="1268" t="n"/>
      <c r="AN33" s="1270" t="n"/>
      <c r="AO33" s="1267" t="n"/>
      <c r="AP33" s="1268" t="n"/>
      <c r="AQ33" s="1268" t="n"/>
      <c r="AR33" s="1268" t="n"/>
      <c r="AS33" s="1268" t="n"/>
      <c r="AT33" s="1268" t="n"/>
      <c r="AU33" s="1269" t="n"/>
      <c r="AV33" s="1268" t="n"/>
      <c r="AW33" s="1268" t="n"/>
      <c r="AX33" s="1268" t="n"/>
      <c r="AY33" s="1268" t="n"/>
      <c r="AZ33" s="1268" t="n"/>
      <c r="BA33" s="1268" t="n"/>
      <c r="BB33" s="1269" t="n"/>
      <c r="BC33" s="1268" t="n"/>
      <c r="BD33" s="1268" t="n"/>
      <c r="BE33" s="1268" t="n"/>
      <c r="BF33" s="1268" t="n"/>
      <c r="BG33" s="1270" t="n"/>
      <c r="BH33" s="1269" t="n"/>
      <c r="BI33" s="1268" t="n"/>
      <c r="BJ33" s="1268" t="n"/>
      <c r="BK33" s="1268" t="n"/>
      <c r="BL33" s="1268" t="n"/>
      <c r="BM33" s="1270" t="n"/>
      <c r="BN33" s="1269" t="n"/>
      <c r="BO33" s="1268" t="n"/>
      <c r="BP33" s="1268" t="n"/>
      <c r="BQ33" s="1268" t="n"/>
      <c r="BR33" s="1268" t="n"/>
      <c r="BS33" s="1270" t="n"/>
      <c r="BT33" s="1269" t="n"/>
      <c r="BU33" s="1268" t="n"/>
      <c r="BV33" s="1268" t="n"/>
      <c r="BW33" s="1268" t="n"/>
      <c r="BX33" s="1268" t="n"/>
      <c r="BY33" s="1271" t="n"/>
      <c r="BZ33" s="1258" t="n"/>
    </row>
    <row r="34" ht="16.5" customHeight="1" s="838">
      <c r="B34" s="756" t="n"/>
      <c r="C34" s="754" t="inlineStr">
        <is>
          <t>유상수익</t>
        </is>
      </c>
      <c r="D34" s="834" t="inlineStr">
        <is>
          <t>`25 실적</t>
        </is>
      </c>
      <c r="E34" s="1257" t="n">
        <v>31.232932</v>
      </c>
      <c r="F34" s="1258" t="n">
        <v>31.232932</v>
      </c>
      <c r="G34" s="1258" t="n">
        <v>31.232932</v>
      </c>
      <c r="H34" s="1258" t="n">
        <v>31.232932</v>
      </c>
      <c r="I34" s="1258" t="n">
        <v>31.232932</v>
      </c>
      <c r="J34" s="1258" t="n">
        <v>31.232932</v>
      </c>
      <c r="K34" s="1259" t="n">
        <v>15.172243</v>
      </c>
      <c r="L34" s="1298" t="n">
        <v>15.172243</v>
      </c>
      <c r="M34" s="1298" t="n">
        <v>15.172243</v>
      </c>
      <c r="N34" s="1298" t="n">
        <v>15.172243</v>
      </c>
      <c r="O34" s="1299" t="n">
        <v>15.172243</v>
      </c>
      <c r="P34" s="1257" t="n">
        <v>16.020866</v>
      </c>
      <c r="Q34" s="1258" t="n">
        <v>16.020866</v>
      </c>
      <c r="R34" s="1258" t="n">
        <v>16.020866</v>
      </c>
      <c r="S34" s="1258" t="n">
        <v>16.020866</v>
      </c>
      <c r="T34" s="1258" t="n">
        <v>16.020866</v>
      </c>
      <c r="U34" s="1258" t="n">
        <v>16.020866</v>
      </c>
      <c r="V34" s="1259" t="n">
        <v>14.974472</v>
      </c>
      <c r="W34" s="1258" t="n">
        <v>14.974472</v>
      </c>
      <c r="X34" s="1258" t="n">
        <v>14.974472</v>
      </c>
      <c r="Y34" s="1258" t="n">
        <v>14.974472</v>
      </c>
      <c r="Z34" s="1258" t="n">
        <v>14.974472</v>
      </c>
      <c r="AA34" s="1260" t="n">
        <v>14.974472</v>
      </c>
      <c r="AB34" s="1257" t="n"/>
      <c r="AC34" s="1258" t="n"/>
      <c r="AD34" s="1258" t="n"/>
      <c r="AE34" s="1258" t="n"/>
      <c r="AF34" s="1258" t="n"/>
      <c r="AG34" s="1258" t="n"/>
      <c r="AH34" s="1258" t="n"/>
      <c r="AI34" s="1259" t="n"/>
      <c r="AJ34" s="1258" t="n"/>
      <c r="AK34" s="1258" t="n"/>
      <c r="AL34" s="1258" t="n"/>
      <c r="AM34" s="1258" t="n"/>
      <c r="AN34" s="1260" t="n"/>
      <c r="AO34" s="1257" t="n"/>
      <c r="AP34" s="1258" t="n"/>
      <c r="AQ34" s="1258" t="n"/>
      <c r="AR34" s="1258" t="n"/>
      <c r="AS34" s="1258" t="n"/>
      <c r="AT34" s="1258" t="n"/>
      <c r="AU34" s="1259" t="n"/>
      <c r="AV34" s="1258" t="n"/>
      <c r="AW34" s="1258" t="n"/>
      <c r="AX34" s="1258" t="n"/>
      <c r="AY34" s="1258" t="n"/>
      <c r="AZ34" s="1258" t="n"/>
      <c r="BA34" s="1258" t="n"/>
      <c r="BB34" s="1259" t="n"/>
      <c r="BC34" s="1258" t="n"/>
      <c r="BD34" s="1258" t="n"/>
      <c r="BE34" s="1258" t="n"/>
      <c r="BF34" s="1258" t="n"/>
      <c r="BG34" s="1260" t="n"/>
      <c r="BH34" s="1259" t="n"/>
      <c r="BI34" s="1258" t="n"/>
      <c r="BJ34" s="1258" t="n"/>
      <c r="BK34" s="1258" t="n"/>
      <c r="BL34" s="1258" t="n"/>
      <c r="BM34" s="1260" t="n"/>
      <c r="BN34" s="1259" t="n"/>
      <c r="BO34" s="1258" t="n"/>
      <c r="BP34" s="1258" t="n"/>
      <c r="BQ34" s="1258" t="n"/>
      <c r="BR34" s="1258" t="n"/>
      <c r="BS34" s="1260" t="n"/>
      <c r="BT34" s="1259" t="n"/>
      <c r="BU34" s="1258" t="n"/>
      <c r="BV34" s="1258" t="n"/>
      <c r="BW34" s="1258" t="n"/>
      <c r="BX34" s="1258" t="n"/>
      <c r="BY34" s="1261" t="n"/>
      <c r="BZ34" s="1258" t="n"/>
    </row>
    <row r="35" ht="16.5" customHeight="1" s="838">
      <c r="B35" s="756" t="n"/>
      <c r="C35" s="738" t="n"/>
      <c r="D35" s="834" t="inlineStr">
        <is>
          <t>`26 목표</t>
        </is>
      </c>
      <c r="E35" s="1257" t="n">
        <v>30.548457</v>
      </c>
      <c r="F35" s="1258" t="n">
        <v>30.548457</v>
      </c>
      <c r="G35" s="1258" t="n">
        <v>30.548457</v>
      </c>
      <c r="H35" s="1258" t="n">
        <v>30.548457</v>
      </c>
      <c r="I35" s="1258" t="n">
        <v>30.548457</v>
      </c>
      <c r="J35" s="1258" t="n">
        <v>30.548457</v>
      </c>
      <c r="K35" s="1259" t="n">
        <v>26.534401</v>
      </c>
      <c r="L35" s="1298" t="n">
        <v>26.534401</v>
      </c>
      <c r="M35" s="1298" t="n">
        <v>26.534401</v>
      </c>
      <c r="N35" s="1298" t="n">
        <v>26.534401</v>
      </c>
      <c r="O35" s="1299" t="n">
        <v>26.534401</v>
      </c>
      <c r="P35" s="1257" t="n">
        <v>21.952771</v>
      </c>
      <c r="Q35" s="1258" t="n">
        <v>21.952771</v>
      </c>
      <c r="R35" s="1258" t="n">
        <v>21.952771</v>
      </c>
      <c r="S35" s="1258" t="n">
        <v>21.952771</v>
      </c>
      <c r="T35" s="1258" t="n">
        <v>21.952771</v>
      </c>
      <c r="U35" s="1258" t="n">
        <v>21.952771</v>
      </c>
      <c r="V35" s="1259" t="n">
        <v>30.539867</v>
      </c>
      <c r="W35" s="1258" t="n">
        <v>30.539867</v>
      </c>
      <c r="X35" s="1258" t="n">
        <v>30.539867</v>
      </c>
      <c r="Y35" s="1258" t="n">
        <v>30.539867</v>
      </c>
      <c r="Z35" s="1258" t="n">
        <v>30.539867</v>
      </c>
      <c r="AA35" s="1260" t="n">
        <v>30.539867</v>
      </c>
      <c r="AB35" s="1257" t="n"/>
      <c r="AC35" s="1258" t="n"/>
      <c r="AD35" s="1258" t="n"/>
      <c r="AE35" s="1258" t="n"/>
      <c r="AF35" s="1258" t="n"/>
      <c r="AG35" s="1258" t="n"/>
      <c r="AH35" s="1258" t="n"/>
      <c r="AI35" s="1259" t="n"/>
      <c r="AJ35" s="1258" t="n"/>
      <c r="AK35" s="1258" t="n"/>
      <c r="AL35" s="1258" t="n"/>
      <c r="AM35" s="1258" t="n"/>
      <c r="AN35" s="1260" t="n"/>
      <c r="AO35" s="1257" t="n"/>
      <c r="AP35" s="1258" t="n"/>
      <c r="AQ35" s="1258" t="n"/>
      <c r="AR35" s="1258" t="n"/>
      <c r="AS35" s="1258" t="n"/>
      <c r="AT35" s="1258" t="n"/>
      <c r="AU35" s="1259" t="n"/>
      <c r="AV35" s="1258" t="n"/>
      <c r="AW35" s="1258" t="n"/>
      <c r="AX35" s="1258" t="n"/>
      <c r="AY35" s="1258" t="n"/>
      <c r="AZ35" s="1258" t="n"/>
      <c r="BA35" s="1258" t="n"/>
      <c r="BB35" s="1259" t="n"/>
      <c r="BC35" s="1258" t="n"/>
      <c r="BD35" s="1258" t="n"/>
      <c r="BE35" s="1258" t="n"/>
      <c r="BF35" s="1258" t="n"/>
      <c r="BG35" s="1260" t="n"/>
      <c r="BH35" s="1259" t="n"/>
      <c r="BI35" s="1258" t="n"/>
      <c r="BJ35" s="1258" t="n"/>
      <c r="BK35" s="1258" t="n"/>
      <c r="BL35" s="1258" t="n"/>
      <c r="BM35" s="1260" t="n"/>
      <c r="BN35" s="1259" t="n"/>
      <c r="BO35" s="1258" t="n"/>
      <c r="BP35" s="1258" t="n"/>
      <c r="BQ35" s="1258" t="n"/>
      <c r="BR35" s="1258" t="n"/>
      <c r="BS35" s="1260" t="n"/>
      <c r="BT35" s="1259" t="n"/>
      <c r="BU35" s="1258" t="n"/>
      <c r="BV35" s="1258" t="n"/>
      <c r="BW35" s="1258" t="n"/>
      <c r="BX35" s="1258" t="n"/>
      <c r="BY35" s="1261" t="n"/>
      <c r="BZ35" s="1258" t="n"/>
    </row>
    <row r="36" ht="17.25" customHeight="1" s="838" thickBot="1">
      <c r="B36" s="770" t="n"/>
      <c r="C36" s="739" t="n"/>
      <c r="D36" s="413" t="inlineStr">
        <is>
          <t>`26 실적</t>
        </is>
      </c>
      <c r="E36" s="1272" t="n">
        <v>18.657365</v>
      </c>
      <c r="F36" s="1273" t="n">
        <v>30.548457</v>
      </c>
      <c r="G36" s="1273" t="n">
        <v>30.548457</v>
      </c>
      <c r="H36" s="1273" t="n">
        <v>30.548457</v>
      </c>
      <c r="I36" s="1273" t="n">
        <v>30.548457</v>
      </c>
      <c r="J36" s="1273" t="n">
        <v>30.548457</v>
      </c>
      <c r="K36" s="1274" t="n">
        <v>27.811891</v>
      </c>
      <c r="L36" s="1300" t="n">
        <v>27.355967</v>
      </c>
      <c r="M36" s="1300" t="n">
        <v>27.355967</v>
      </c>
      <c r="N36" s="1273">
        <f>M35+1.2</f>
        <v/>
      </c>
      <c r="O36" s="1301" t="n">
        <v>27.355967</v>
      </c>
      <c r="P36" s="1272" t="n">
        <v>14.774193</v>
      </c>
      <c r="Q36" s="1273" t="n">
        <v>27.841758</v>
      </c>
      <c r="R36" s="1273" t="n">
        <v>14.467574</v>
      </c>
      <c r="S36" s="1273" t="n">
        <v>27.953842</v>
      </c>
      <c r="T36" s="1273" t="n">
        <v>27.953842</v>
      </c>
      <c r="U36" s="1273" t="n">
        <v>27.953842</v>
      </c>
      <c r="V36" s="1274" t="n">
        <v>33.534831</v>
      </c>
      <c r="W36" s="1273" t="n">
        <v>18.657365</v>
      </c>
      <c r="X36" s="1273" t="n">
        <v>26.311804</v>
      </c>
      <c r="Y36" s="1273" t="n">
        <v>30.543589</v>
      </c>
      <c r="Z36" s="1273" t="n">
        <v>26.311804</v>
      </c>
      <c r="AA36" s="1275" t="n">
        <v>30.543589</v>
      </c>
      <c r="AB36" s="1272" t="n"/>
      <c r="AC36" s="1273" t="n"/>
      <c r="AD36" s="1273" t="n"/>
      <c r="AE36" s="1273" t="n"/>
      <c r="AF36" s="1273" t="n"/>
      <c r="AG36" s="1273" t="n"/>
      <c r="AH36" s="1273" t="n"/>
      <c r="AI36" s="1274" t="n"/>
      <c r="AJ36" s="1273" t="n"/>
      <c r="AK36" s="1273" t="n"/>
      <c r="AL36" s="1273" t="n"/>
      <c r="AM36" s="1273" t="n"/>
      <c r="AN36" s="1275" t="n"/>
      <c r="AO36" s="1272" t="n"/>
      <c r="AP36" s="1273" t="n"/>
      <c r="AQ36" s="1273" t="n"/>
      <c r="AR36" s="1273" t="n"/>
      <c r="AS36" s="1273" t="n"/>
      <c r="AT36" s="1273" t="n"/>
      <c r="AU36" s="1274" t="n"/>
      <c r="AV36" s="1273" t="n"/>
      <c r="AW36" s="1273" t="n"/>
      <c r="AX36" s="1273" t="n"/>
      <c r="AY36" s="1273" t="n"/>
      <c r="AZ36" s="1273" t="n"/>
      <c r="BA36" s="1273" t="n"/>
      <c r="BB36" s="1274" t="n"/>
      <c r="BC36" s="1273" t="n"/>
      <c r="BD36" s="1273" t="n"/>
      <c r="BE36" s="1273" t="n"/>
      <c r="BF36" s="1273" t="n"/>
      <c r="BG36" s="1275" t="n"/>
      <c r="BH36" s="1274" t="n"/>
      <c r="BI36" s="1273" t="n"/>
      <c r="BJ36" s="1273" t="n"/>
      <c r="BK36" s="1273" t="n"/>
      <c r="BL36" s="1273" t="n"/>
      <c r="BM36" s="1275" t="n"/>
      <c r="BN36" s="1274" t="n"/>
      <c r="BO36" s="1273" t="n"/>
      <c r="BP36" s="1273" t="n"/>
      <c r="BQ36" s="1273" t="n"/>
      <c r="BR36" s="1273" t="n"/>
      <c r="BS36" s="1275" t="n"/>
      <c r="BT36" s="1274" t="n"/>
      <c r="BU36" s="1273" t="n"/>
      <c r="BV36" s="1273" t="n"/>
      <c r="BW36" s="1273" t="n"/>
      <c r="BX36" s="1273" t="n"/>
      <c r="BY36" s="1276" t="n"/>
      <c r="BZ36" s="1258" t="n"/>
    </row>
  </sheetData>
  <mergeCells count="28">
    <mergeCell ref="P2:U2"/>
    <mergeCell ref="C12:C14"/>
    <mergeCell ref="C4:C5"/>
    <mergeCell ref="BH2:BM2"/>
    <mergeCell ref="C17:C19"/>
    <mergeCell ref="C23:C25"/>
    <mergeCell ref="C26:C27"/>
    <mergeCell ref="AU2:BA2"/>
    <mergeCell ref="BT2:BY2"/>
    <mergeCell ref="E2:J2"/>
    <mergeCell ref="C34:C36"/>
    <mergeCell ref="C28:C30"/>
    <mergeCell ref="C6:C8"/>
    <mergeCell ref="B15:B25"/>
    <mergeCell ref="B2:D3"/>
    <mergeCell ref="AI2:AN2"/>
    <mergeCell ref="BB2:BG2"/>
    <mergeCell ref="B26:B36"/>
    <mergeCell ref="C20:C22"/>
    <mergeCell ref="K2:O2"/>
    <mergeCell ref="B4:B14"/>
    <mergeCell ref="BN2:BS2"/>
    <mergeCell ref="V2:AA2"/>
    <mergeCell ref="AO2:AT2"/>
    <mergeCell ref="C31:C33"/>
    <mergeCell ref="C15:C16"/>
    <mergeCell ref="AB2:AH2"/>
    <mergeCell ref="C9:C1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B1:S82"/>
  <sheetViews>
    <sheetView showGridLines="0" zoomScale="70" zoomScaleNormal="7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J31" sqref="J31"/>
    </sheetView>
  </sheetViews>
  <sheetFormatPr baseColWidth="8" defaultColWidth="9" defaultRowHeight="16.5" customHeight="1"/>
  <cols>
    <col width="3.125" customWidth="1" style="831" min="1" max="1"/>
    <col width="12.75" customWidth="1" style="831" min="2" max="2"/>
    <col width="10" customWidth="1" style="831" min="3" max="3"/>
    <col width="40.875" customWidth="1" style="831" min="4" max="4"/>
    <col width="9" customWidth="1" style="590" min="5" max="5"/>
    <col width="15.75" customWidth="1" style="831" min="6" max="6"/>
    <col width="5.75" customWidth="1" style="831" min="7" max="8"/>
    <col width="6.625" customWidth="1" style="831" min="9" max="9"/>
    <col width="5.75" customWidth="1" style="831" min="10" max="18"/>
    <col width="9.375" customWidth="1" style="831" min="19" max="19"/>
    <col width="9" customWidth="1" style="831" min="20" max="20"/>
    <col width="9" customWidth="1" style="831" min="21" max="16384"/>
  </cols>
  <sheetData>
    <row r="1" ht="16.5" customHeight="1" s="838">
      <c r="G1" s="833" t="n"/>
    </row>
    <row r="2" ht="17.25" customHeight="1" s="838">
      <c r="G2" s="797" t="inlineStr">
        <is>
          <t>1월</t>
        </is>
      </c>
      <c r="H2" s="797" t="inlineStr">
        <is>
          <t>2월</t>
        </is>
      </c>
      <c r="I2" s="797" t="inlineStr">
        <is>
          <t>3월</t>
        </is>
      </c>
      <c r="J2" s="797" t="inlineStr">
        <is>
          <t>4월</t>
        </is>
      </c>
      <c r="K2" s="797" t="inlineStr">
        <is>
          <t>5월</t>
        </is>
      </c>
      <c r="L2" s="797" t="inlineStr">
        <is>
          <t>6월</t>
        </is>
      </c>
      <c r="M2" s="797" t="inlineStr">
        <is>
          <t>7월</t>
        </is>
      </c>
      <c r="N2" s="797" t="inlineStr">
        <is>
          <t>8월</t>
        </is>
      </c>
      <c r="O2" s="797" t="inlineStr">
        <is>
          <t>9월</t>
        </is>
      </c>
      <c r="P2" s="797" t="inlineStr">
        <is>
          <t>10월</t>
        </is>
      </c>
      <c r="Q2" s="797" t="inlineStr">
        <is>
          <t>11월</t>
        </is>
      </c>
      <c r="R2" s="797" t="inlineStr">
        <is>
          <t>12월</t>
        </is>
      </c>
    </row>
    <row r="3" ht="16.5" customHeight="1" s="838">
      <c r="B3" s="758" t="inlineStr">
        <is>
          <t>전체</t>
        </is>
      </c>
      <c r="C3" s="806" t="inlineStr">
        <is>
          <t>제품1 + 제품2 고정비 합계</t>
        </is>
      </c>
      <c r="D3" s="751" t="n"/>
      <c r="E3" s="798" t="inlineStr">
        <is>
          <t>고정비</t>
        </is>
      </c>
      <c r="F3" s="591" t="inlineStr">
        <is>
          <t>`25년 실적</t>
        </is>
      </c>
      <c r="G3" s="1253">
        <f>고정비_Rawdata!D5</f>
        <v/>
      </c>
      <c r="H3" s="1302">
        <f>고정비_Rawdata!E5</f>
        <v/>
      </c>
      <c r="I3" s="1253">
        <f>고정비_Rawdata!F5</f>
        <v/>
      </c>
      <c r="J3" s="1302">
        <f>고정비_Rawdata!G5</f>
        <v/>
      </c>
      <c r="K3" s="1253" t="n"/>
      <c r="L3" s="1302" t="n"/>
      <c r="M3" s="1253" t="n"/>
      <c r="N3" s="1302" t="n"/>
      <c r="O3" s="1253" t="n"/>
      <c r="P3" s="1302" t="n"/>
      <c r="Q3" s="1253" t="n"/>
      <c r="R3" s="1303" t="n"/>
    </row>
    <row r="4" ht="16.5" customHeight="1" s="838">
      <c r="B4" s="756" t="n"/>
      <c r="E4" s="738" t="n"/>
      <c r="F4" s="367" t="inlineStr">
        <is>
          <t>`26년 목표</t>
        </is>
      </c>
      <c r="G4" s="1258">
        <f>고정비_Rawdata!Q5</f>
        <v/>
      </c>
      <c r="H4" s="1304">
        <f>고정비_Rawdata!R5</f>
        <v/>
      </c>
      <c r="I4" s="1258">
        <f>고정비_Rawdata!S5</f>
        <v/>
      </c>
      <c r="J4" s="1304">
        <f>고정비_Rawdata!T5</f>
        <v/>
      </c>
      <c r="K4" s="1258" t="n"/>
      <c r="L4" s="1304" t="n"/>
      <c r="M4" s="1258" t="n"/>
      <c r="N4" s="1304" t="n"/>
      <c r="O4" s="1258" t="n"/>
      <c r="P4" s="1304" t="n"/>
      <c r="Q4" s="1258" t="n"/>
      <c r="R4" s="1305" t="n"/>
    </row>
    <row r="5" ht="16.5" customHeight="1" s="838">
      <c r="B5" s="756" t="n"/>
      <c r="E5" s="738" t="n"/>
      <c r="F5" s="367" t="inlineStr">
        <is>
          <t>`26년 실적/예상</t>
        </is>
      </c>
      <c r="G5" s="1258">
        <f>고정비_Rawdata!AD5</f>
        <v/>
      </c>
      <c r="H5" s="1304">
        <f>고정비_Rawdata!AG5</f>
        <v/>
      </c>
      <c r="I5" s="1258">
        <f>고정비_Rawdata!AL5</f>
        <v/>
      </c>
      <c r="J5" s="1304">
        <f>고정비_Rawdata!AR5</f>
        <v/>
      </c>
      <c r="K5" s="1258" t="n"/>
      <c r="L5" s="1304" t="n"/>
      <c r="M5" s="1258" t="n"/>
      <c r="N5" s="1304" t="n"/>
      <c r="O5" s="1258" t="n"/>
      <c r="P5" s="1304" t="n"/>
      <c r="Q5" s="1258" t="n"/>
      <c r="R5" s="1305" t="n"/>
    </row>
    <row r="6" ht="16.5" customHeight="1" s="838">
      <c r="B6" s="756" t="n"/>
      <c r="E6" s="737" t="inlineStr">
        <is>
          <t>개선금액</t>
        </is>
      </c>
      <c r="F6" s="366" t="inlineStr">
        <is>
          <t>`26년 목표</t>
        </is>
      </c>
      <c r="G6" s="1263">
        <f>G$3-G4</f>
        <v/>
      </c>
      <c r="H6" s="1306">
        <f>H$3-H4</f>
        <v/>
      </c>
      <c r="I6" s="1263">
        <f>I$3-I4</f>
        <v/>
      </c>
      <c r="J6" s="1306">
        <f>J$3-J4</f>
        <v/>
      </c>
      <c r="K6" s="1263" t="n"/>
      <c r="L6" s="1306" t="n"/>
      <c r="M6" s="1263" t="n"/>
      <c r="N6" s="1306" t="n"/>
      <c r="O6" s="1263" t="n"/>
      <c r="P6" s="1306" t="n"/>
      <c r="Q6" s="1263" t="n"/>
      <c r="R6" s="1307" t="n"/>
    </row>
    <row r="7" ht="16.5" customHeight="1" s="838">
      <c r="B7" s="756" t="n"/>
      <c r="C7" s="752" t="n"/>
      <c r="D7" s="752" t="n"/>
      <c r="E7" s="739" t="n"/>
      <c r="F7" s="368" t="inlineStr">
        <is>
          <t>`26년 실적/예상</t>
        </is>
      </c>
      <c r="G7" s="1268">
        <f>G$3-G5</f>
        <v/>
      </c>
      <c r="H7" s="1308">
        <f>H$3-H5</f>
        <v/>
      </c>
      <c r="I7" s="1268">
        <f>I$3-I5</f>
        <v/>
      </c>
      <c r="J7" s="1308">
        <f>J$3-J5</f>
        <v/>
      </c>
      <c r="K7" s="1268" t="n"/>
      <c r="L7" s="1308" t="n"/>
      <c r="M7" s="1268" t="n"/>
      <c r="N7" s="1308" t="n"/>
      <c r="O7" s="1268" t="n"/>
      <c r="P7" s="1308" t="n"/>
      <c r="Q7" s="1268" t="n"/>
      <c r="R7" s="1309" t="n"/>
    </row>
    <row r="8" ht="16.5" customHeight="1" s="838">
      <c r="B8" s="756" t="n"/>
      <c r="C8" s="777" t="inlineStr">
        <is>
          <t>Control</t>
        </is>
      </c>
      <c r="D8" s="803" t="n"/>
      <c r="E8" s="782" t="inlineStr">
        <is>
          <t>고정비</t>
        </is>
      </c>
      <c r="F8" s="367" t="inlineStr">
        <is>
          <t>`25년 실적</t>
        </is>
      </c>
      <c r="G8" s="1258">
        <f>G28+G33+G38</f>
        <v/>
      </c>
      <c r="H8" s="1304">
        <f>H28+H33+H38</f>
        <v/>
      </c>
      <c r="I8" s="1258">
        <f>I28+I33+I38</f>
        <v/>
      </c>
      <c r="J8" s="1304">
        <f>J28+J33+J38</f>
        <v/>
      </c>
      <c r="K8" s="1258" t="n"/>
      <c r="L8" s="1304" t="n"/>
      <c r="M8" s="1258" t="n"/>
      <c r="N8" s="1304" t="n"/>
      <c r="O8" s="1258" t="n"/>
      <c r="P8" s="1304" t="n"/>
      <c r="Q8" s="1258" t="n"/>
      <c r="R8" s="1305" t="n"/>
    </row>
    <row r="9" ht="16.5" customHeight="1" s="838">
      <c r="B9" s="756" t="n"/>
      <c r="C9" s="766" t="n"/>
      <c r="D9" s="800" t="n"/>
      <c r="E9" s="738" t="n"/>
      <c r="F9" s="367" t="inlineStr">
        <is>
          <t>`26년 목표</t>
        </is>
      </c>
      <c r="G9" s="1258">
        <f>G29+G34+G39</f>
        <v/>
      </c>
      <c r="H9" s="1304">
        <f>H29+H34+H39</f>
        <v/>
      </c>
      <c r="I9" s="1258">
        <f>I29+I34+I39</f>
        <v/>
      </c>
      <c r="J9" s="1304">
        <f>J29+J34+J39</f>
        <v/>
      </c>
      <c r="K9" s="1258" t="n"/>
      <c r="L9" s="1304" t="n"/>
      <c r="M9" s="1258" t="n"/>
      <c r="N9" s="1304" t="n"/>
      <c r="O9" s="1258" t="n"/>
      <c r="P9" s="1304" t="n"/>
      <c r="Q9" s="1258" t="n"/>
      <c r="R9" s="1305" t="n"/>
      <c r="S9" s="931" t="n"/>
    </row>
    <row r="10" ht="16.5" customHeight="1" s="838">
      <c r="B10" s="756" t="n"/>
      <c r="C10" s="766" t="n"/>
      <c r="D10" s="800" t="n"/>
      <c r="E10" s="738" t="n"/>
      <c r="F10" s="367" t="inlineStr">
        <is>
          <t>`26년 실적/예상</t>
        </is>
      </c>
      <c r="G10" s="1258">
        <f>G30+G35+G40</f>
        <v/>
      </c>
      <c r="H10" s="1304">
        <f>H30+H35+H40</f>
        <v/>
      </c>
      <c r="I10" s="1258">
        <f>I30+I35+I40</f>
        <v/>
      </c>
      <c r="J10" s="1304">
        <f>J30+J35+J40</f>
        <v/>
      </c>
      <c r="K10" s="1258" t="n"/>
      <c r="L10" s="1304" t="n"/>
      <c r="M10" s="1258" t="n"/>
      <c r="N10" s="1304" t="n"/>
      <c r="O10" s="1258" t="n"/>
      <c r="P10" s="1304" t="n"/>
      <c r="Q10" s="1258" t="n"/>
      <c r="R10" s="1305" t="n"/>
    </row>
    <row r="11" ht="16.5" customHeight="1" s="838">
      <c r="B11" s="756" t="n"/>
      <c r="C11" s="766" t="n"/>
      <c r="D11" s="800" t="n"/>
      <c r="E11" s="737" t="inlineStr">
        <is>
          <t>개선금액</t>
        </is>
      </c>
      <c r="F11" s="366" t="inlineStr">
        <is>
          <t>`26년 목표</t>
        </is>
      </c>
      <c r="G11" s="1263">
        <f>G$8-G9</f>
        <v/>
      </c>
      <c r="H11" s="1306">
        <f>H$8-H9</f>
        <v/>
      </c>
      <c r="I11" s="1263">
        <f>I$8-I9</f>
        <v/>
      </c>
      <c r="J11" s="1306">
        <f>J$8-J9</f>
        <v/>
      </c>
      <c r="K11" s="1263" t="n"/>
      <c r="L11" s="1306" t="n"/>
      <c r="M11" s="1263" t="n"/>
      <c r="N11" s="1306" t="n"/>
      <c r="O11" s="1263" t="n"/>
      <c r="P11" s="1306" t="n"/>
      <c r="Q11" s="1263" t="n"/>
      <c r="R11" s="1307" t="n"/>
    </row>
    <row r="12" ht="16.5" customHeight="1" s="838">
      <c r="B12" s="756" t="n"/>
      <c r="C12" s="736" t="n"/>
      <c r="D12" s="735" t="n"/>
      <c r="E12" s="739" t="n"/>
      <c r="F12" s="368" t="inlineStr">
        <is>
          <t>`26년 실적/예상</t>
        </is>
      </c>
      <c r="G12" s="1268">
        <f>G$8-G10</f>
        <v/>
      </c>
      <c r="H12" s="1308">
        <f>H$8-H10</f>
        <v/>
      </c>
      <c r="I12" s="1268">
        <f>I$8-I10</f>
        <v/>
      </c>
      <c r="J12" s="1308">
        <f>J$8-J10</f>
        <v/>
      </c>
      <c r="K12" s="1268" t="n"/>
      <c r="L12" s="1308" t="n"/>
      <c r="M12" s="1268" t="n"/>
      <c r="N12" s="1308" t="n"/>
      <c r="O12" s="1268" t="n"/>
      <c r="P12" s="1308" t="n"/>
      <c r="Q12" s="1268" t="n"/>
      <c r="R12" s="1309" t="n"/>
    </row>
    <row r="13" ht="16.5" customHeight="1" s="838">
      <c r="B13" s="756" t="n"/>
      <c r="C13" s="807" t="inlineStr">
        <is>
          <t>Uncontrol</t>
        </is>
      </c>
      <c r="D13" s="803" t="n"/>
      <c r="E13" s="782" t="inlineStr">
        <is>
          <t>고정비</t>
        </is>
      </c>
      <c r="F13" s="367" t="inlineStr">
        <is>
          <t>`25년 실적</t>
        </is>
      </c>
      <c r="G13" s="1258">
        <f>G43</f>
        <v/>
      </c>
      <c r="H13" s="1304">
        <f>H43</f>
        <v/>
      </c>
      <c r="I13" s="1258">
        <f>I43</f>
        <v/>
      </c>
      <c r="J13" s="1304">
        <f>J43</f>
        <v/>
      </c>
      <c r="K13" s="1258" t="n"/>
      <c r="L13" s="1304" t="n"/>
      <c r="M13" s="1258" t="n"/>
      <c r="N13" s="1304" t="n"/>
      <c r="O13" s="1258" t="n"/>
      <c r="P13" s="1304" t="n"/>
      <c r="Q13" s="1258" t="n"/>
      <c r="R13" s="1305" t="n"/>
    </row>
    <row r="14" ht="16.5" customHeight="1" s="838">
      <c r="B14" s="756" t="n"/>
      <c r="C14" s="766" t="n"/>
      <c r="D14" s="800" t="n"/>
      <c r="E14" s="738" t="n"/>
      <c r="F14" s="367" t="inlineStr">
        <is>
          <t>`26년 목표</t>
        </is>
      </c>
      <c r="G14" s="1258">
        <f>G44</f>
        <v/>
      </c>
      <c r="H14" s="1304">
        <f>H44</f>
        <v/>
      </c>
      <c r="I14" s="1258">
        <f>I44</f>
        <v/>
      </c>
      <c r="J14" s="1304">
        <f>J44</f>
        <v/>
      </c>
      <c r="K14" s="1258" t="n"/>
      <c r="L14" s="1304" t="n"/>
      <c r="M14" s="1258" t="n"/>
      <c r="N14" s="1304" t="n"/>
      <c r="O14" s="1258" t="n"/>
      <c r="P14" s="1304" t="n"/>
      <c r="Q14" s="1258" t="n"/>
      <c r="R14" s="1305" t="n"/>
      <c r="S14" s="931" t="n"/>
    </row>
    <row r="15" ht="16.5" customHeight="1" s="838">
      <c r="B15" s="756" t="n"/>
      <c r="C15" s="766" t="n"/>
      <c r="D15" s="800" t="n"/>
      <c r="E15" s="738" t="n"/>
      <c r="F15" s="367" t="inlineStr">
        <is>
          <t>`26년 실적/예상</t>
        </is>
      </c>
      <c r="G15" s="1258">
        <f>G45</f>
        <v/>
      </c>
      <c r="H15" s="1304">
        <f>H45</f>
        <v/>
      </c>
      <c r="I15" s="1258">
        <f>I45</f>
        <v/>
      </c>
      <c r="J15" s="1304">
        <f>J45</f>
        <v/>
      </c>
      <c r="K15" s="1258" t="n"/>
      <c r="L15" s="1304" t="n"/>
      <c r="M15" s="1258" t="n"/>
      <c r="N15" s="1304" t="n"/>
      <c r="O15" s="1258" t="n"/>
      <c r="P15" s="1304" t="n"/>
      <c r="Q15" s="1258" t="n"/>
      <c r="R15" s="1305" t="n"/>
    </row>
    <row r="16" ht="16.5" customHeight="1" s="838">
      <c r="B16" s="756" t="n"/>
      <c r="C16" s="766" t="n"/>
      <c r="D16" s="800" t="n"/>
      <c r="E16" s="737" t="inlineStr">
        <is>
          <t>개선금액</t>
        </is>
      </c>
      <c r="F16" s="366" t="inlineStr">
        <is>
          <t>`26년 목표</t>
        </is>
      </c>
      <c r="G16" s="1263">
        <f>G46</f>
        <v/>
      </c>
      <c r="H16" s="1306">
        <f>H46</f>
        <v/>
      </c>
      <c r="I16" s="1263">
        <f>I46</f>
        <v/>
      </c>
      <c r="J16" s="1306">
        <f>J46</f>
        <v/>
      </c>
      <c r="K16" s="983" t="n"/>
      <c r="L16" s="1306" t="n"/>
      <c r="M16" s="1263" t="n"/>
      <c r="N16" s="1306" t="n"/>
      <c r="O16" s="1263" t="n"/>
      <c r="P16" s="1306" t="n"/>
      <c r="Q16" s="1263" t="n"/>
      <c r="R16" s="1307" t="n"/>
    </row>
    <row r="17" ht="16.5" customHeight="1" s="838">
      <c r="B17" s="756" t="n"/>
      <c r="C17" s="766" t="n"/>
      <c r="D17" s="735" t="n"/>
      <c r="E17" s="739" t="n"/>
      <c r="F17" s="368" t="inlineStr">
        <is>
          <t>`26년 실적/예상</t>
        </is>
      </c>
      <c r="G17" s="1268">
        <f>G47</f>
        <v/>
      </c>
      <c r="H17" s="1308">
        <f>H47</f>
        <v/>
      </c>
      <c r="I17" s="1268">
        <f>I47</f>
        <v/>
      </c>
      <c r="J17" s="1308">
        <f>J47</f>
        <v/>
      </c>
      <c r="K17" s="974" t="n"/>
      <c r="L17" s="1308" t="n"/>
      <c r="M17" s="1268" t="n"/>
      <c r="N17" s="1308" t="n"/>
      <c r="O17" s="1268" t="n"/>
      <c r="P17" s="1308" t="n"/>
      <c r="Q17" s="1268" t="n"/>
      <c r="R17" s="1309" t="n"/>
    </row>
    <row r="18" ht="16.5" customHeight="1" s="838">
      <c r="B18" s="756" t="n"/>
      <c r="C18" s="766" t="n"/>
      <c r="D18" s="804" t="n"/>
      <c r="E18" s="782" t="inlineStr">
        <is>
          <t>고정비</t>
        </is>
      </c>
      <c r="F18" s="367" t="inlineStr">
        <is>
          <t>`25년 실적</t>
        </is>
      </c>
      <c r="G18" s="1258">
        <f>G48+G53+G58+G63+G68+G73+G78</f>
        <v/>
      </c>
      <c r="H18" s="1304">
        <f>H48+H53+H58+H63+H68+H73+H78</f>
        <v/>
      </c>
      <c r="I18" s="1258">
        <f>I48+I53+I58+I63+I68+I73+I78</f>
        <v/>
      </c>
      <c r="J18" s="1304">
        <f>J48+J53+J58+J63+J68+J73+J78</f>
        <v/>
      </c>
      <c r="K18" s="1258" t="n"/>
      <c r="L18" s="1304" t="n"/>
      <c r="M18" s="1258" t="n"/>
      <c r="N18" s="1304" t="n"/>
      <c r="O18" s="1258" t="n"/>
      <c r="P18" s="1304" t="n"/>
      <c r="Q18" s="1258" t="n"/>
      <c r="R18" s="1305" t="n"/>
    </row>
    <row r="19" ht="16.5" customHeight="1" s="838">
      <c r="B19" s="756" t="n"/>
      <c r="C19" s="766" t="n"/>
      <c r="D19" s="800" t="n"/>
      <c r="E19" s="738" t="n"/>
      <c r="F19" s="367" t="inlineStr">
        <is>
          <t>`26년 목표</t>
        </is>
      </c>
      <c r="G19" s="1258">
        <f>G49+G54+G59+G64+G69+G74+G79</f>
        <v/>
      </c>
      <c r="H19" s="1304">
        <f>H49+H54+H59+H64+H69+H74+H79</f>
        <v/>
      </c>
      <c r="I19" s="1258">
        <f>I49+I54+I59+I64+I69+I74+I79</f>
        <v/>
      </c>
      <c r="J19" s="1304">
        <f>J49+J54+J59+J64+J69+J74+J79</f>
        <v/>
      </c>
      <c r="K19" s="1258" t="n"/>
      <c r="L19" s="1304" t="n"/>
      <c r="M19" s="1258" t="n"/>
      <c r="N19" s="1304" t="n"/>
      <c r="O19" s="1258" t="n"/>
      <c r="P19" s="1304" t="n"/>
      <c r="Q19" s="1258" t="n"/>
      <c r="R19" s="1305" t="n"/>
      <c r="S19" s="931" t="n"/>
    </row>
    <row r="20" ht="16.5" customHeight="1" s="838">
      <c r="B20" s="756" t="n"/>
      <c r="C20" s="766" t="n"/>
      <c r="D20" s="800" t="n"/>
      <c r="E20" s="738" t="n"/>
      <c r="F20" s="367" t="inlineStr">
        <is>
          <t>`26년 실적/예상</t>
        </is>
      </c>
      <c r="G20" s="1258">
        <f>G50+G55+G60+G65+G70+G75+G80</f>
        <v/>
      </c>
      <c r="H20" s="1304">
        <f>H50+H55+H60+H65+H70+H75+H80</f>
        <v/>
      </c>
      <c r="I20" s="1258">
        <f>I50+I55+I60+I65+I70+I75+I80</f>
        <v/>
      </c>
      <c r="J20" s="1304">
        <f>J50+J55+J60+J65+J70+J75+J80</f>
        <v/>
      </c>
      <c r="K20" s="1258" t="n"/>
      <c r="L20" s="1304" t="n"/>
      <c r="M20" s="1258" t="n"/>
      <c r="N20" s="1304" t="n"/>
      <c r="O20" s="1258" t="n"/>
      <c r="P20" s="1304" t="n"/>
      <c r="Q20" s="1258" t="n"/>
      <c r="R20" s="1305" t="n"/>
    </row>
    <row r="21" ht="16.5" customHeight="1" s="838">
      <c r="B21" s="756" t="n"/>
      <c r="C21" s="766" t="n"/>
      <c r="D21" s="800" t="n"/>
      <c r="E21" s="749" t="inlineStr">
        <is>
          <t>개선금액</t>
        </is>
      </c>
      <c r="F21" s="366" t="inlineStr">
        <is>
          <t>`26년 목표</t>
        </is>
      </c>
      <c r="G21" s="1263">
        <f>G$18-G19</f>
        <v/>
      </c>
      <c r="H21" s="1306">
        <f>H$18-H19</f>
        <v/>
      </c>
      <c r="I21" s="1263">
        <f>I$18-I19</f>
        <v/>
      </c>
      <c r="J21" s="1306">
        <f>J$18-J19</f>
        <v/>
      </c>
      <c r="K21" s="1263" t="n"/>
      <c r="L21" s="1306" t="n"/>
      <c r="M21" s="1263" t="n"/>
      <c r="N21" s="1306" t="n"/>
      <c r="O21" s="1263" t="n"/>
      <c r="P21" s="1306" t="n"/>
      <c r="Q21" s="1263" t="n"/>
      <c r="R21" s="1307" t="n"/>
    </row>
    <row r="22" ht="17.25" customHeight="1" s="838">
      <c r="B22" s="757" t="n"/>
      <c r="C22" s="748" t="n"/>
      <c r="D22" s="746" t="n"/>
      <c r="E22" s="753" t="n"/>
      <c r="F22" s="582" t="inlineStr">
        <is>
          <t>`26년 실적/예상</t>
        </is>
      </c>
      <c r="G22" s="1273">
        <f>G$18-G20</f>
        <v/>
      </c>
      <c r="H22" s="1310">
        <f>H$18-H20</f>
        <v/>
      </c>
      <c r="I22" s="1273">
        <f>I$18-I20</f>
        <v/>
      </c>
      <c r="J22" s="1310">
        <f>J$18-J20</f>
        <v/>
      </c>
      <c r="K22" s="1273" t="n"/>
      <c r="L22" s="1310" t="n"/>
      <c r="M22" s="1273" t="n"/>
      <c r="N22" s="1310" t="n"/>
      <c r="O22" s="1273" t="n"/>
      <c r="P22" s="1310" t="n"/>
      <c r="Q22" s="1273" t="n"/>
      <c r="R22" s="1311" t="n"/>
    </row>
    <row r="23" ht="16.5" customHeight="1" s="838">
      <c r="B23" s="758" t="inlineStr">
        <is>
          <t>사업부 내</t>
        </is>
      </c>
      <c r="C23" s="742" t="inlineStr">
        <is>
          <t>Uncontrol</t>
        </is>
      </c>
      <c r="D23" s="801" t="n"/>
      <c r="E23" s="750" t="inlineStr">
        <is>
          <t>고정비</t>
        </is>
      </c>
      <c r="F23" s="591" t="inlineStr">
        <is>
          <t>`25년 실적</t>
        </is>
      </c>
      <c r="G23" s="1253">
        <f>고정비_UnControl!G13</f>
        <v/>
      </c>
      <c r="H23" s="1302">
        <f>고정비_UnControl!H13</f>
        <v/>
      </c>
      <c r="I23" s="1253">
        <f>고정비_UnControl!I13</f>
        <v/>
      </c>
      <c r="J23" s="1302">
        <f>고정비_UnControl!J13</f>
        <v/>
      </c>
      <c r="K23" s="1253" t="n"/>
      <c r="L23" s="1302" t="n"/>
      <c r="M23" s="1253" t="n"/>
      <c r="N23" s="1302" t="n"/>
      <c r="O23" s="1253" t="n"/>
      <c r="P23" s="1302" t="n"/>
      <c r="Q23" s="1253" t="n"/>
      <c r="R23" s="1303" t="n"/>
    </row>
    <row r="24" ht="16.5" customHeight="1" s="838">
      <c r="B24" s="756" t="n"/>
      <c r="C24" s="738" t="n"/>
      <c r="D24" s="738" t="n"/>
      <c r="E24" s="738" t="n"/>
      <c r="F24" s="367" t="inlineStr">
        <is>
          <t>`26년 목표</t>
        </is>
      </c>
      <c r="G24" s="1258">
        <f>고정비_UnControl!G14</f>
        <v/>
      </c>
      <c r="H24" s="1304">
        <f>고정비_UnControl!H14</f>
        <v/>
      </c>
      <c r="I24" s="1258">
        <f>고정비_UnControl!I14</f>
        <v/>
      </c>
      <c r="J24" s="1304">
        <f>고정비_UnControl!J14</f>
        <v/>
      </c>
      <c r="K24" s="1258" t="n"/>
      <c r="L24" s="1304" t="n"/>
      <c r="M24" s="1258" t="n"/>
      <c r="N24" s="1304" t="n"/>
      <c r="O24" s="1258" t="n"/>
      <c r="P24" s="1304" t="n"/>
      <c r="Q24" s="1258" t="n"/>
      <c r="R24" s="1305" t="n"/>
      <c r="S24" s="931" t="n"/>
    </row>
    <row r="25" ht="16.5" customHeight="1" s="838">
      <c r="B25" s="756" t="n"/>
      <c r="C25" s="738" t="n"/>
      <c r="D25" s="738" t="n"/>
      <c r="E25" s="739" t="n"/>
      <c r="F25" s="367" t="inlineStr">
        <is>
          <t>`26년 실적/예상</t>
        </is>
      </c>
      <c r="G25" s="1258">
        <f>고정비_UnControl!G15</f>
        <v/>
      </c>
      <c r="H25" s="1304">
        <f>고정비_UnControl!H15</f>
        <v/>
      </c>
      <c r="I25" s="1258">
        <f>고정비_UnControl!I15</f>
        <v/>
      </c>
      <c r="J25" s="1304">
        <f>고정비_UnControl!J15</f>
        <v/>
      </c>
      <c r="K25" s="1258" t="n"/>
      <c r="L25" s="1304" t="n"/>
      <c r="M25" s="1258" t="n"/>
      <c r="N25" s="1304" t="n"/>
      <c r="O25" s="1258" t="n"/>
      <c r="P25" s="1304" t="n"/>
      <c r="Q25" s="1258" t="n"/>
      <c r="R25" s="1305" t="n"/>
    </row>
    <row r="26" ht="16.5" customHeight="1" s="838">
      <c r="B26" s="756" t="n"/>
      <c r="C26" s="738" t="n"/>
      <c r="D26" s="738" t="n"/>
      <c r="E26" s="737" t="inlineStr">
        <is>
          <t>개선금액</t>
        </is>
      </c>
      <c r="F26" s="366" t="inlineStr">
        <is>
          <t>`26년 목표</t>
        </is>
      </c>
      <c r="G26" s="1263">
        <f>G$23-G24</f>
        <v/>
      </c>
      <c r="H26" s="1306">
        <f>H$23-H24</f>
        <v/>
      </c>
      <c r="I26" s="1263">
        <f>I$23-I24</f>
        <v/>
      </c>
      <c r="J26" s="1306">
        <f>J$23-J24</f>
        <v/>
      </c>
      <c r="K26" s="1263" t="n"/>
      <c r="L26" s="1306" t="n"/>
      <c r="M26" s="1263" t="n"/>
      <c r="N26" s="1306" t="n"/>
      <c r="O26" s="1263" t="n"/>
      <c r="P26" s="1306" t="n"/>
      <c r="Q26" s="1263" t="n"/>
      <c r="R26" s="1307" t="n"/>
    </row>
    <row r="27" ht="16.5" customHeight="1" s="838">
      <c r="B27" s="756" t="n"/>
      <c r="C27" s="739" t="n"/>
      <c r="D27" s="739" t="n"/>
      <c r="E27" s="739" t="n"/>
      <c r="F27" s="368" t="inlineStr">
        <is>
          <t>`26년 실적/예상</t>
        </is>
      </c>
      <c r="G27" s="1268">
        <f>G$23-G25</f>
        <v/>
      </c>
      <c r="H27" s="1308">
        <f>H$23-H25</f>
        <v/>
      </c>
      <c r="I27" s="1268">
        <f>I$23-I25</f>
        <v/>
      </c>
      <c r="J27" s="1308">
        <f>J$23-J25</f>
        <v/>
      </c>
      <c r="K27" s="1268" t="n"/>
      <c r="L27" s="1308" t="n"/>
      <c r="M27" s="1268" t="n"/>
      <c r="N27" s="1308" t="n"/>
      <c r="O27" s="1268" t="n"/>
      <c r="P27" s="1308" t="n"/>
      <c r="Q27" s="1268" t="n"/>
      <c r="R27" s="1309" t="n"/>
    </row>
    <row r="28" ht="16.5" customHeight="1" s="838">
      <c r="B28" s="756" t="n"/>
      <c r="C28" s="797" t="inlineStr">
        <is>
          <t>Control</t>
        </is>
      </c>
      <c r="D28" s="799" t="n"/>
      <c r="E28" s="782" t="inlineStr">
        <is>
          <t>고정비</t>
        </is>
      </c>
      <c r="F28" s="367" t="inlineStr">
        <is>
          <t>`25년 실적</t>
        </is>
      </c>
      <c r="G28" s="1258">
        <f>고정비_사업부Control!E3</f>
        <v/>
      </c>
      <c r="H28" s="1304">
        <f>고정비_사업부Control!F3</f>
        <v/>
      </c>
      <c r="I28" s="1258">
        <f>고정비_사업부Control!G3</f>
        <v/>
      </c>
      <c r="J28" s="1304">
        <f>고정비_사업부Control!H3</f>
        <v/>
      </c>
      <c r="K28" s="1258" t="n"/>
      <c r="L28" s="1304" t="n"/>
      <c r="M28" s="1258" t="n"/>
      <c r="N28" s="1304" t="n"/>
      <c r="O28" s="1258" t="n"/>
      <c r="P28" s="1304" t="n"/>
      <c r="Q28" s="1258" t="n"/>
      <c r="R28" s="1305" t="n"/>
    </row>
    <row r="29" ht="16.5" customHeight="1" s="838">
      <c r="B29" s="756" t="n"/>
      <c r="C29" s="738" t="n"/>
      <c r="D29" s="800" t="n"/>
      <c r="E29" s="738" t="n"/>
      <c r="F29" s="367" t="inlineStr">
        <is>
          <t>`26년 목표</t>
        </is>
      </c>
      <c r="G29" s="1258">
        <f>고정비_사업부Control!E4</f>
        <v/>
      </c>
      <c r="H29" s="1304">
        <f>고정비_사업부Control!F4</f>
        <v/>
      </c>
      <c r="I29" s="1258">
        <f>고정비_사업부Control!G4</f>
        <v/>
      </c>
      <c r="J29" s="1304">
        <f>고정비_사업부Control!H4</f>
        <v/>
      </c>
      <c r="K29" s="1258" t="n"/>
      <c r="L29" s="1304" t="n"/>
      <c r="M29" s="1258" t="n"/>
      <c r="N29" s="1304" t="n"/>
      <c r="O29" s="1258" t="n"/>
      <c r="P29" s="1304" t="n"/>
      <c r="Q29" s="1258" t="n"/>
      <c r="R29" s="1305" t="n"/>
    </row>
    <row r="30" ht="16.5" customHeight="1" s="838">
      <c r="B30" s="756" t="n"/>
      <c r="C30" s="738" t="n"/>
      <c r="D30" s="800" t="n"/>
      <c r="E30" s="738" t="n"/>
      <c r="F30" s="367" t="inlineStr">
        <is>
          <t>`26년 실적/예상</t>
        </is>
      </c>
      <c r="G30" s="1258">
        <f>고정비_사업부Control!E5</f>
        <v/>
      </c>
      <c r="H30" s="1304">
        <f>고정비_사업부Control!F5</f>
        <v/>
      </c>
      <c r="I30" s="1258">
        <f>고정비_사업부Control!G5</f>
        <v/>
      </c>
      <c r="J30" s="1304">
        <f>고정비_사업부Control!H5</f>
        <v/>
      </c>
      <c r="K30" s="1258" t="n"/>
      <c r="L30" s="1304" t="n"/>
      <c r="M30" s="1258" t="n"/>
      <c r="N30" s="1304" t="n"/>
      <c r="O30" s="1258" t="n"/>
      <c r="P30" s="1304" t="n"/>
      <c r="Q30" s="1258" t="n"/>
      <c r="R30" s="1305" t="n"/>
    </row>
    <row r="31" ht="16.5" customHeight="1" s="838">
      <c r="B31" s="756" t="n"/>
      <c r="C31" s="738" t="n"/>
      <c r="D31" s="800" t="n"/>
      <c r="E31" s="737" t="inlineStr">
        <is>
          <t>개선금액</t>
        </is>
      </c>
      <c r="F31" s="366" t="inlineStr">
        <is>
          <t>`26년 목표</t>
        </is>
      </c>
      <c r="G31" s="983">
        <f>G$28-G29</f>
        <v/>
      </c>
      <c r="H31" s="1312">
        <f>H$28-H29</f>
        <v/>
      </c>
      <c r="I31" s="983">
        <f>I$28-I29</f>
        <v/>
      </c>
      <c r="J31" s="1312">
        <f>J$28-J29</f>
        <v/>
      </c>
      <c r="K31" s="983" t="n"/>
      <c r="L31" s="1312" t="n"/>
      <c r="M31" s="983" t="n"/>
      <c r="N31" s="1312" t="n"/>
      <c r="O31" s="983" t="n"/>
      <c r="P31" s="1312" t="n"/>
      <c r="Q31" s="983" t="n"/>
      <c r="R31" s="1313" t="n"/>
    </row>
    <row r="32" ht="16.5" customHeight="1" s="838">
      <c r="B32" s="756" t="n"/>
      <c r="C32" s="738" t="n"/>
      <c r="D32" s="735" t="n"/>
      <c r="E32" s="739" t="n"/>
      <c r="F32" s="368" t="inlineStr">
        <is>
          <t>`26년 실적/예상</t>
        </is>
      </c>
      <c r="G32" s="974">
        <f>G$28-G30</f>
        <v/>
      </c>
      <c r="H32" s="1314">
        <f>H$28-H30</f>
        <v/>
      </c>
      <c r="I32" s="974">
        <f>I$28-I30</f>
        <v/>
      </c>
      <c r="J32" s="1314">
        <f>J$28-J30</f>
        <v/>
      </c>
      <c r="K32" s="974" t="n"/>
      <c r="L32" s="1314" t="n"/>
      <c r="M32" s="974" t="n"/>
      <c r="N32" s="1314" t="n"/>
      <c r="O32" s="974" t="n"/>
      <c r="P32" s="1314" t="n"/>
      <c r="Q32" s="974" t="n"/>
      <c r="R32" s="1315" t="n"/>
    </row>
    <row r="33" ht="16.5" customHeight="1" s="838">
      <c r="B33" s="756" t="n"/>
      <c r="C33" s="797" t="inlineStr">
        <is>
          <t>Control</t>
        </is>
      </c>
      <c r="D33" s="799" t="n"/>
      <c r="E33" s="782" t="inlineStr">
        <is>
          <t>고정비</t>
        </is>
      </c>
      <c r="F33" s="367" t="inlineStr">
        <is>
          <t>`25년 실적</t>
        </is>
      </c>
      <c r="G33" s="1258">
        <f>'고정비_생산,제판법인Control'!F3</f>
        <v/>
      </c>
      <c r="H33" s="1304">
        <f>'고정비_생산,제판법인Control'!G3</f>
        <v/>
      </c>
      <c r="I33" s="1258">
        <f>'고정비_생산,제판법인Control'!H3</f>
        <v/>
      </c>
      <c r="J33" s="1304">
        <f>'고정비_생산,제판법인Control'!I3</f>
        <v/>
      </c>
      <c r="K33" s="1258" t="n"/>
      <c r="L33" s="1304" t="n"/>
      <c r="M33" s="1258" t="n"/>
      <c r="N33" s="1304" t="n"/>
      <c r="O33" s="1258" t="n"/>
      <c r="P33" s="1304" t="n"/>
      <c r="Q33" s="1258" t="n"/>
      <c r="R33" s="1305" t="n"/>
    </row>
    <row r="34" ht="16.5" customHeight="1" s="838">
      <c r="B34" s="756" t="n"/>
      <c r="C34" s="738" t="n"/>
      <c r="D34" s="800" t="n"/>
      <c r="E34" s="738" t="n"/>
      <c r="F34" s="367" t="inlineStr">
        <is>
          <t>`26년 목표</t>
        </is>
      </c>
      <c r="G34" s="1258">
        <f>'고정비_생산,제판법인Control'!F4</f>
        <v/>
      </c>
      <c r="H34" s="1304">
        <f>'고정비_생산,제판법인Control'!G4</f>
        <v/>
      </c>
      <c r="I34" s="1258">
        <f>'고정비_생산,제판법인Control'!H4</f>
        <v/>
      </c>
      <c r="J34" s="1304">
        <f>'고정비_생산,제판법인Control'!I4</f>
        <v/>
      </c>
      <c r="K34" s="1258" t="n"/>
      <c r="L34" s="1304" t="n"/>
      <c r="M34" s="1258" t="n"/>
      <c r="N34" s="1304" t="n"/>
      <c r="O34" s="1258" t="n"/>
      <c r="P34" s="1304" t="n"/>
      <c r="Q34" s="1258" t="n"/>
      <c r="R34" s="1305" t="n"/>
      <c r="S34" s="931" t="n"/>
    </row>
    <row r="35" ht="16.5" customHeight="1" s="838">
      <c r="B35" s="756" t="n"/>
      <c r="C35" s="738" t="n"/>
      <c r="D35" s="800" t="n"/>
      <c r="E35" s="738" t="n"/>
      <c r="F35" s="367" t="inlineStr">
        <is>
          <t>`26년 실적/예상</t>
        </is>
      </c>
      <c r="G35" s="1258">
        <f>'고정비_생산,제판법인Control'!F5</f>
        <v/>
      </c>
      <c r="H35" s="1304">
        <f>'고정비_생산,제판법인Control'!G5</f>
        <v/>
      </c>
      <c r="I35" s="1258">
        <f>'고정비_생산,제판법인Control'!H5</f>
        <v/>
      </c>
      <c r="J35" s="1304">
        <f>'고정비_생산,제판법인Control'!I5</f>
        <v/>
      </c>
      <c r="K35" s="1258" t="n"/>
      <c r="L35" s="1304" t="n"/>
      <c r="M35" s="1258" t="n"/>
      <c r="N35" s="1304" t="n"/>
      <c r="O35" s="1258" t="n"/>
      <c r="P35" s="1304" t="n"/>
      <c r="Q35" s="1258" t="n"/>
      <c r="R35" s="1305" t="n"/>
    </row>
    <row r="36" ht="16.5" customHeight="1" s="838">
      <c r="B36" s="756" t="n"/>
      <c r="C36" s="738" t="n"/>
      <c r="D36" s="800" t="n"/>
      <c r="E36" s="737" t="inlineStr">
        <is>
          <t>개선금액</t>
        </is>
      </c>
      <c r="F36" s="366" t="inlineStr">
        <is>
          <t>`26년 목표</t>
        </is>
      </c>
      <c r="G36" s="983">
        <f>G$33-G34</f>
        <v/>
      </c>
      <c r="H36" s="1312">
        <f>H$33-H34</f>
        <v/>
      </c>
      <c r="I36" s="983">
        <f>I$33-I34</f>
        <v/>
      </c>
      <c r="J36" s="1312">
        <f>J$33-J34</f>
        <v/>
      </c>
      <c r="K36" s="983" t="n"/>
      <c r="L36" s="1312" t="n"/>
      <c r="M36" s="983" t="n"/>
      <c r="N36" s="1312" t="n"/>
      <c r="O36" s="983" t="n"/>
      <c r="P36" s="1312" t="n"/>
      <c r="Q36" s="983" t="n"/>
      <c r="R36" s="1313" t="n"/>
    </row>
    <row r="37" ht="16.5" customHeight="1" s="838">
      <c r="B37" s="756" t="n"/>
      <c r="C37" s="738" t="n"/>
      <c r="D37" s="735" t="n"/>
      <c r="E37" s="739" t="n"/>
      <c r="F37" s="368" t="inlineStr">
        <is>
          <t>`26년 실적/예상</t>
        </is>
      </c>
      <c r="G37" s="974">
        <f>G$33-G35</f>
        <v/>
      </c>
      <c r="H37" s="1314">
        <f>H$33-H35</f>
        <v/>
      </c>
      <c r="I37" s="974">
        <f>I$33-I35</f>
        <v/>
      </c>
      <c r="J37" s="1314">
        <f>J$33-J35</f>
        <v/>
      </c>
      <c r="K37" s="974" t="n"/>
      <c r="L37" s="1314" t="n"/>
      <c r="M37" s="974" t="n"/>
      <c r="N37" s="1314" t="n"/>
      <c r="O37" s="974" t="n"/>
      <c r="P37" s="1314" t="n"/>
      <c r="Q37" s="974" t="n"/>
      <c r="R37" s="1315" t="n"/>
    </row>
    <row r="38" ht="16.5" customHeight="1" s="838">
      <c r="B38" s="756" t="n"/>
      <c r="C38" s="797" t="inlineStr">
        <is>
          <t>Control</t>
        </is>
      </c>
      <c r="D38" s="799" t="n"/>
      <c r="E38" s="782" t="inlineStr">
        <is>
          <t>고정비</t>
        </is>
      </c>
      <c r="F38" s="367" t="inlineStr">
        <is>
          <t>`25년 실적</t>
        </is>
      </c>
      <c r="G38" s="1258">
        <f>'고정비_생산,제판법인Control'!F38</f>
        <v/>
      </c>
      <c r="H38" s="1304">
        <f>'고정비_생산,제판법인Control'!G38</f>
        <v/>
      </c>
      <c r="I38" s="1258">
        <f>'고정비_생산,제판법인Control'!H38</f>
        <v/>
      </c>
      <c r="J38" s="1304">
        <f>'고정비_생산,제판법인Control'!I38</f>
        <v/>
      </c>
      <c r="K38" s="1258" t="n"/>
      <c r="L38" s="1304" t="n"/>
      <c r="M38" s="1258" t="n"/>
      <c r="N38" s="1304" t="n"/>
      <c r="O38" s="1258" t="n"/>
      <c r="P38" s="1304" t="n"/>
      <c r="Q38" s="1258" t="n"/>
      <c r="R38" s="1305" t="n"/>
    </row>
    <row r="39" ht="16.5" customHeight="1" s="838">
      <c r="B39" s="756" t="n"/>
      <c r="C39" s="738" t="n"/>
      <c r="D39" s="800" t="n"/>
      <c r="E39" s="738" t="n"/>
      <c r="F39" s="367" t="inlineStr">
        <is>
          <t>`26년 목표</t>
        </is>
      </c>
      <c r="G39" s="1258">
        <f>'고정비_생산,제판법인Control'!F39</f>
        <v/>
      </c>
      <c r="H39" s="1304">
        <f>'고정비_생산,제판법인Control'!G39</f>
        <v/>
      </c>
      <c r="I39" s="1258">
        <f>'고정비_생산,제판법인Control'!H39</f>
        <v/>
      </c>
      <c r="J39" s="1304">
        <f>'고정비_생산,제판법인Control'!I39</f>
        <v/>
      </c>
      <c r="K39" s="1258" t="n"/>
      <c r="L39" s="1304" t="n"/>
      <c r="M39" s="1258" t="n"/>
      <c r="N39" s="1304" t="n"/>
      <c r="O39" s="1258" t="n"/>
      <c r="P39" s="1304" t="n"/>
      <c r="Q39" s="1258" t="n"/>
      <c r="R39" s="1305" t="n"/>
      <c r="S39" s="931" t="n"/>
    </row>
    <row r="40" ht="16.5" customHeight="1" s="838">
      <c r="B40" s="756" t="n"/>
      <c r="C40" s="738" t="n"/>
      <c r="D40" s="800" t="n"/>
      <c r="E40" s="738" t="n"/>
      <c r="F40" s="367" t="inlineStr">
        <is>
          <t>`26년 실적/예상</t>
        </is>
      </c>
      <c r="G40" s="1258">
        <f>'고정비_생산,제판법인Control'!F40</f>
        <v/>
      </c>
      <c r="H40" s="1304">
        <f>'고정비_생산,제판법인Control'!G40</f>
        <v/>
      </c>
      <c r="I40" s="1258">
        <f>'고정비_생산,제판법인Control'!H40</f>
        <v/>
      </c>
      <c r="J40" s="1304">
        <f>'고정비_생산,제판법인Control'!I40</f>
        <v/>
      </c>
      <c r="K40" s="1258" t="n"/>
      <c r="L40" s="1304" t="n"/>
      <c r="M40" s="1258" t="n"/>
      <c r="N40" s="1304" t="n"/>
      <c r="O40" s="1258" t="n"/>
      <c r="P40" s="1304" t="n"/>
      <c r="Q40" s="1258" t="n"/>
      <c r="R40" s="1305" t="n"/>
    </row>
    <row r="41" ht="16.5" customHeight="1" s="838">
      <c r="B41" s="756" t="n"/>
      <c r="C41" s="738" t="n"/>
      <c r="D41" s="800" t="n"/>
      <c r="E41" s="737" t="inlineStr">
        <is>
          <t>개선금액</t>
        </is>
      </c>
      <c r="F41" s="366" t="inlineStr">
        <is>
          <t>`26년 목표</t>
        </is>
      </c>
      <c r="G41" s="983">
        <f>G$38-G39</f>
        <v/>
      </c>
      <c r="H41" s="1312">
        <f>H$38-H39</f>
        <v/>
      </c>
      <c r="I41" s="983">
        <f>I$38-I39</f>
        <v/>
      </c>
      <c r="J41" s="1312">
        <f>J$38-J39</f>
        <v/>
      </c>
      <c r="K41" s="983" t="n"/>
      <c r="L41" s="1312" t="n"/>
      <c r="M41" s="983" t="n"/>
      <c r="N41" s="1312" t="n"/>
      <c r="O41" s="983" t="n"/>
      <c r="P41" s="1312" t="n"/>
      <c r="Q41" s="983" t="n"/>
      <c r="R41" s="1313" t="n"/>
    </row>
    <row r="42" ht="16.5" customHeight="1" s="838">
      <c r="B42" s="756" t="n"/>
      <c r="C42" s="738" t="n"/>
      <c r="D42" s="735" t="n"/>
      <c r="E42" s="739" t="n"/>
      <c r="F42" s="368" t="inlineStr">
        <is>
          <t>`26년 실적/예상</t>
        </is>
      </c>
      <c r="G42" s="974">
        <f>G$38-G40</f>
        <v/>
      </c>
      <c r="H42" s="1314">
        <f>H$38-H40</f>
        <v/>
      </c>
      <c r="I42" s="974">
        <f>I$38-I40</f>
        <v/>
      </c>
      <c r="J42" s="1314">
        <f>J$38-J40</f>
        <v/>
      </c>
      <c r="K42" s="974" t="n"/>
      <c r="L42" s="1314" t="n"/>
      <c r="M42" s="974" t="n"/>
      <c r="N42" s="1314" t="n"/>
      <c r="O42" s="974" t="n"/>
      <c r="P42" s="1314" t="n"/>
      <c r="Q42" s="974" t="n"/>
      <c r="R42" s="1315" t="n"/>
    </row>
    <row r="43" ht="16.5" customHeight="1" s="838">
      <c r="B43" s="756" t="n"/>
      <c r="C43" s="744" t="inlineStr">
        <is>
          <t>Uncontrol</t>
        </is>
      </c>
      <c r="D43" s="804" t="n"/>
      <c r="E43" s="782" t="inlineStr">
        <is>
          <t>고정비</t>
        </is>
      </c>
      <c r="F43" s="367" t="inlineStr">
        <is>
          <t>`25년 실적</t>
        </is>
      </c>
      <c r="G43" s="1258">
        <f>G23-G28</f>
        <v/>
      </c>
      <c r="H43" s="1304">
        <f>H23-H28</f>
        <v/>
      </c>
      <c r="I43" s="1258">
        <f>I23-I28</f>
        <v/>
      </c>
      <c r="J43" s="1304">
        <f>J23-J28</f>
        <v/>
      </c>
      <c r="K43" s="1258" t="n"/>
      <c r="L43" s="1304" t="n"/>
      <c r="M43" s="1258" t="n"/>
      <c r="N43" s="1304" t="n"/>
      <c r="O43" s="1258" t="n"/>
      <c r="P43" s="1304" t="n"/>
      <c r="Q43" s="1258" t="n"/>
      <c r="R43" s="1305" t="n"/>
    </row>
    <row r="44" ht="16.5" customHeight="1" s="838">
      <c r="B44" s="756" t="n"/>
      <c r="C44" s="738" t="n"/>
      <c r="D44" s="800" t="n"/>
      <c r="E44" s="738" t="n"/>
      <c r="F44" s="367" t="inlineStr">
        <is>
          <t>`26년 목표</t>
        </is>
      </c>
      <c r="G44" s="1258">
        <f>G24-G29</f>
        <v/>
      </c>
      <c r="H44" s="1304">
        <f>H24-H29</f>
        <v/>
      </c>
      <c r="I44" s="1258">
        <f>I24-I29</f>
        <v/>
      </c>
      <c r="J44" s="1304">
        <f>J24-J29</f>
        <v/>
      </c>
      <c r="K44" s="1258" t="n"/>
      <c r="L44" s="1304" t="n"/>
      <c r="M44" s="1258" t="n"/>
      <c r="N44" s="1304" t="n"/>
      <c r="O44" s="1258" t="n"/>
      <c r="P44" s="1304" t="n"/>
      <c r="Q44" s="1258" t="n"/>
      <c r="R44" s="1305" t="n"/>
    </row>
    <row r="45" ht="16.5" customHeight="1" s="838">
      <c r="B45" s="756" t="n"/>
      <c r="C45" s="738" t="n"/>
      <c r="D45" s="800" t="n"/>
      <c r="E45" s="738" t="n"/>
      <c r="F45" s="367" t="inlineStr">
        <is>
          <t>`26년 실적/예상</t>
        </is>
      </c>
      <c r="G45" s="1258">
        <f>G25-G30</f>
        <v/>
      </c>
      <c r="H45" s="1304">
        <f>H25-H30</f>
        <v/>
      </c>
      <c r="I45" s="1258">
        <f>I25-I30</f>
        <v/>
      </c>
      <c r="J45" s="1304">
        <f>J25-J30</f>
        <v/>
      </c>
      <c r="K45" s="1258" t="n"/>
      <c r="L45" s="1304" t="n"/>
      <c r="M45" s="1258" t="n"/>
      <c r="N45" s="1304" t="n"/>
      <c r="O45" s="1258" t="n"/>
      <c r="P45" s="1304" t="n"/>
      <c r="Q45" s="1258" t="n"/>
      <c r="R45" s="1305" t="n"/>
    </row>
    <row r="46" ht="16.5" customHeight="1" s="838">
      <c r="B46" s="756" t="n"/>
      <c r="C46" s="738" t="n"/>
      <c r="D46" s="800" t="n"/>
      <c r="E46" s="749" t="inlineStr">
        <is>
          <t>개선금액</t>
        </is>
      </c>
      <c r="F46" s="366" t="inlineStr">
        <is>
          <t>`26년 목표</t>
        </is>
      </c>
      <c r="G46" s="1263">
        <f>G$43-G44</f>
        <v/>
      </c>
      <c r="H46" s="1306">
        <f>H$43-H44</f>
        <v/>
      </c>
      <c r="I46" s="1263">
        <f>I$43-I44</f>
        <v/>
      </c>
      <c r="J46" s="1306">
        <f>J$43-J44</f>
        <v/>
      </c>
      <c r="K46" s="1263" t="n"/>
      <c r="L46" s="1306" t="n"/>
      <c r="M46" s="1263" t="n"/>
      <c r="N46" s="1306" t="n"/>
      <c r="O46" s="1263" t="n"/>
      <c r="P46" s="1306" t="n"/>
      <c r="Q46" s="1263" t="n"/>
      <c r="R46" s="1307" t="n"/>
    </row>
    <row r="47" ht="17.25" customHeight="1" s="838" thickBot="1">
      <c r="B47" s="757" t="n"/>
      <c r="C47" s="753" t="n"/>
      <c r="D47" s="746" t="n"/>
      <c r="E47" s="753" t="n"/>
      <c r="F47" s="582" t="inlineStr">
        <is>
          <t>`26년 실적/예상</t>
        </is>
      </c>
      <c r="G47" s="1273">
        <f>G$43-G45</f>
        <v/>
      </c>
      <c r="H47" s="1310">
        <f>H$43-H45</f>
        <v/>
      </c>
      <c r="I47" s="1273">
        <f>I$43-I45</f>
        <v/>
      </c>
      <c r="J47" s="1310">
        <f>J$43-J45</f>
        <v/>
      </c>
      <c r="K47" s="1273" t="n"/>
      <c r="L47" s="1310" t="n"/>
      <c r="M47" s="1273" t="n"/>
      <c r="N47" s="1310" t="n"/>
      <c r="O47" s="1273" t="n"/>
      <c r="P47" s="1310" t="n"/>
      <c r="Q47" s="1273" t="n"/>
      <c r="R47" s="1311" t="n"/>
    </row>
    <row r="48" ht="16.5" customHeight="1" s="838" thickBot="1">
      <c r="B48" s="758" t="inlineStr">
        <is>
          <t>사업부 외</t>
        </is>
      </c>
      <c r="C48" s="802" t="inlineStr">
        <is>
          <t>Uncontrol</t>
        </is>
      </c>
      <c r="D48" s="805" t="inlineStr">
        <is>
          <t>부문1</t>
        </is>
      </c>
      <c r="E48" s="798" t="inlineStr">
        <is>
          <t>고정비</t>
        </is>
      </c>
      <c r="F48" s="591" t="inlineStr">
        <is>
          <t>`25년 실적</t>
        </is>
      </c>
      <c r="G48" s="1253">
        <f>고정비_UnControl!G18</f>
        <v/>
      </c>
      <c r="H48" s="1302">
        <f>고정비_UnControl!H18</f>
        <v/>
      </c>
      <c r="I48" s="1253">
        <f>고정비_UnControl!I18</f>
        <v/>
      </c>
      <c r="J48" s="1302">
        <f>고정비_UnControl!J18</f>
        <v/>
      </c>
      <c r="K48" s="1255" t="n"/>
      <c r="L48" s="1302" t="n"/>
      <c r="M48" s="1253" t="n"/>
      <c r="N48" s="1302" t="n"/>
      <c r="O48" s="1253" t="n"/>
      <c r="P48" s="1302" t="n"/>
      <c r="Q48" s="1253" t="n"/>
      <c r="R48" s="1303" t="n"/>
    </row>
    <row r="49" ht="16.5" customHeight="1" s="838">
      <c r="B49" s="756" t="n"/>
      <c r="C49" s="738" t="n"/>
      <c r="D49" s="800" t="n"/>
      <c r="E49" s="738" t="n"/>
      <c r="F49" s="367" t="inlineStr">
        <is>
          <t>`26년 목표</t>
        </is>
      </c>
      <c r="G49" s="1258">
        <f>고정비_UnControl!G19</f>
        <v/>
      </c>
      <c r="H49" s="1304">
        <f>고정비_UnControl!H19</f>
        <v/>
      </c>
      <c r="I49" s="1258">
        <f>고정비_UnControl!I19</f>
        <v/>
      </c>
      <c r="J49" s="1304">
        <f>고정비_UnControl!J19</f>
        <v/>
      </c>
      <c r="K49" s="1260" t="n"/>
      <c r="L49" s="1304" t="n"/>
      <c r="M49" s="1258" t="n"/>
      <c r="N49" s="1304" t="n"/>
      <c r="O49" s="1258" t="n"/>
      <c r="P49" s="1304" t="n"/>
      <c r="Q49" s="1258" t="n"/>
      <c r="R49" s="1305" t="n"/>
      <c r="S49" s="931" t="n"/>
    </row>
    <row r="50" ht="16.5" customHeight="1" s="838">
      <c r="B50" s="756" t="n"/>
      <c r="C50" s="738" t="n"/>
      <c r="D50" s="800" t="n"/>
      <c r="E50" s="738" t="n"/>
      <c r="F50" s="367" t="inlineStr">
        <is>
          <t>`26년 실적/예상</t>
        </is>
      </c>
      <c r="G50" s="1258">
        <f>고정비_UnControl!G20</f>
        <v/>
      </c>
      <c r="H50" s="1304">
        <f>고정비_UnControl!H20</f>
        <v/>
      </c>
      <c r="I50" s="1258">
        <f>고정비_UnControl!I20</f>
        <v/>
      </c>
      <c r="J50" s="1304">
        <f>고정비_UnControl!J20</f>
        <v/>
      </c>
      <c r="K50" s="1260" t="n"/>
      <c r="L50" s="1304" t="n"/>
      <c r="M50" s="1258" t="n"/>
      <c r="N50" s="1304" t="n"/>
      <c r="O50" s="1258" t="n"/>
      <c r="P50" s="1304" t="n"/>
      <c r="Q50" s="1258" t="n"/>
      <c r="R50" s="1305" t="n"/>
    </row>
    <row r="51" ht="16.5" customHeight="1" s="838">
      <c r="B51" s="756" t="n"/>
      <c r="C51" s="738" t="n"/>
      <c r="D51" s="800" t="n"/>
      <c r="E51" s="737" t="inlineStr">
        <is>
          <t>개선금액</t>
        </is>
      </c>
      <c r="F51" s="366" t="inlineStr">
        <is>
          <t>`26년 목표</t>
        </is>
      </c>
      <c r="G51" s="1263">
        <f>G$48-G49</f>
        <v/>
      </c>
      <c r="H51" s="1306">
        <f>H$48-H49</f>
        <v/>
      </c>
      <c r="I51" s="1263">
        <f>I$48-I49</f>
        <v/>
      </c>
      <c r="J51" s="1306">
        <f>J$48-J49</f>
        <v/>
      </c>
      <c r="K51" s="1265" t="n"/>
      <c r="L51" s="1306" t="n"/>
      <c r="M51" s="1263" t="n"/>
      <c r="N51" s="1306" t="n"/>
      <c r="O51" s="1263" t="n"/>
      <c r="P51" s="1306" t="n"/>
      <c r="Q51" s="1263" t="n"/>
      <c r="R51" s="1307" t="n"/>
    </row>
    <row r="52" ht="16.5" customHeight="1" s="838">
      <c r="B52" s="756" t="n"/>
      <c r="C52" s="738" t="n"/>
      <c r="D52" s="735" t="n"/>
      <c r="E52" s="739" t="n"/>
      <c r="F52" s="368" t="inlineStr">
        <is>
          <t>`26년 실적/예상</t>
        </is>
      </c>
      <c r="G52" s="1268">
        <f>G$48-G50</f>
        <v/>
      </c>
      <c r="H52" s="1308">
        <f>H$48-H50</f>
        <v/>
      </c>
      <c r="I52" s="1268">
        <f>I$48-I50</f>
        <v/>
      </c>
      <c r="J52" s="1308">
        <f>J$48-J50</f>
        <v/>
      </c>
      <c r="K52" s="1270" t="n"/>
      <c r="L52" s="1308" t="n"/>
      <c r="M52" s="1268" t="n"/>
      <c r="N52" s="1308" t="n"/>
      <c r="O52" s="1268" t="n"/>
      <c r="P52" s="1308" t="n"/>
      <c r="Q52" s="1268" t="n"/>
      <c r="R52" s="1309" t="n"/>
    </row>
    <row r="53" ht="16.5" customHeight="1" s="838">
      <c r="B53" s="756" t="n"/>
      <c r="C53" s="797" t="inlineStr">
        <is>
          <t>Uncontrol</t>
        </is>
      </c>
      <c r="D53" s="799" t="inlineStr">
        <is>
          <t>부문2</t>
        </is>
      </c>
      <c r="E53" s="782" t="inlineStr">
        <is>
          <t>고정비</t>
        </is>
      </c>
      <c r="F53" s="367" t="inlineStr">
        <is>
          <t>`25년 실적</t>
        </is>
      </c>
      <c r="G53" s="1258">
        <f>고정비_UnControl!G23</f>
        <v/>
      </c>
      <c r="H53" s="1304">
        <f>고정비_UnControl!H23</f>
        <v/>
      </c>
      <c r="I53" s="1258">
        <f>고정비_UnControl!I23</f>
        <v/>
      </c>
      <c r="J53" s="1304">
        <f>고정비_UnControl!J23</f>
        <v/>
      </c>
      <c r="K53" s="1260" t="n"/>
      <c r="L53" s="1304" t="n"/>
      <c r="M53" s="1258" t="n"/>
      <c r="N53" s="1304" t="n"/>
      <c r="O53" s="1258" t="n"/>
      <c r="P53" s="1304" t="n"/>
      <c r="Q53" s="1258" t="n"/>
      <c r="R53" s="1305" t="n"/>
    </row>
    <row r="54" ht="16.5" customHeight="1" s="838">
      <c r="B54" s="756" t="n"/>
      <c r="C54" s="738" t="n"/>
      <c r="D54" s="800" t="n"/>
      <c r="E54" s="738" t="n"/>
      <c r="F54" s="367" t="inlineStr">
        <is>
          <t>`26년 목표</t>
        </is>
      </c>
      <c r="G54" s="1258">
        <f>고정비_UnControl!G24</f>
        <v/>
      </c>
      <c r="H54" s="1304">
        <f>고정비_UnControl!H24</f>
        <v/>
      </c>
      <c r="I54" s="1258">
        <f>고정비_UnControl!I24</f>
        <v/>
      </c>
      <c r="J54" s="1304">
        <f>고정비_UnControl!J24</f>
        <v/>
      </c>
      <c r="K54" s="1260" t="n"/>
      <c r="L54" s="1304" t="n"/>
      <c r="M54" s="1258" t="n"/>
      <c r="N54" s="1304" t="n"/>
      <c r="O54" s="1258" t="n"/>
      <c r="P54" s="1304" t="n"/>
      <c r="Q54" s="1258" t="n"/>
      <c r="R54" s="1305" t="n"/>
      <c r="S54" s="931" t="n"/>
    </row>
    <row r="55" ht="16.5" customHeight="1" s="838">
      <c r="B55" s="756" t="n"/>
      <c r="C55" s="738" t="n"/>
      <c r="D55" s="800" t="n"/>
      <c r="E55" s="738" t="n"/>
      <c r="F55" s="367" t="inlineStr">
        <is>
          <t>`26년 실적/예상</t>
        </is>
      </c>
      <c r="G55" s="1258">
        <f>고정비_UnControl!G25</f>
        <v/>
      </c>
      <c r="H55" s="1304">
        <f>고정비_UnControl!H25</f>
        <v/>
      </c>
      <c r="I55" s="1258">
        <f>고정비_UnControl!I25</f>
        <v/>
      </c>
      <c r="J55" s="1304">
        <f>고정비_UnControl!J25</f>
        <v/>
      </c>
      <c r="K55" s="1260" t="n"/>
      <c r="L55" s="1304" t="n"/>
      <c r="M55" s="1258" t="n"/>
      <c r="N55" s="1304" t="n"/>
      <c r="O55" s="1258" t="n"/>
      <c r="P55" s="1304" t="n"/>
      <c r="Q55" s="1258" t="n"/>
      <c r="R55" s="1305" t="n"/>
    </row>
    <row r="56" ht="16.5" customHeight="1" s="838">
      <c r="B56" s="756" t="n"/>
      <c r="C56" s="738" t="n"/>
      <c r="D56" s="800" t="n"/>
      <c r="E56" s="737" t="inlineStr">
        <is>
          <t>개선금액</t>
        </is>
      </c>
      <c r="F56" s="366" t="inlineStr">
        <is>
          <t>`26년 목표</t>
        </is>
      </c>
      <c r="G56" s="1263">
        <f>G$53-G54</f>
        <v/>
      </c>
      <c r="H56" s="1306">
        <f>H$53-H54</f>
        <v/>
      </c>
      <c r="I56" s="1263">
        <f>I$53-I54</f>
        <v/>
      </c>
      <c r="J56" s="1306">
        <f>J$53-J54</f>
        <v/>
      </c>
      <c r="K56" s="1265" t="n"/>
      <c r="L56" s="1306" t="n"/>
      <c r="M56" s="1263" t="n"/>
      <c r="N56" s="1306" t="n"/>
      <c r="O56" s="1263" t="n"/>
      <c r="P56" s="1306" t="n"/>
      <c r="Q56" s="1263" t="n"/>
      <c r="R56" s="1307" t="n"/>
    </row>
    <row r="57" ht="16.5" customHeight="1" s="838">
      <c r="B57" s="756" t="n"/>
      <c r="C57" s="738" t="n"/>
      <c r="D57" s="735" t="n"/>
      <c r="E57" s="739" t="n"/>
      <c r="F57" s="368" t="inlineStr">
        <is>
          <t>`26년 실적/예상</t>
        </is>
      </c>
      <c r="G57" s="1268">
        <f>G$53-G55</f>
        <v/>
      </c>
      <c r="H57" s="1308">
        <f>H$53-H55</f>
        <v/>
      </c>
      <c r="I57" s="1268">
        <f>I$53-I55</f>
        <v/>
      </c>
      <c r="J57" s="1308">
        <f>J$53-J55</f>
        <v/>
      </c>
      <c r="K57" s="1270" t="n"/>
      <c r="L57" s="1308" t="n"/>
      <c r="M57" s="1268" t="n"/>
      <c r="N57" s="1308" t="n"/>
      <c r="O57" s="1268" t="n"/>
      <c r="P57" s="1308" t="n"/>
      <c r="Q57" s="1268" t="n"/>
      <c r="R57" s="1309" t="n"/>
    </row>
    <row r="58" ht="16.5" customHeight="1" s="838">
      <c r="B58" s="756" t="n"/>
      <c r="C58" s="797" t="inlineStr">
        <is>
          <t>Uncontrol</t>
        </is>
      </c>
      <c r="D58" s="799" t="inlineStr">
        <is>
          <t>부문3</t>
        </is>
      </c>
      <c r="E58" s="782" t="inlineStr">
        <is>
          <t>고정비</t>
        </is>
      </c>
      <c r="F58" s="367" t="inlineStr">
        <is>
          <t>`25년 실적</t>
        </is>
      </c>
      <c r="G58" s="1258">
        <f>고정비_UnControl!G28</f>
        <v/>
      </c>
      <c r="H58" s="1304">
        <f>고정비_UnControl!H28</f>
        <v/>
      </c>
      <c r="I58" s="1258">
        <f>고정비_UnControl!I28</f>
        <v/>
      </c>
      <c r="J58" s="1304">
        <f>고정비_UnControl!J28</f>
        <v/>
      </c>
      <c r="K58" s="1260" t="n"/>
      <c r="L58" s="1304" t="n"/>
      <c r="M58" s="1258" t="n"/>
      <c r="N58" s="1304" t="n"/>
      <c r="O58" s="1258" t="n"/>
      <c r="P58" s="1304" t="n"/>
      <c r="Q58" s="1258" t="n"/>
      <c r="R58" s="1305" t="n"/>
    </row>
    <row r="59" ht="16.5" customHeight="1" s="838">
      <c r="B59" s="756" t="n"/>
      <c r="C59" s="738" t="n"/>
      <c r="D59" s="800" t="n"/>
      <c r="E59" s="738" t="n"/>
      <c r="F59" s="367" t="inlineStr">
        <is>
          <t>`26년 목표</t>
        </is>
      </c>
      <c r="G59" s="1258">
        <f>고정비_UnControl!G29</f>
        <v/>
      </c>
      <c r="H59" s="1304">
        <f>고정비_UnControl!H29</f>
        <v/>
      </c>
      <c r="I59" s="1258">
        <f>고정비_UnControl!I29</f>
        <v/>
      </c>
      <c r="J59" s="1304">
        <f>고정비_UnControl!J29</f>
        <v/>
      </c>
      <c r="K59" s="1260" t="n"/>
      <c r="L59" s="1304" t="n"/>
      <c r="M59" s="1258" t="n"/>
      <c r="N59" s="1304" t="n"/>
      <c r="O59" s="1258" t="n"/>
      <c r="P59" s="1304" t="n"/>
      <c r="Q59" s="1258" t="n"/>
      <c r="R59" s="1305" t="n"/>
      <c r="S59" s="931" t="n"/>
    </row>
    <row r="60" ht="16.5" customHeight="1" s="838">
      <c r="B60" s="756" t="n"/>
      <c r="C60" s="738" t="n"/>
      <c r="D60" s="800" t="n"/>
      <c r="E60" s="738" t="n"/>
      <c r="F60" s="367" t="inlineStr">
        <is>
          <t>`26년 실적/예상</t>
        </is>
      </c>
      <c r="G60" s="1258">
        <f>고정비_UnControl!G30</f>
        <v/>
      </c>
      <c r="H60" s="1304">
        <f>고정비_UnControl!H30</f>
        <v/>
      </c>
      <c r="I60" s="1258">
        <f>고정비_UnControl!I30</f>
        <v/>
      </c>
      <c r="J60" s="1304">
        <f>고정비_UnControl!J30</f>
        <v/>
      </c>
      <c r="K60" s="1260" t="n"/>
      <c r="L60" s="1304" t="n"/>
      <c r="M60" s="1258" t="n"/>
      <c r="N60" s="1304" t="n"/>
      <c r="O60" s="1258" t="n"/>
      <c r="P60" s="1304" t="n"/>
      <c r="Q60" s="1258" t="n"/>
      <c r="R60" s="1305" t="n"/>
    </row>
    <row r="61" ht="16.5" customHeight="1" s="838">
      <c r="B61" s="756" t="n"/>
      <c r="C61" s="738" t="n"/>
      <c r="D61" s="800" t="n"/>
      <c r="E61" s="737" t="inlineStr">
        <is>
          <t>개선금액</t>
        </is>
      </c>
      <c r="F61" s="366" t="inlineStr">
        <is>
          <t>`26년 목표</t>
        </is>
      </c>
      <c r="G61" s="1263">
        <f>G$58-G59</f>
        <v/>
      </c>
      <c r="H61" s="1306">
        <f>H$58-H59</f>
        <v/>
      </c>
      <c r="I61" s="1263">
        <f>I$58-I59</f>
        <v/>
      </c>
      <c r="J61" s="1306">
        <f>J$58-J59</f>
        <v/>
      </c>
      <c r="K61" s="1265" t="n"/>
      <c r="L61" s="1306" t="n"/>
      <c r="M61" s="1263" t="n"/>
      <c r="N61" s="1306" t="n"/>
      <c r="O61" s="1263" t="n"/>
      <c r="P61" s="1306" t="n"/>
      <c r="Q61" s="1263" t="n"/>
      <c r="R61" s="1307" t="n"/>
    </row>
    <row r="62" ht="16.5" customHeight="1" s="838">
      <c r="B62" s="756" t="n"/>
      <c r="C62" s="738" t="n"/>
      <c r="D62" s="735" t="n"/>
      <c r="E62" s="739" t="n"/>
      <c r="F62" s="368" t="inlineStr">
        <is>
          <t>`26년 실적/예상</t>
        </is>
      </c>
      <c r="G62" s="1268">
        <f>G$58-G60</f>
        <v/>
      </c>
      <c r="H62" s="1308">
        <f>H$58-H60</f>
        <v/>
      </c>
      <c r="I62" s="1268">
        <f>I$58-I60</f>
        <v/>
      </c>
      <c r="J62" s="1308">
        <f>J$58-J60</f>
        <v/>
      </c>
      <c r="K62" s="1270" t="n"/>
      <c r="L62" s="1308" t="n"/>
      <c r="M62" s="1268" t="n"/>
      <c r="N62" s="1308" t="n"/>
      <c r="O62" s="1268" t="n"/>
      <c r="P62" s="1308" t="n"/>
      <c r="Q62" s="1268" t="n"/>
      <c r="R62" s="1309" t="n"/>
    </row>
    <row r="63" ht="16.5" customHeight="1" s="838">
      <c r="B63" s="756" t="n"/>
      <c r="C63" s="797" t="inlineStr">
        <is>
          <t>Uncontrol</t>
        </is>
      </c>
      <c r="D63" s="799" t="inlineStr">
        <is>
          <t>부문4</t>
        </is>
      </c>
      <c r="E63" s="782" t="inlineStr">
        <is>
          <t>고정비</t>
        </is>
      </c>
      <c r="F63" s="367" t="inlineStr">
        <is>
          <t>`25년 실적</t>
        </is>
      </c>
      <c r="G63" s="1258">
        <f>고정비_UnControl!G33</f>
        <v/>
      </c>
      <c r="H63" s="1304">
        <f>고정비_UnControl!H33</f>
        <v/>
      </c>
      <c r="I63" s="1258">
        <f>고정비_UnControl!I33</f>
        <v/>
      </c>
      <c r="J63" s="1304">
        <f>고정비_UnControl!J33</f>
        <v/>
      </c>
      <c r="K63" s="1260" t="n"/>
      <c r="L63" s="1304" t="n"/>
      <c r="M63" s="1258" t="n"/>
      <c r="N63" s="1304" t="n"/>
      <c r="O63" s="1258" t="n"/>
      <c r="P63" s="1304" t="n"/>
      <c r="Q63" s="1258" t="n"/>
      <c r="R63" s="1305" t="n"/>
    </row>
    <row r="64" ht="16.5" customHeight="1" s="838">
      <c r="B64" s="756" t="n"/>
      <c r="C64" s="738" t="n"/>
      <c r="D64" s="800" t="n"/>
      <c r="E64" s="738" t="n"/>
      <c r="F64" s="367" t="inlineStr">
        <is>
          <t>`26년 목표</t>
        </is>
      </c>
      <c r="G64" s="1258">
        <f>고정비_UnControl!G34</f>
        <v/>
      </c>
      <c r="H64" s="1304">
        <f>고정비_UnControl!H34</f>
        <v/>
      </c>
      <c r="I64" s="1258">
        <f>고정비_UnControl!I34</f>
        <v/>
      </c>
      <c r="J64" s="1304">
        <f>고정비_UnControl!J34</f>
        <v/>
      </c>
      <c r="K64" s="1260" t="n"/>
      <c r="L64" s="1304" t="n"/>
      <c r="M64" s="1258" t="n"/>
      <c r="N64" s="1304" t="n"/>
      <c r="O64" s="1258" t="n"/>
      <c r="P64" s="1304" t="n"/>
      <c r="Q64" s="1258" t="n"/>
      <c r="R64" s="1305" t="n"/>
      <c r="S64" s="931" t="n"/>
    </row>
    <row r="65" ht="16.5" customHeight="1" s="838">
      <c r="B65" s="756" t="n"/>
      <c r="C65" s="738" t="n"/>
      <c r="D65" s="800" t="n"/>
      <c r="E65" s="738" t="n"/>
      <c r="F65" s="367" t="inlineStr">
        <is>
          <t>`26년 실적/예상</t>
        </is>
      </c>
      <c r="G65" s="1258">
        <f>고정비_UnControl!G35</f>
        <v/>
      </c>
      <c r="H65" s="1304">
        <f>고정비_UnControl!H35</f>
        <v/>
      </c>
      <c r="I65" s="1258">
        <f>고정비_UnControl!I35</f>
        <v/>
      </c>
      <c r="J65" s="1304">
        <f>고정비_UnControl!J35</f>
        <v/>
      </c>
      <c r="K65" s="1260" t="n"/>
      <c r="L65" s="1304" t="n"/>
      <c r="M65" s="1258" t="n"/>
      <c r="N65" s="1304" t="n"/>
      <c r="O65" s="1258" t="n"/>
      <c r="P65" s="1304" t="n"/>
      <c r="Q65" s="1258" t="n"/>
      <c r="R65" s="1305" t="n"/>
    </row>
    <row r="66" ht="16.5" customHeight="1" s="838">
      <c r="B66" s="756" t="n"/>
      <c r="C66" s="738" t="n"/>
      <c r="D66" s="800" t="n"/>
      <c r="E66" s="737" t="inlineStr">
        <is>
          <t>개선금액</t>
        </is>
      </c>
      <c r="F66" s="366" t="inlineStr">
        <is>
          <t>`26년 목표</t>
        </is>
      </c>
      <c r="G66" s="1263">
        <f>G$63-G64</f>
        <v/>
      </c>
      <c r="H66" s="1306">
        <f>H$63-H64</f>
        <v/>
      </c>
      <c r="I66" s="1263">
        <f>I$63-I64</f>
        <v/>
      </c>
      <c r="J66" s="1306">
        <f>J$63-J64</f>
        <v/>
      </c>
      <c r="K66" s="1265" t="n"/>
      <c r="L66" s="1306" t="n"/>
      <c r="M66" s="1263" t="n"/>
      <c r="N66" s="1306" t="n"/>
      <c r="O66" s="1263" t="n"/>
      <c r="P66" s="1306" t="n"/>
      <c r="Q66" s="1263" t="n"/>
      <c r="R66" s="1307" t="n"/>
    </row>
    <row r="67" ht="16.5" customHeight="1" s="838">
      <c r="B67" s="756" t="n"/>
      <c r="C67" s="738" t="n"/>
      <c r="D67" s="735" t="n"/>
      <c r="E67" s="739" t="n"/>
      <c r="F67" s="368" t="inlineStr">
        <is>
          <t>`26년 실적/예상</t>
        </is>
      </c>
      <c r="G67" s="1268">
        <f>G$63-G65</f>
        <v/>
      </c>
      <c r="H67" s="1308">
        <f>H$63-H65</f>
        <v/>
      </c>
      <c r="I67" s="1268">
        <f>I$63-I65</f>
        <v/>
      </c>
      <c r="J67" s="1308">
        <f>J$63-J65</f>
        <v/>
      </c>
      <c r="K67" s="1270" t="n"/>
      <c r="L67" s="1308" t="n"/>
      <c r="M67" s="1268" t="n"/>
      <c r="N67" s="1308" t="n"/>
      <c r="O67" s="1268" t="n"/>
      <c r="P67" s="1308" t="n"/>
      <c r="Q67" s="1268" t="n"/>
      <c r="R67" s="1309" t="n"/>
    </row>
    <row r="68" ht="16.5" customHeight="1" s="838">
      <c r="B68" s="756" t="n"/>
      <c r="C68" s="797" t="inlineStr">
        <is>
          <t>Uncontrol</t>
        </is>
      </c>
      <c r="D68" s="799" t="inlineStr">
        <is>
          <t>부문7</t>
        </is>
      </c>
      <c r="E68" s="782" t="inlineStr">
        <is>
          <t>고정비</t>
        </is>
      </c>
      <c r="F68" s="367" t="inlineStr">
        <is>
          <t>`25년 실적</t>
        </is>
      </c>
      <c r="G68" s="1258">
        <f>고정비_UnControl!G53</f>
        <v/>
      </c>
      <c r="H68" s="1304">
        <f>고정비_UnControl!H53</f>
        <v/>
      </c>
      <c r="I68" s="1258">
        <f>고정비_UnControl!I53</f>
        <v/>
      </c>
      <c r="J68" s="1304">
        <f>고정비_UnControl!J53</f>
        <v/>
      </c>
      <c r="K68" s="1260" t="n"/>
      <c r="L68" s="1304" t="n"/>
      <c r="M68" s="1258" t="n"/>
      <c r="N68" s="1304" t="n"/>
      <c r="O68" s="1258" t="n"/>
      <c r="P68" s="1304" t="n"/>
      <c r="Q68" s="1258" t="n"/>
      <c r="R68" s="1305" t="n"/>
    </row>
    <row r="69" ht="16.5" customHeight="1" s="838">
      <c r="B69" s="756" t="n"/>
      <c r="C69" s="738" t="n"/>
      <c r="D69" s="800" t="n"/>
      <c r="E69" s="738" t="n"/>
      <c r="F69" s="367" t="inlineStr">
        <is>
          <t>`26년 목표</t>
        </is>
      </c>
      <c r="G69" s="1258">
        <f>고정비_UnControl!G54</f>
        <v/>
      </c>
      <c r="H69" s="1304">
        <f>고정비_UnControl!H54</f>
        <v/>
      </c>
      <c r="I69" s="1258">
        <f>고정비_UnControl!I54</f>
        <v/>
      </c>
      <c r="J69" s="1304">
        <f>고정비_UnControl!J54</f>
        <v/>
      </c>
      <c r="K69" s="1260" t="n"/>
      <c r="L69" s="1304" t="n"/>
      <c r="M69" s="1258" t="n"/>
      <c r="N69" s="1304" t="n"/>
      <c r="O69" s="1258" t="n"/>
      <c r="P69" s="1304" t="n"/>
      <c r="Q69" s="1258" t="n"/>
      <c r="R69" s="1305" t="n"/>
      <c r="S69" s="931" t="n"/>
    </row>
    <row r="70" ht="16.5" customHeight="1" s="838">
      <c r="B70" s="756" t="n"/>
      <c r="C70" s="738" t="n"/>
      <c r="D70" s="800" t="n"/>
      <c r="E70" s="738" t="n"/>
      <c r="F70" s="367" t="inlineStr">
        <is>
          <t>`26년 실적/예상</t>
        </is>
      </c>
      <c r="G70" s="1258">
        <f>고정비_UnControl!G55</f>
        <v/>
      </c>
      <c r="H70" s="1304">
        <f>고정비_UnControl!H55</f>
        <v/>
      </c>
      <c r="I70" s="1258">
        <f>고정비_UnControl!I55</f>
        <v/>
      </c>
      <c r="J70" s="1304">
        <f>고정비_UnControl!J55</f>
        <v/>
      </c>
      <c r="K70" s="1260" t="n"/>
      <c r="L70" s="1304" t="n"/>
      <c r="M70" s="1258" t="n"/>
      <c r="N70" s="1304" t="n"/>
      <c r="O70" s="1258" t="n"/>
      <c r="P70" s="1304" t="n"/>
      <c r="Q70" s="1258" t="n"/>
      <c r="R70" s="1305" t="n"/>
    </row>
    <row r="71" ht="16.5" customHeight="1" s="838">
      <c r="B71" s="756" t="n"/>
      <c r="C71" s="738" t="n"/>
      <c r="D71" s="800" t="n"/>
      <c r="E71" s="737" t="inlineStr">
        <is>
          <t>개선금액</t>
        </is>
      </c>
      <c r="F71" s="366" t="inlineStr">
        <is>
          <t>`26년 목표</t>
        </is>
      </c>
      <c r="G71" s="1263">
        <f>G$68-G69</f>
        <v/>
      </c>
      <c r="H71" s="1306">
        <f>H$68-H69</f>
        <v/>
      </c>
      <c r="I71" s="1263">
        <f>I$68-I69</f>
        <v/>
      </c>
      <c r="J71" s="1306">
        <f>J$68-J69</f>
        <v/>
      </c>
      <c r="K71" s="1265" t="n"/>
      <c r="L71" s="1306" t="n"/>
      <c r="M71" s="1263" t="n"/>
      <c r="N71" s="1306" t="n"/>
      <c r="O71" s="1263" t="n"/>
      <c r="P71" s="1306" t="n"/>
      <c r="Q71" s="1263" t="n"/>
      <c r="R71" s="1307" t="n"/>
    </row>
    <row r="72" ht="16.5" customHeight="1" s="838">
      <c r="B72" s="756" t="n"/>
      <c r="C72" s="738" t="n"/>
      <c r="D72" s="735" t="n"/>
      <c r="E72" s="739" t="n"/>
      <c r="F72" s="368" t="inlineStr">
        <is>
          <t>`26년 실적/예상</t>
        </is>
      </c>
      <c r="G72" s="1268">
        <f>G$68-G70</f>
        <v/>
      </c>
      <c r="H72" s="1308">
        <f>H$68-H70</f>
        <v/>
      </c>
      <c r="I72" s="1268">
        <f>I$68-I70</f>
        <v/>
      </c>
      <c r="J72" s="1308">
        <f>J$68-J70</f>
        <v/>
      </c>
      <c r="K72" s="1270" t="n"/>
      <c r="L72" s="1308" t="n"/>
      <c r="M72" s="1268" t="n"/>
      <c r="N72" s="1308" t="n"/>
      <c r="O72" s="1268" t="n"/>
      <c r="P72" s="1308" t="n"/>
      <c r="Q72" s="1268" t="n"/>
      <c r="R72" s="1309" t="n"/>
    </row>
    <row r="73" ht="16.5" customHeight="1" s="838">
      <c r="B73" s="756" t="n"/>
      <c r="C73" s="733" t="inlineStr">
        <is>
          <t>Uncontrol</t>
        </is>
      </c>
      <c r="D73" s="796" t="inlineStr">
        <is>
          <t>부문8</t>
        </is>
      </c>
      <c r="E73" s="754" t="inlineStr">
        <is>
          <t>고정비</t>
        </is>
      </c>
      <c r="F73" s="367" t="inlineStr">
        <is>
          <t>`25년 실적</t>
        </is>
      </c>
      <c r="G73" s="1258">
        <f>고정비_UnControl!G58</f>
        <v/>
      </c>
      <c r="H73" s="1304">
        <f>고정비_UnControl!H58</f>
        <v/>
      </c>
      <c r="I73" s="1258">
        <f>고정비_UnControl!I58</f>
        <v/>
      </c>
      <c r="J73" s="1304">
        <f>고정비_UnControl!J58</f>
        <v/>
      </c>
      <c r="K73" s="1260" t="n"/>
      <c r="L73" s="1304" t="n"/>
      <c r="M73" s="1258" t="n"/>
      <c r="N73" s="1304" t="n"/>
      <c r="O73" s="1258" t="n"/>
      <c r="P73" s="1304" t="n"/>
      <c r="Q73" s="1258" t="n"/>
      <c r="R73" s="1305" t="n"/>
    </row>
    <row r="74" ht="16.5" customHeight="1" s="838">
      <c r="B74" s="756" t="n"/>
      <c r="C74" s="738" t="n"/>
      <c r="D74" s="738" t="n"/>
      <c r="E74" s="738" t="n"/>
      <c r="F74" s="367" t="inlineStr">
        <is>
          <t>`26년 목표</t>
        </is>
      </c>
      <c r="G74" s="1258">
        <f>고정비_UnControl!G59</f>
        <v/>
      </c>
      <c r="H74" s="1304">
        <f>고정비_UnControl!H59</f>
        <v/>
      </c>
      <c r="I74" s="1258">
        <f>고정비_UnControl!I59</f>
        <v/>
      </c>
      <c r="J74" s="1304">
        <f>고정비_UnControl!J59</f>
        <v/>
      </c>
      <c r="K74" s="1260" t="n"/>
      <c r="L74" s="1304" t="n"/>
      <c r="M74" s="1258" t="n"/>
      <c r="N74" s="1304" t="n"/>
      <c r="O74" s="1258" t="n"/>
      <c r="P74" s="1304" t="n"/>
      <c r="Q74" s="1258" t="n"/>
      <c r="R74" s="1305" t="n"/>
      <c r="S74" s="931" t="n"/>
    </row>
    <row r="75" ht="16.5" customHeight="1" s="838">
      <c r="B75" s="756" t="n"/>
      <c r="C75" s="738" t="n"/>
      <c r="D75" s="738" t="n"/>
      <c r="E75" s="739" t="n"/>
      <c r="F75" s="367" t="inlineStr">
        <is>
          <t>`26년 실적/예상</t>
        </is>
      </c>
      <c r="G75" s="1258">
        <f>고정비_UnControl!G60</f>
        <v/>
      </c>
      <c r="H75" s="1304">
        <f>고정비_UnControl!H60</f>
        <v/>
      </c>
      <c r="I75" s="1258">
        <f>고정비_UnControl!I60</f>
        <v/>
      </c>
      <c r="J75" s="1304">
        <f>고정비_UnControl!J60</f>
        <v/>
      </c>
      <c r="K75" s="1260" t="n"/>
      <c r="L75" s="1304" t="n"/>
      <c r="M75" s="1258" t="n"/>
      <c r="N75" s="1304" t="n"/>
      <c r="O75" s="1258" t="n"/>
      <c r="P75" s="1304" t="n"/>
      <c r="Q75" s="1258" t="n"/>
      <c r="R75" s="1305" t="n"/>
    </row>
    <row r="76" ht="16.5" customHeight="1" s="838">
      <c r="B76" s="756" t="n"/>
      <c r="C76" s="738" t="n"/>
      <c r="D76" s="738" t="n"/>
      <c r="E76" s="737" t="inlineStr">
        <is>
          <t>개선금액</t>
        </is>
      </c>
      <c r="F76" s="366" t="inlineStr">
        <is>
          <t>`26년 목표</t>
        </is>
      </c>
      <c r="G76" s="1263">
        <f>G$73-G74</f>
        <v/>
      </c>
      <c r="H76" s="1306">
        <f>H$73-H74</f>
        <v/>
      </c>
      <c r="I76" s="1263">
        <f>I$73-I74</f>
        <v/>
      </c>
      <c r="J76" s="1306">
        <f>J$73-J74</f>
        <v/>
      </c>
      <c r="K76" s="1265" t="n"/>
      <c r="L76" s="1306" t="n"/>
      <c r="M76" s="1263" t="n"/>
      <c r="N76" s="1306" t="n"/>
      <c r="O76" s="1263" t="n"/>
      <c r="P76" s="1306" t="n"/>
      <c r="Q76" s="1263" t="n"/>
      <c r="R76" s="1307" t="n"/>
    </row>
    <row r="77" ht="16.5" customHeight="1" s="838">
      <c r="B77" s="756" t="n"/>
      <c r="C77" s="739" t="n"/>
      <c r="D77" s="739" t="n"/>
      <c r="E77" s="739" t="n"/>
      <c r="F77" s="368" t="inlineStr">
        <is>
          <t>`26년 실적/예상</t>
        </is>
      </c>
      <c r="G77" s="1268">
        <f>G$73-G75</f>
        <v/>
      </c>
      <c r="H77" s="1308">
        <f>H$73-H75</f>
        <v/>
      </c>
      <c r="I77" s="1268">
        <f>I$73-I75</f>
        <v/>
      </c>
      <c r="J77" s="1308">
        <f>J$73-J75</f>
        <v/>
      </c>
      <c r="K77" s="1270" t="n"/>
      <c r="L77" s="1308" t="n"/>
      <c r="M77" s="1268" t="n"/>
      <c r="N77" s="1308" t="n"/>
      <c r="O77" s="1268" t="n"/>
      <c r="P77" s="1308" t="n"/>
      <c r="Q77" s="1268" t="n"/>
      <c r="R77" s="1309" t="n"/>
    </row>
    <row r="78" ht="16.5" customHeight="1" s="838">
      <c r="B78" s="756" t="n"/>
      <c r="C78" s="733" t="inlineStr">
        <is>
          <t>Uncontrol</t>
        </is>
      </c>
      <c r="D78" s="796" t="inlineStr">
        <is>
          <t>부문9</t>
        </is>
      </c>
      <c r="E78" s="737" t="inlineStr">
        <is>
          <t>고정비</t>
        </is>
      </c>
      <c r="F78" s="366" t="inlineStr">
        <is>
          <t>`25년 실적</t>
        </is>
      </c>
      <c r="G78" s="1263">
        <f>고정비_UnControl!G63</f>
        <v/>
      </c>
      <c r="H78" s="1306">
        <f>고정비_UnControl!H63</f>
        <v/>
      </c>
      <c r="I78" s="1263">
        <f>고정비_UnControl!I63</f>
        <v/>
      </c>
      <c r="J78" s="1306">
        <f>고정비_UnControl!J63</f>
        <v/>
      </c>
      <c r="K78" s="1265" t="n"/>
      <c r="L78" s="1306" t="n"/>
      <c r="M78" s="1263" t="n"/>
      <c r="N78" s="1306" t="n"/>
      <c r="O78" s="1263" t="n"/>
      <c r="P78" s="1306" t="n"/>
      <c r="Q78" s="1263" t="n"/>
      <c r="R78" s="1307" t="n"/>
    </row>
    <row r="79" ht="16.5" customHeight="1" s="838">
      <c r="B79" s="756" t="n"/>
      <c r="C79" s="738" t="n"/>
      <c r="D79" s="738" t="n"/>
      <c r="E79" s="738" t="n"/>
      <c r="F79" s="367" t="inlineStr">
        <is>
          <t>`26년 목표</t>
        </is>
      </c>
      <c r="G79" s="1258">
        <f>고정비_UnControl!G64</f>
        <v/>
      </c>
      <c r="H79" s="1304">
        <f>고정비_UnControl!H64</f>
        <v/>
      </c>
      <c r="I79" s="1258">
        <f>고정비_UnControl!I64</f>
        <v/>
      </c>
      <c r="J79" s="1304">
        <f>고정비_UnControl!J64</f>
        <v/>
      </c>
      <c r="K79" s="1260" t="n"/>
      <c r="L79" s="1304" t="n"/>
      <c r="M79" s="1258" t="n"/>
      <c r="N79" s="1304" t="n"/>
      <c r="O79" s="1258" t="n"/>
      <c r="P79" s="1304" t="n"/>
      <c r="Q79" s="1258" t="n"/>
      <c r="R79" s="1305" t="n"/>
      <c r="S79" s="931" t="n"/>
    </row>
    <row r="80" ht="16.5" customHeight="1" s="838">
      <c r="B80" s="756" t="n"/>
      <c r="C80" s="738" t="n"/>
      <c r="D80" s="738" t="n"/>
      <c r="E80" s="739" t="n"/>
      <c r="F80" s="368" t="inlineStr">
        <is>
          <t>`26년 실적/예상</t>
        </is>
      </c>
      <c r="G80" s="1268">
        <f>고정비_UnControl!G65</f>
        <v/>
      </c>
      <c r="H80" s="1308">
        <f>고정비_UnControl!H65</f>
        <v/>
      </c>
      <c r="I80" s="1268">
        <f>고정비_UnControl!I65</f>
        <v/>
      </c>
      <c r="J80" s="1308">
        <f>고정비_UnControl!J65</f>
        <v/>
      </c>
      <c r="K80" s="1270" t="n"/>
      <c r="L80" s="1308" t="n"/>
      <c r="M80" s="1268" t="n"/>
      <c r="N80" s="1308" t="n"/>
      <c r="O80" s="1268" t="n"/>
      <c r="P80" s="1308" t="n"/>
      <c r="Q80" s="1268" t="n"/>
      <c r="R80" s="1309" t="n"/>
    </row>
    <row r="81" ht="16.5" customHeight="1" s="838" thickBot="1">
      <c r="B81" s="756" t="n"/>
      <c r="C81" s="738" t="n"/>
      <c r="D81" s="738" t="n"/>
      <c r="E81" s="781" t="inlineStr">
        <is>
          <t>개선금액</t>
        </is>
      </c>
      <c r="F81" s="367" t="inlineStr">
        <is>
          <t>`26년 목표</t>
        </is>
      </c>
      <c r="G81" s="1258">
        <f>G$78-G79</f>
        <v/>
      </c>
      <c r="H81" s="1304">
        <f>H$78-H79</f>
        <v/>
      </c>
      <c r="I81" s="1258">
        <f>I$78-I79</f>
        <v/>
      </c>
      <c r="J81" s="1304">
        <f>J$78-J79</f>
        <v/>
      </c>
      <c r="K81" s="1260" t="n"/>
      <c r="L81" s="1304" t="n"/>
      <c r="M81" s="1258" t="n"/>
      <c r="N81" s="1304" t="n"/>
      <c r="O81" s="1258" t="n"/>
      <c r="P81" s="1304" t="n"/>
      <c r="Q81" s="1258" t="n"/>
      <c r="R81" s="1305" t="n"/>
    </row>
    <row r="82" ht="17.25" customHeight="1" s="838" thickBot="1">
      <c r="B82" s="757" t="n"/>
      <c r="C82" s="739" t="n"/>
      <c r="D82" s="739" t="n"/>
      <c r="E82" s="753" t="n"/>
      <c r="F82" s="582" t="inlineStr">
        <is>
          <t>`26년 실적/예상</t>
        </is>
      </c>
      <c r="G82" s="1273">
        <f>G$78-G80</f>
        <v/>
      </c>
      <c r="H82" s="1310">
        <f>H$78-H80</f>
        <v/>
      </c>
      <c r="I82" s="1273">
        <f>I$78-I80</f>
        <v/>
      </c>
      <c r="J82" s="1310">
        <f>J$78-J80</f>
        <v/>
      </c>
      <c r="K82" s="1275" t="n"/>
      <c r="L82" s="1310" t="n"/>
      <c r="M82" s="1273" t="n"/>
      <c r="N82" s="1310" t="n"/>
      <c r="O82" s="1273" t="n"/>
      <c r="P82" s="1310" t="n"/>
      <c r="Q82" s="1273" t="n"/>
      <c r="R82" s="1311" t="n"/>
    </row>
  </sheetData>
  <mergeCells count="65">
    <mergeCell ref="D48:D52"/>
    <mergeCell ref="C3:D7"/>
    <mergeCell ref="C13:C22"/>
    <mergeCell ref="D13:D17"/>
    <mergeCell ref="D53:D57"/>
    <mergeCell ref="C43:C47"/>
    <mergeCell ref="E51:E52"/>
    <mergeCell ref="C8:C12"/>
    <mergeCell ref="D28:D32"/>
    <mergeCell ref="D68:D72"/>
    <mergeCell ref="C23:C27"/>
    <mergeCell ref="B48:B82"/>
    <mergeCell ref="D58:D62"/>
    <mergeCell ref="D18:D22"/>
    <mergeCell ref="C48:C52"/>
    <mergeCell ref="D43:D47"/>
    <mergeCell ref="E53:E55"/>
    <mergeCell ref="D8:D12"/>
    <mergeCell ref="E43:E45"/>
    <mergeCell ref="D33:D37"/>
    <mergeCell ref="D73:D77"/>
    <mergeCell ref="C38:C42"/>
    <mergeCell ref="E3:E5"/>
    <mergeCell ref="D38:D42"/>
    <mergeCell ref="E6:E7"/>
    <mergeCell ref="C28:C32"/>
    <mergeCell ref="E31:E32"/>
    <mergeCell ref="E46:E47"/>
    <mergeCell ref="E11:E12"/>
    <mergeCell ref="D23:D27"/>
    <mergeCell ref="C53:C57"/>
    <mergeCell ref="E33:E35"/>
    <mergeCell ref="D63:D67"/>
    <mergeCell ref="E58:E60"/>
    <mergeCell ref="E76:E77"/>
    <mergeCell ref="C58:C62"/>
    <mergeCell ref="E18:E20"/>
    <mergeCell ref="E48:E50"/>
    <mergeCell ref="C78:C82"/>
    <mergeCell ref="E68:E70"/>
    <mergeCell ref="E61:E62"/>
    <mergeCell ref="E8:E10"/>
    <mergeCell ref="E63:E65"/>
    <mergeCell ref="C68:C72"/>
    <mergeCell ref="C33:C37"/>
    <mergeCell ref="E73:E75"/>
    <mergeCell ref="E36:E37"/>
    <mergeCell ref="E38:E40"/>
    <mergeCell ref="E41:E42"/>
    <mergeCell ref="E23:E25"/>
    <mergeCell ref="E16:E17"/>
    <mergeCell ref="B3:B22"/>
    <mergeCell ref="E26:E27"/>
    <mergeCell ref="E28:E30"/>
    <mergeCell ref="C63:C67"/>
    <mergeCell ref="E66:E67"/>
    <mergeCell ref="E13:E15"/>
    <mergeCell ref="C73:C77"/>
    <mergeCell ref="B23:B47"/>
    <mergeCell ref="E71:E72"/>
    <mergeCell ref="E78:E80"/>
    <mergeCell ref="E56:E57"/>
    <mergeCell ref="E81:E82"/>
    <mergeCell ref="E21:E22"/>
    <mergeCell ref="D78:D8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C00000"/>
    <outlinePr summaryBelow="1" summaryRight="1"/>
    <pageSetUpPr/>
  </sheetPr>
  <dimension ref="B2:Q72"/>
  <sheetViews>
    <sheetView showGridLines="0" zoomScale="75" zoomScaleNormal="75" workbookViewId="0">
      <pane xSplit="4" ySplit="2" topLeftCell="E3" activePane="bottomRight" state="frozen"/>
      <selection pane="topRight" activeCell="E1" sqref="E1"/>
      <selection pane="bottomLeft" activeCell="A48" sqref="A48"/>
      <selection pane="bottomRight" activeCell="M31" sqref="M31"/>
    </sheetView>
  </sheetViews>
  <sheetFormatPr baseColWidth="8" defaultColWidth="9" defaultRowHeight="16.5" customHeight="1" outlineLevelRow="1"/>
  <cols>
    <col width="3.75" customWidth="1" style="831" min="1" max="1"/>
    <col width="25.125" customWidth="1" style="834" min="2" max="2"/>
    <col width="9" customWidth="1" style="834" min="3" max="3"/>
    <col width="12" customWidth="1" style="834" min="4" max="4"/>
    <col width="7.375" customWidth="1" style="831" min="5" max="16"/>
    <col width="116.75" customWidth="1" style="831" min="17" max="17"/>
    <col width="9" customWidth="1" style="831" min="18" max="18"/>
    <col width="9" customWidth="1" style="831" min="19" max="16384"/>
  </cols>
  <sheetData>
    <row r="2" ht="17.25" customHeight="1" s="838">
      <c r="E2" s="607" t="inlineStr">
        <is>
          <t>1월</t>
        </is>
      </c>
      <c r="F2" s="797" t="inlineStr">
        <is>
          <t>2월</t>
        </is>
      </c>
      <c r="G2" s="797" t="inlineStr">
        <is>
          <t>3월</t>
        </is>
      </c>
      <c r="H2" s="797" t="inlineStr">
        <is>
          <t>4월</t>
        </is>
      </c>
      <c r="I2" s="797" t="inlineStr">
        <is>
          <t>5월</t>
        </is>
      </c>
      <c r="J2" s="797" t="inlineStr">
        <is>
          <t>6월</t>
        </is>
      </c>
      <c r="K2" s="797" t="inlineStr">
        <is>
          <t>7월</t>
        </is>
      </c>
      <c r="L2" s="797" t="inlineStr">
        <is>
          <t>8월</t>
        </is>
      </c>
      <c r="M2" s="797" t="inlineStr">
        <is>
          <t>9월</t>
        </is>
      </c>
      <c r="N2" s="797" t="inlineStr">
        <is>
          <t>10월</t>
        </is>
      </c>
      <c r="O2" s="797" t="inlineStr">
        <is>
          <t>11월</t>
        </is>
      </c>
      <c r="P2" s="797" t="inlineStr">
        <is>
          <t>12월</t>
        </is>
      </c>
    </row>
    <row r="3" ht="16.5" customHeight="1" s="838">
      <c r="B3" s="808" t="inlineStr">
        <is>
          <t>합계</t>
        </is>
      </c>
      <c r="C3" s="798" t="inlineStr">
        <is>
          <t>고정비</t>
        </is>
      </c>
      <c r="D3" s="419" t="inlineStr">
        <is>
          <t>`25년 실적</t>
        </is>
      </c>
      <c r="E3" s="1316">
        <f>SUM(E8,E13,E18,E23,E28,E33,E38,E43,E48,E53,E58,E63,E68)</f>
        <v/>
      </c>
      <c r="F3" s="961">
        <f>SUM(F8,F13,F18,F23,F28,F33,F38,F43,F48,F53,F58,F63,F68)</f>
        <v/>
      </c>
      <c r="G3" s="1316">
        <f>SUM(G8,G13,G18,G23,G28,G33,G38,G43,G48,G53,G58,G63,G68)</f>
        <v/>
      </c>
      <c r="H3" s="961">
        <f>SUM(H8,H13,H18,H23,H28,H33,H38,H43,H48,H53,H58,H63,H68)</f>
        <v/>
      </c>
      <c r="I3" s="1316" t="n"/>
      <c r="J3" s="961" t="n"/>
      <c r="K3" s="1316" t="n"/>
      <c r="L3" s="961" t="n"/>
      <c r="M3" s="1316" t="n"/>
      <c r="N3" s="961" t="n"/>
      <c r="O3" s="1316" t="n"/>
      <c r="P3" s="1317" t="n"/>
      <c r="Q3" s="963" t="n"/>
    </row>
    <row r="4" ht="16.5" customHeight="1" s="838">
      <c r="B4" s="756" t="n"/>
      <c r="C4" s="738" t="n"/>
      <c r="D4" s="834" t="inlineStr">
        <is>
          <t>`26년 목표</t>
        </is>
      </c>
      <c r="E4" s="1318">
        <f>SUM(E9,E14,E19,E24,E29,E34,E39,E44,E49,E54,E59,E64,E69)</f>
        <v/>
      </c>
      <c r="F4" s="963">
        <f>SUM(F9,F14,F19,F24,F29,F34,F39,F44,F49,F54,F59,F64,F69)</f>
        <v/>
      </c>
      <c r="G4" s="1318">
        <f>SUM(G9,G14,G19,G24,G29,G34,G39,G44,G49,G54,G59,G64,G69)</f>
        <v/>
      </c>
      <c r="H4" s="963">
        <f>SUM(H9,H14,H19,H24,H29,H34,H39,H44,H49,H54,H59,H64,H69)</f>
        <v/>
      </c>
      <c r="I4" s="1318" t="n"/>
      <c r="J4" s="963" t="n"/>
      <c r="K4" s="1318" t="n"/>
      <c r="L4" s="963" t="n"/>
      <c r="M4" s="1318" t="n"/>
      <c r="N4" s="963" t="n"/>
      <c r="O4" s="1318" t="n"/>
      <c r="P4" s="1319" t="n"/>
      <c r="Q4" s="963" t="n"/>
    </row>
    <row r="5" ht="16.5" customHeight="1" s="838">
      <c r="B5" s="756" t="n"/>
      <c r="C5" s="738" t="n"/>
      <c r="D5" s="834" t="inlineStr">
        <is>
          <t>`26년 실적</t>
        </is>
      </c>
      <c r="E5" s="1318">
        <f>SUM(E10,E15,E20,E25,E30,E35,E40,E45,E50,E55,E60,E65,E70)</f>
        <v/>
      </c>
      <c r="F5" s="963">
        <f>SUM(F10,F15,F20,F25,F30,F35,F40,F45,F50,F55,F60,F65,F70)</f>
        <v/>
      </c>
      <c r="G5" s="1318">
        <f>SUM(G10,G15,G20,G25,G30,G35,G40,G45,G50,G55,G60,G65,G70)</f>
        <v/>
      </c>
      <c r="H5" s="963">
        <f>SUM(H10,H15,H20,H25,H30,H35,H40,H45,H50,H55,H60,H65,H70)</f>
        <v/>
      </c>
      <c r="I5" s="1318" t="n"/>
      <c r="J5" s="963" t="n"/>
      <c r="K5" s="1318" t="n"/>
      <c r="L5" s="963" t="n"/>
      <c r="M5" s="1318" t="n"/>
      <c r="N5" s="963" t="n"/>
      <c r="O5" s="1318" t="n"/>
      <c r="P5" s="1319" t="n"/>
      <c r="Q5" s="963" t="n"/>
    </row>
    <row r="6" ht="16.5" customHeight="1" s="838">
      <c r="B6" s="756" t="n"/>
      <c r="C6" s="737" t="inlineStr">
        <is>
          <t>개선금액</t>
        </is>
      </c>
      <c r="D6" s="406" t="inlineStr">
        <is>
          <t>`26년 목표</t>
        </is>
      </c>
      <c r="E6" s="1312">
        <f>SUM(E11,E16,E21,E26,E31,E36,E41,E46,E51,E56,E61,E66,E71)</f>
        <v/>
      </c>
      <c r="F6" s="983">
        <f>SUM(F11,F16,F21,F26,F31,F36,F41,F46,F51,F56,F61,F66,F71)</f>
        <v/>
      </c>
      <c r="G6" s="1312">
        <f>SUM(G11,G16,G21,G26,G31,G36,G41,G46,G51,G56,G61,G66,G71)</f>
        <v/>
      </c>
      <c r="H6" s="983">
        <f>SUM(H11,H16,H21,H26,H31,H36,H41,H46,H51,H56,H61,H66,H71)</f>
        <v/>
      </c>
      <c r="I6" s="1312" t="n"/>
      <c r="J6" s="983" t="n"/>
      <c r="K6" s="1312" t="n"/>
      <c r="L6" s="983" t="n"/>
      <c r="M6" s="1312" t="n"/>
      <c r="N6" s="983" t="n"/>
      <c r="O6" s="1312" t="n"/>
      <c r="P6" s="1313" t="n"/>
      <c r="Q6" s="963" t="n"/>
    </row>
    <row r="7" ht="16.5" customHeight="1" s="838">
      <c r="B7" s="756" t="n"/>
      <c r="C7" s="739" t="n"/>
      <c r="D7" s="407" t="inlineStr">
        <is>
          <t>`26년 실적</t>
        </is>
      </c>
      <c r="E7" s="1320">
        <f>SUM(E12,E17,E22,E27,E32,E37,E42,E47,E52,E57,E62,E67,E72)</f>
        <v/>
      </c>
      <c r="F7" s="1321">
        <f>SUM(F12,F17,F22,F27,F32,F37,F42,F47,F52,F57,F62,F67,F72)</f>
        <v/>
      </c>
      <c r="G7" s="1320">
        <f>SUM(G12,G17,G22,G27,G32,G37,G42,G47,G52,G57,G62,G67,G72)</f>
        <v/>
      </c>
      <c r="H7" s="1321">
        <f>SUM(H12,H17,H22,H27,H32,H37,H42,H47,H52,H57,H62,H67,H72)</f>
        <v/>
      </c>
      <c r="I7" s="1320" t="n"/>
      <c r="J7" s="974" t="n"/>
      <c r="K7" s="1314" t="n"/>
      <c r="L7" s="974" t="n"/>
      <c r="M7" s="1314" t="n"/>
      <c r="N7" s="974" t="n"/>
      <c r="O7" s="1314" t="n"/>
      <c r="P7" s="1315" t="n"/>
      <c r="Q7" s="963" t="n"/>
    </row>
    <row r="8" outlineLevel="1" ht="16.5" customHeight="1" s="838">
      <c r="B8" s="789" t="inlineStr">
        <is>
          <t>부서1</t>
        </is>
      </c>
      <c r="C8" s="782" t="inlineStr">
        <is>
          <t>고정비</t>
        </is>
      </c>
      <c r="D8" s="834" t="inlineStr">
        <is>
          <t>`25년 실적</t>
        </is>
      </c>
      <c r="E8" s="1322" t="n">
        <v>39.135952</v>
      </c>
      <c r="F8" s="1323" t="n">
        <v>47.162135</v>
      </c>
      <c r="G8" s="1322" t="n">
        <v>23.142359</v>
      </c>
      <c r="H8" s="1323" t="n">
        <v>28.496346</v>
      </c>
      <c r="I8" s="1322" t="n"/>
      <c r="J8" s="1323" t="n"/>
      <c r="K8" s="1322" t="n"/>
      <c r="L8" s="1323" t="n"/>
      <c r="M8" s="1322" t="n"/>
      <c r="N8" s="1323" t="n"/>
      <c r="O8" s="1322" t="n"/>
      <c r="P8" s="1324" t="n"/>
      <c r="Q8" s="963" t="n"/>
    </row>
    <row r="9" outlineLevel="1" ht="16.5" customHeight="1" s="838">
      <c r="B9" s="756" t="n"/>
      <c r="C9" s="738" t="n"/>
      <c r="D9" s="834" t="inlineStr">
        <is>
          <t>`26년 목표</t>
        </is>
      </c>
      <c r="E9" s="1322" t="n">
        <v>36.082687</v>
      </c>
      <c r="F9" s="1323" t="n">
        <v>17.116471</v>
      </c>
      <c r="G9" s="1322" t="n">
        <v>19.759987</v>
      </c>
      <c r="H9" s="1323" t="n">
        <v>29.525511</v>
      </c>
      <c r="I9" s="1322" t="n"/>
      <c r="J9" s="1323" t="n"/>
      <c r="K9" s="1322" t="n"/>
      <c r="L9" s="1323" t="n"/>
      <c r="M9" s="1322" t="n"/>
      <c r="N9" s="1323" t="n"/>
      <c r="O9" s="1322" t="n"/>
      <c r="P9" s="1324" t="n"/>
      <c r="Q9" s="963" t="n"/>
    </row>
    <row r="10" outlineLevel="1" ht="16.5" customHeight="1" s="838">
      <c r="B10" s="756" t="n"/>
      <c r="C10" s="738" t="n"/>
      <c r="D10" s="834" t="inlineStr">
        <is>
          <t>`26년 실적</t>
        </is>
      </c>
      <c r="E10" s="1322" t="n">
        <v>-7.293723</v>
      </c>
      <c r="F10" s="1323" t="n">
        <v>35.865039</v>
      </c>
      <c r="G10" s="1322" t="n">
        <v>5.839959</v>
      </c>
      <c r="H10" s="1323" t="n">
        <v>17.397872</v>
      </c>
      <c r="I10" s="1322" t="n"/>
      <c r="J10" s="1323" t="n"/>
      <c r="K10" s="1322" t="n"/>
      <c r="L10" s="1323" t="n"/>
      <c r="M10" s="1322" t="n"/>
      <c r="N10" s="1323" t="n"/>
      <c r="O10" s="1322" t="n"/>
      <c r="P10" s="1324" t="n"/>
      <c r="Q10" s="963" t="n"/>
    </row>
    <row r="11" outlineLevel="1" ht="16.5" customHeight="1" s="838">
      <c r="B11" s="756" t="n"/>
      <c r="C11" s="737" t="inlineStr">
        <is>
          <t>개선금액</t>
        </is>
      </c>
      <c r="D11" s="406" t="inlineStr">
        <is>
          <t>`26년 목표</t>
        </is>
      </c>
      <c r="E11" s="1325">
        <f>E8-E9</f>
        <v/>
      </c>
      <c r="F11" s="1326">
        <f>F8-F9</f>
        <v/>
      </c>
      <c r="G11" s="1325">
        <f>G8-G9</f>
        <v/>
      </c>
      <c r="H11" s="1326">
        <f>H8-H9</f>
        <v/>
      </c>
      <c r="I11" s="1325" t="n"/>
      <c r="J11" s="1326" t="n"/>
      <c r="K11" s="1325" t="n"/>
      <c r="L11" s="1326" t="n"/>
      <c r="M11" s="1325" t="n"/>
      <c r="N11" s="1326" t="n"/>
      <c r="O11" s="1325" t="n"/>
      <c r="P11" s="1327" t="n"/>
      <c r="Q11" s="963" t="n"/>
    </row>
    <row r="12" outlineLevel="1" ht="16.5" customHeight="1" s="838">
      <c r="B12" s="770" t="n"/>
      <c r="C12" s="739" t="n"/>
      <c r="D12" s="407" t="inlineStr">
        <is>
          <t>`26년 실적</t>
        </is>
      </c>
      <c r="E12" s="1320">
        <f>E8-E10</f>
        <v/>
      </c>
      <c r="F12" s="1321">
        <f>F8-F10</f>
        <v/>
      </c>
      <c r="G12" s="1320">
        <f>G8-G10</f>
        <v/>
      </c>
      <c r="H12" s="1321">
        <f>H8-H10</f>
        <v/>
      </c>
      <c r="I12" s="1320" t="n"/>
      <c r="J12" s="974" t="n"/>
      <c r="K12" s="1314" t="n"/>
      <c r="L12" s="974" t="n"/>
      <c r="M12" s="1314" t="n"/>
      <c r="N12" s="974" t="n"/>
      <c r="O12" s="1314" t="n"/>
      <c r="P12" s="1315" t="n"/>
      <c r="Q12" s="963" t="n"/>
    </row>
    <row r="13" outlineLevel="1" ht="16.5" customHeight="1" s="838">
      <c r="B13" s="811" t="inlineStr">
        <is>
          <t>부서2</t>
        </is>
      </c>
      <c r="C13" s="782" t="inlineStr">
        <is>
          <t>고정비</t>
        </is>
      </c>
      <c r="D13" s="834" t="inlineStr">
        <is>
          <t>`25년 실적</t>
        </is>
      </c>
      <c r="E13" s="1318" t="n">
        <v>10.793869</v>
      </c>
      <c r="F13" s="963" t="n">
        <v>16.566803</v>
      </c>
      <c r="G13" s="1318" t="n">
        <v>48.93635</v>
      </c>
      <c r="H13" s="963" t="n">
        <v>8.11308</v>
      </c>
      <c r="I13" s="1318" t="n"/>
      <c r="J13" s="963" t="n"/>
      <c r="K13" s="1318" t="n"/>
      <c r="L13" s="963" t="n"/>
      <c r="M13" s="1318" t="n"/>
      <c r="N13" s="963" t="n"/>
      <c r="O13" s="1318" t="n"/>
      <c r="P13" s="1319" t="n"/>
      <c r="Q13" s="963" t="n"/>
    </row>
    <row r="14" outlineLevel="1" ht="16.5" customHeight="1" s="838">
      <c r="B14" s="756" t="n"/>
      <c r="C14" s="738" t="n"/>
      <c r="D14" s="834" t="inlineStr">
        <is>
          <t>`26년 목표</t>
        </is>
      </c>
      <c r="E14" s="1318" t="n">
        <v>20.968141</v>
      </c>
      <c r="F14" s="963" t="n">
        <v>22.449097</v>
      </c>
      <c r="G14" s="1318" t="n">
        <v>22.676552</v>
      </c>
      <c r="H14" s="963" t="n">
        <v>7.143016</v>
      </c>
      <c r="I14" s="1318" t="n"/>
      <c r="J14" s="963" t="n"/>
      <c r="K14" s="1318" t="n"/>
      <c r="L14" s="963" t="n"/>
      <c r="M14" s="1318" t="n"/>
      <c r="N14" s="963" t="n"/>
      <c r="O14" s="1318" t="n"/>
      <c r="P14" s="1319" t="n"/>
      <c r="Q14" s="963" t="n"/>
    </row>
    <row r="15" outlineLevel="1" ht="16.5" customHeight="1" s="838">
      <c r="B15" s="756" t="n"/>
      <c r="C15" s="738" t="n"/>
      <c r="D15" s="834" t="inlineStr">
        <is>
          <t>`26년 실적</t>
        </is>
      </c>
      <c r="E15" s="1318" t="n">
        <v>8.715797</v>
      </c>
      <c r="F15" s="963" t="n">
        <v>13.658353</v>
      </c>
      <c r="G15" s="1318" t="n">
        <v>32.368888</v>
      </c>
      <c r="H15" s="963" t="n">
        <v>12.164783</v>
      </c>
      <c r="I15" s="1318" t="n"/>
      <c r="J15" s="963" t="n"/>
      <c r="K15" s="1318" t="n"/>
      <c r="L15" s="963" t="n"/>
      <c r="M15" s="1318" t="n"/>
      <c r="N15" s="963" t="n"/>
      <c r="O15" s="1318" t="n"/>
      <c r="P15" s="1319" t="n"/>
      <c r="Q15" s="963" t="n"/>
    </row>
    <row r="16" outlineLevel="1" ht="16.5" customHeight="1" s="838">
      <c r="B16" s="756" t="n"/>
      <c r="C16" s="737" t="inlineStr">
        <is>
          <t>개선금액</t>
        </is>
      </c>
      <c r="D16" s="406" t="inlineStr">
        <is>
          <t>`26년 목표</t>
        </is>
      </c>
      <c r="E16" s="1312">
        <f>E13-E14</f>
        <v/>
      </c>
      <c r="F16" s="983">
        <f>F13-F14</f>
        <v/>
      </c>
      <c r="G16" s="1312">
        <f>G13-G14</f>
        <v/>
      </c>
      <c r="H16" s="983">
        <f>H13-H14</f>
        <v/>
      </c>
      <c r="I16" s="1312" t="n"/>
      <c r="J16" s="983" t="n"/>
      <c r="K16" s="1312" t="n"/>
      <c r="L16" s="983" t="n"/>
      <c r="M16" s="1312" t="n"/>
      <c r="N16" s="983" t="n"/>
      <c r="O16" s="1312" t="n"/>
      <c r="P16" s="1313" t="n"/>
      <c r="Q16" s="963" t="n"/>
    </row>
    <row r="17" outlineLevel="1" ht="16.5" customHeight="1" s="838">
      <c r="B17" s="756" t="n"/>
      <c r="C17" s="739" t="n"/>
      <c r="D17" s="407" t="inlineStr">
        <is>
          <t>`26년 실적</t>
        </is>
      </c>
      <c r="E17" s="1320">
        <f>E13-E15</f>
        <v/>
      </c>
      <c r="F17" s="1321">
        <f>F13-F15</f>
        <v/>
      </c>
      <c r="G17" s="1320">
        <f>G13-G15</f>
        <v/>
      </c>
      <c r="H17" s="1321">
        <f>H13-H15</f>
        <v/>
      </c>
      <c r="I17" s="1320" t="n"/>
      <c r="J17" s="974" t="n"/>
      <c r="K17" s="1314" t="n"/>
      <c r="L17" s="974" t="n"/>
      <c r="M17" s="1314" t="n"/>
      <c r="N17" s="974" t="n"/>
      <c r="O17" s="1314" t="n"/>
      <c r="P17" s="1315" t="n"/>
      <c r="Q17" s="963" t="n"/>
    </row>
    <row r="18" outlineLevel="1" ht="16.5" customHeight="1" s="838">
      <c r="B18" s="789" t="inlineStr">
        <is>
          <t>부서3</t>
        </is>
      </c>
      <c r="C18" s="782" t="inlineStr">
        <is>
          <t>고정비</t>
        </is>
      </c>
      <c r="D18" s="834" t="inlineStr">
        <is>
          <t>`25년 실적</t>
        </is>
      </c>
      <c r="E18" s="1318" t="n">
        <v>1.06056</v>
      </c>
      <c r="F18" s="963" t="n">
        <v>4.795755</v>
      </c>
      <c r="G18" s="1318" t="n">
        <v>6.459812</v>
      </c>
      <c r="H18" s="963" t="n">
        <v>10.277891</v>
      </c>
      <c r="I18" s="1318" t="n"/>
      <c r="J18" s="963" t="n"/>
      <c r="K18" s="1318" t="n"/>
      <c r="L18" s="963" t="n"/>
      <c r="M18" s="1318" t="n"/>
      <c r="N18" s="963" t="n"/>
      <c r="O18" s="1318" t="n"/>
      <c r="P18" s="1319" t="n"/>
      <c r="Q18" s="963" t="n"/>
    </row>
    <row r="19" outlineLevel="1" ht="16.5" customHeight="1" s="838">
      <c r="B19" s="756" t="n"/>
      <c r="C19" s="738" t="n"/>
      <c r="D19" s="834" t="inlineStr">
        <is>
          <t>`26년 목표</t>
        </is>
      </c>
      <c r="E19" s="1318" t="n">
        <v>2.004565</v>
      </c>
      <c r="F19" s="963" t="n">
        <v>11.445495</v>
      </c>
      <c r="G19" s="1318" t="n">
        <v>6.020495</v>
      </c>
      <c r="H19" s="963" t="n">
        <v>2.94748</v>
      </c>
      <c r="I19" s="1318" t="n"/>
      <c r="J19" s="963" t="n"/>
      <c r="K19" s="1318" t="n"/>
      <c r="L19" s="963" t="n"/>
      <c r="M19" s="1318" t="n"/>
      <c r="N19" s="963" t="n"/>
      <c r="O19" s="1318" t="n"/>
      <c r="P19" s="1319" t="n"/>
      <c r="Q19" s="963" t="n"/>
    </row>
    <row r="20" outlineLevel="1" ht="16.5" customHeight="1" s="838">
      <c r="B20" s="756" t="n"/>
      <c r="C20" s="738" t="n"/>
      <c r="D20" s="834" t="inlineStr">
        <is>
          <t>`26년 실적</t>
        </is>
      </c>
      <c r="E20" s="1318" t="n">
        <v>2.821561</v>
      </c>
      <c r="F20" s="963" t="n">
        <v>3.91231</v>
      </c>
      <c r="G20" s="1318" t="n">
        <v>6.295586</v>
      </c>
      <c r="H20" s="963" t="n">
        <v>6.558071</v>
      </c>
      <c r="I20" s="1318" t="n"/>
      <c r="J20" s="963" t="n"/>
      <c r="K20" s="1318" t="n"/>
      <c r="L20" s="963" t="n"/>
      <c r="M20" s="1318" t="n"/>
      <c r="N20" s="963" t="n"/>
      <c r="O20" s="1318" t="n"/>
      <c r="P20" s="1319" t="n"/>
      <c r="Q20" s="963" t="n"/>
    </row>
    <row r="21" outlineLevel="1" ht="16.5" customHeight="1" s="838">
      <c r="B21" s="756" t="n"/>
      <c r="C21" s="737" t="inlineStr">
        <is>
          <t>개선금액</t>
        </is>
      </c>
      <c r="D21" s="406" t="inlineStr">
        <is>
          <t>`26년 목표</t>
        </is>
      </c>
      <c r="E21" s="1312">
        <f>E18-E19</f>
        <v/>
      </c>
      <c r="F21" s="983">
        <f>F18-F19</f>
        <v/>
      </c>
      <c r="G21" s="1312">
        <f>G18-G19</f>
        <v/>
      </c>
      <c r="H21" s="983">
        <f>H18-H19</f>
        <v/>
      </c>
      <c r="I21" s="1312" t="n"/>
      <c r="J21" s="983" t="n"/>
      <c r="K21" s="1312" t="n"/>
      <c r="L21" s="983" t="n"/>
      <c r="M21" s="1312" t="n"/>
      <c r="N21" s="983" t="n"/>
      <c r="O21" s="1312" t="n"/>
      <c r="P21" s="1313" t="n"/>
      <c r="Q21" s="963" t="n"/>
    </row>
    <row r="22" outlineLevel="1" ht="16.5" customHeight="1" s="838">
      <c r="B22" s="770" t="n"/>
      <c r="C22" s="739" t="n"/>
      <c r="D22" s="407" t="inlineStr">
        <is>
          <t>`26년 실적</t>
        </is>
      </c>
      <c r="E22" s="1320">
        <f>E18-E20</f>
        <v/>
      </c>
      <c r="F22" s="1321">
        <f>F18-F20</f>
        <v/>
      </c>
      <c r="G22" s="1320">
        <f>G18-G20</f>
        <v/>
      </c>
      <c r="H22" s="1321">
        <f>H18-H20</f>
        <v/>
      </c>
      <c r="I22" s="1320" t="n"/>
      <c r="J22" s="974" t="n"/>
      <c r="K22" s="1314" t="n"/>
      <c r="L22" s="974" t="n"/>
      <c r="M22" s="1314" t="n"/>
      <c r="N22" s="974" t="n"/>
      <c r="O22" s="1314" t="n"/>
      <c r="P22" s="1315" t="n"/>
      <c r="Q22" s="963" t="n"/>
    </row>
    <row r="23" outlineLevel="1" ht="16.5" customHeight="1" s="838">
      <c r="B23" s="811" t="inlineStr">
        <is>
          <t>부서4</t>
        </is>
      </c>
      <c r="C23" s="782" t="inlineStr">
        <is>
          <t>고정비</t>
        </is>
      </c>
      <c r="D23" s="834" t="inlineStr">
        <is>
          <t>`25년 실적</t>
        </is>
      </c>
      <c r="E23" s="1318" t="n">
        <v>20.739603</v>
      </c>
      <c r="F23" s="963" t="n">
        <v>16.334391</v>
      </c>
      <c r="G23" s="1318" t="n">
        <v>11.160691</v>
      </c>
      <c r="H23" s="963" t="n">
        <v>20.320829</v>
      </c>
      <c r="I23" s="1318" t="n"/>
      <c r="J23" s="963" t="n"/>
      <c r="K23" s="1318" t="n"/>
      <c r="L23" s="963" t="n"/>
      <c r="M23" s="1318" t="n"/>
      <c r="N23" s="963" t="n"/>
      <c r="O23" s="1318" t="n"/>
      <c r="P23" s="1319" t="n"/>
      <c r="Q23" s="963" t="n"/>
    </row>
    <row r="24" outlineLevel="1" ht="16.5" customHeight="1" s="838">
      <c r="B24" s="756" t="n"/>
      <c r="C24" s="738" t="n"/>
      <c r="D24" s="834" t="inlineStr">
        <is>
          <t>`26년 목표</t>
        </is>
      </c>
      <c r="E24" s="1318" t="n">
        <v>14.430837</v>
      </c>
      <c r="F24" s="963" t="n">
        <v>10.102131</v>
      </c>
      <c r="G24" s="1318" t="n">
        <v>27.661651</v>
      </c>
      <c r="H24" s="963" t="n">
        <v>8.073843</v>
      </c>
      <c r="I24" s="1318" t="n"/>
      <c r="J24" s="963" t="n"/>
      <c r="K24" s="1318" t="n"/>
      <c r="L24" s="963" t="n"/>
      <c r="M24" s="1318" t="n"/>
      <c r="N24" s="963" t="n"/>
      <c r="O24" s="1318" t="n"/>
      <c r="P24" s="1319" t="n"/>
      <c r="Q24" s="963" t="n"/>
    </row>
    <row r="25" outlineLevel="1" ht="16.5" customHeight="1" s="838">
      <c r="B25" s="756" t="n"/>
      <c r="C25" s="738" t="n"/>
      <c r="D25" s="834" t="inlineStr">
        <is>
          <t>`26년 실적</t>
        </is>
      </c>
      <c r="E25" s="1318" t="n">
        <v>31.350735</v>
      </c>
      <c r="F25" s="963" t="n">
        <v>16.181355</v>
      </c>
      <c r="G25" s="1318" t="n">
        <v>52.568441</v>
      </c>
      <c r="H25" s="963" t="n">
        <v>-11.721306</v>
      </c>
      <c r="I25" s="1318" t="n"/>
      <c r="J25" s="963" t="n"/>
      <c r="K25" s="1318" t="n"/>
      <c r="L25" s="963" t="n"/>
      <c r="M25" s="1318" t="n"/>
      <c r="N25" s="963" t="n"/>
      <c r="O25" s="1318" t="n"/>
      <c r="P25" s="1319" t="n"/>
      <c r="Q25" s="963" t="n"/>
    </row>
    <row r="26" outlineLevel="1" ht="16.5" customHeight="1" s="838">
      <c r="B26" s="756" t="n"/>
      <c r="C26" s="737" t="inlineStr">
        <is>
          <t>개선금액</t>
        </is>
      </c>
      <c r="D26" s="406" t="inlineStr">
        <is>
          <t>`26년 목표</t>
        </is>
      </c>
      <c r="E26" s="1312">
        <f>E23-E24</f>
        <v/>
      </c>
      <c r="F26" s="983">
        <f>F23-F24</f>
        <v/>
      </c>
      <c r="G26" s="1312">
        <f>G23-G24</f>
        <v/>
      </c>
      <c r="H26" s="983">
        <f>H23-H24</f>
        <v/>
      </c>
      <c r="I26" s="1312" t="n"/>
      <c r="J26" s="983" t="n"/>
      <c r="K26" s="1312" t="n"/>
      <c r="L26" s="983" t="n"/>
      <c r="M26" s="1312" t="n"/>
      <c r="N26" s="983" t="n"/>
      <c r="O26" s="1312" t="n"/>
      <c r="P26" s="1313" t="n"/>
      <c r="Q26" s="963" t="n"/>
    </row>
    <row r="27" outlineLevel="1" ht="16.5" customHeight="1" s="838">
      <c r="B27" s="756" t="n"/>
      <c r="C27" s="739" t="n"/>
      <c r="D27" s="407" t="inlineStr">
        <is>
          <t>`26년 실적</t>
        </is>
      </c>
      <c r="E27" s="1320">
        <f>E23-E25</f>
        <v/>
      </c>
      <c r="F27" s="1321">
        <f>F23-F25</f>
        <v/>
      </c>
      <c r="G27" s="1320">
        <f>G23-G25</f>
        <v/>
      </c>
      <c r="H27" s="1321">
        <f>H23-H25</f>
        <v/>
      </c>
      <c r="I27" s="1320" t="n"/>
      <c r="J27" s="974" t="n"/>
      <c r="K27" s="1314" t="n"/>
      <c r="L27" s="974" t="n"/>
      <c r="M27" s="1314" t="n"/>
      <c r="N27" s="974" t="n"/>
      <c r="O27" s="1314" t="n"/>
      <c r="P27" s="1315" t="n"/>
      <c r="Q27" s="963" t="n"/>
    </row>
    <row r="28" outlineLevel="1" ht="16.5" customHeight="1" s="838">
      <c r="B28" s="789" t="inlineStr">
        <is>
          <t>부서5</t>
        </is>
      </c>
      <c r="C28" s="782" t="inlineStr">
        <is>
          <t>고정비</t>
        </is>
      </c>
      <c r="D28" s="834" t="inlineStr">
        <is>
          <t>`25년 실적</t>
        </is>
      </c>
      <c r="E28" s="1318" t="n">
        <v>10.467094</v>
      </c>
      <c r="F28" s="963" t="n">
        <v>7.506313</v>
      </c>
      <c r="G28" s="1318" t="n">
        <v>20.941523</v>
      </c>
      <c r="H28" s="963" t="n">
        <v>19.998547</v>
      </c>
      <c r="I28" s="1318" t="n"/>
      <c r="J28" s="963" t="n"/>
      <c r="K28" s="1318" t="n"/>
      <c r="L28" s="963" t="n"/>
      <c r="M28" s="1318" t="n"/>
      <c r="N28" s="963" t="n"/>
      <c r="O28" s="1318" t="n"/>
      <c r="P28" s="1319" t="n"/>
      <c r="Q28" s="963" t="n"/>
    </row>
    <row r="29" outlineLevel="1" ht="16.5" customHeight="1" s="838">
      <c r="B29" s="756" t="n"/>
      <c r="C29" s="738" t="n"/>
      <c r="D29" s="834" t="inlineStr">
        <is>
          <t>`26년 목표</t>
        </is>
      </c>
      <c r="E29" s="1318" t="n">
        <v>10.021155</v>
      </c>
      <c r="F29" s="963" t="n">
        <v>13.354795</v>
      </c>
      <c r="G29" s="1318" t="n">
        <v>23.324749</v>
      </c>
      <c r="H29" s="963" t="n">
        <v>9.845950999999999</v>
      </c>
      <c r="I29" s="1318" t="n"/>
      <c r="J29" s="963" t="n"/>
      <c r="K29" s="1318" t="n"/>
      <c r="L29" s="963" t="n"/>
      <c r="M29" s="1318" t="n"/>
      <c r="N29" s="963" t="n"/>
      <c r="O29" s="1318" t="n"/>
      <c r="P29" s="1319" t="n"/>
      <c r="Q29" s="963" t="n"/>
    </row>
    <row r="30" outlineLevel="1" ht="16.5" customHeight="1" s="838">
      <c r="B30" s="756" t="n"/>
      <c r="C30" s="738" t="n"/>
      <c r="D30" s="834" t="inlineStr">
        <is>
          <t>`26년 실적</t>
        </is>
      </c>
      <c r="E30" s="1318" t="n">
        <v>3.905751</v>
      </c>
      <c r="F30" s="963" t="n">
        <v>15.870258</v>
      </c>
      <c r="G30" s="1318" t="n">
        <v>10.912232</v>
      </c>
      <c r="H30" s="963" t="n">
        <v>13.186897</v>
      </c>
      <c r="I30" s="1318" t="n"/>
      <c r="J30" s="963" t="n"/>
      <c r="K30" s="1318" t="n"/>
      <c r="L30" s="963" t="n"/>
      <c r="M30" s="1318" t="n"/>
      <c r="N30" s="963" t="n"/>
      <c r="O30" s="1318" t="n"/>
      <c r="P30" s="1319" t="n"/>
      <c r="Q30" s="963" t="n"/>
    </row>
    <row r="31" outlineLevel="1" ht="16.5" customHeight="1" s="838">
      <c r="B31" s="756" t="n"/>
      <c r="C31" s="737" t="inlineStr">
        <is>
          <t>개선금액</t>
        </is>
      </c>
      <c r="D31" s="406" t="inlineStr">
        <is>
          <t>`26년 목표</t>
        </is>
      </c>
      <c r="E31" s="1312">
        <f>E28-E29</f>
        <v/>
      </c>
      <c r="F31" s="983">
        <f>F28-F29</f>
        <v/>
      </c>
      <c r="G31" s="1312">
        <f>G28-G29</f>
        <v/>
      </c>
      <c r="H31" s="983">
        <f>H28-H29</f>
        <v/>
      </c>
      <c r="I31" s="1312" t="n"/>
      <c r="J31" s="983" t="n"/>
      <c r="K31" s="1312" t="n"/>
      <c r="L31" s="983" t="n"/>
      <c r="M31" s="1312" t="n"/>
      <c r="N31" s="983" t="n"/>
      <c r="O31" s="1312" t="n"/>
      <c r="P31" s="1313" t="n"/>
      <c r="Q31" s="963" t="n"/>
    </row>
    <row r="32" outlineLevel="1" ht="16.5" customHeight="1" s="838">
      <c r="B32" s="770" t="n"/>
      <c r="C32" s="739" t="n"/>
      <c r="D32" s="407" t="inlineStr">
        <is>
          <t>`26년 실적</t>
        </is>
      </c>
      <c r="E32" s="1320">
        <f>E28-E30</f>
        <v/>
      </c>
      <c r="F32" s="1321">
        <f>F28-F30</f>
        <v/>
      </c>
      <c r="G32" s="1320">
        <f>G28-G30</f>
        <v/>
      </c>
      <c r="H32" s="1321">
        <f>H28-H30</f>
        <v/>
      </c>
      <c r="I32" s="1320" t="n"/>
      <c r="J32" s="974" t="n"/>
      <c r="K32" s="1314" t="n"/>
      <c r="L32" s="974" t="n"/>
      <c r="M32" s="1314" t="n"/>
      <c r="N32" s="974" t="n"/>
      <c r="O32" s="1314" t="n"/>
      <c r="P32" s="1315" t="n"/>
      <c r="Q32" s="963" t="n"/>
    </row>
    <row r="33" outlineLevel="1" ht="16.5" customHeight="1" s="838">
      <c r="B33" s="811" t="inlineStr">
        <is>
          <t>부서6</t>
        </is>
      </c>
      <c r="C33" s="782" t="inlineStr">
        <is>
          <t>고정비</t>
        </is>
      </c>
      <c r="D33" s="834" t="inlineStr">
        <is>
          <t>`25년 실적</t>
        </is>
      </c>
      <c r="E33" s="1318" t="n">
        <v>-0.156725</v>
      </c>
      <c r="F33" s="963" t="n">
        <v>0.788672</v>
      </c>
      <c r="G33" s="1318" t="n">
        <v>5.60686</v>
      </c>
      <c r="H33" s="963" t="n">
        <v>1.802018</v>
      </c>
      <c r="I33" s="1318" t="n"/>
      <c r="J33" s="963" t="n"/>
      <c r="K33" s="1318" t="n"/>
      <c r="L33" s="963" t="n"/>
      <c r="M33" s="1318" t="n"/>
      <c r="N33" s="963" t="n"/>
      <c r="O33" s="1318" t="n"/>
      <c r="P33" s="1319" t="n"/>
      <c r="Q33" s="963" t="n"/>
    </row>
    <row r="34" outlineLevel="1" ht="16.5" customHeight="1" s="838">
      <c r="B34" s="756" t="n"/>
      <c r="C34" s="738" t="n"/>
      <c r="D34" s="834" t="inlineStr">
        <is>
          <t>`26년 목표</t>
        </is>
      </c>
      <c r="E34" s="1318" t="n">
        <v>-0.089159</v>
      </c>
      <c r="F34" s="963" t="n">
        <v>0.447041</v>
      </c>
      <c r="G34" s="1318" t="n">
        <v>2.531207</v>
      </c>
      <c r="H34" s="963" t="n">
        <v>1.756155</v>
      </c>
      <c r="I34" s="1318" t="n"/>
      <c r="J34" s="963" t="n"/>
      <c r="K34" s="1318" t="n"/>
      <c r="L34" s="963" t="n"/>
      <c r="M34" s="1318" t="n"/>
      <c r="N34" s="963" t="n"/>
      <c r="O34" s="1318" t="n"/>
      <c r="P34" s="1319" t="n"/>
      <c r="Q34" s="963" t="n"/>
    </row>
    <row r="35" outlineLevel="1" ht="16.5" customHeight="1" s="838">
      <c r="B35" s="756" t="n"/>
      <c r="C35" s="738" t="n"/>
      <c r="D35" s="834" t="inlineStr">
        <is>
          <t>`26년 실적</t>
        </is>
      </c>
      <c r="E35" s="1318" t="n">
        <v>-1.796564</v>
      </c>
      <c r="F35" s="963" t="n">
        <v>5.346057</v>
      </c>
      <c r="G35" s="1318" t="n">
        <v>-2.699547</v>
      </c>
      <c r="H35" s="963" t="n">
        <v>2.729985</v>
      </c>
      <c r="I35" s="1318" t="n"/>
      <c r="J35" s="963" t="n"/>
      <c r="K35" s="1318" t="n"/>
      <c r="L35" s="963" t="n"/>
      <c r="M35" s="1318" t="n"/>
      <c r="N35" s="963" t="n"/>
      <c r="O35" s="1318" t="n"/>
      <c r="P35" s="1319" t="n"/>
      <c r="Q35" s="963" t="n"/>
    </row>
    <row r="36" outlineLevel="1" ht="16.5" customHeight="1" s="838">
      <c r="B36" s="756" t="n"/>
      <c r="C36" s="737" t="inlineStr">
        <is>
          <t>개선금액</t>
        </is>
      </c>
      <c r="D36" s="406" t="inlineStr">
        <is>
          <t>`26년 목표</t>
        </is>
      </c>
      <c r="E36" s="1312">
        <f>E33-E34</f>
        <v/>
      </c>
      <c r="F36" s="983">
        <f>F33-F34</f>
        <v/>
      </c>
      <c r="G36" s="1312">
        <f>G33-G34</f>
        <v/>
      </c>
      <c r="H36" s="983">
        <f>H33-H34</f>
        <v/>
      </c>
      <c r="I36" s="1312" t="n"/>
      <c r="J36" s="983" t="n"/>
      <c r="K36" s="1312" t="n"/>
      <c r="L36" s="983" t="n"/>
      <c r="M36" s="1312" t="n"/>
      <c r="N36" s="983" t="n"/>
      <c r="O36" s="1312" t="n"/>
      <c r="P36" s="1313" t="n"/>
      <c r="Q36" s="963" t="n"/>
    </row>
    <row r="37" outlineLevel="1" ht="16.5" customHeight="1" s="838">
      <c r="B37" s="756" t="n"/>
      <c r="C37" s="739" t="n"/>
      <c r="D37" s="407" t="inlineStr">
        <is>
          <t>`26년 실적</t>
        </is>
      </c>
      <c r="E37" s="1320">
        <f>E33-E35</f>
        <v/>
      </c>
      <c r="F37" s="1321">
        <f>F33-F35</f>
        <v/>
      </c>
      <c r="G37" s="1320">
        <f>G33-G35</f>
        <v/>
      </c>
      <c r="H37" s="1321">
        <f>H33-H35</f>
        <v/>
      </c>
      <c r="I37" s="1320" t="n"/>
      <c r="J37" s="974" t="n"/>
      <c r="K37" s="1314" t="n"/>
      <c r="L37" s="974" t="n"/>
      <c r="M37" s="1314" t="n"/>
      <c r="N37" s="974" t="n"/>
      <c r="O37" s="1314" t="n"/>
      <c r="P37" s="1315" t="n"/>
      <c r="Q37" s="963" t="n"/>
    </row>
    <row r="38" outlineLevel="1" ht="16.5" customHeight="1" s="838">
      <c r="B38" s="789" t="inlineStr">
        <is>
          <t>부서7</t>
        </is>
      </c>
      <c r="C38" s="782" t="inlineStr">
        <is>
          <t>고정비</t>
        </is>
      </c>
      <c r="D38" s="834" t="inlineStr">
        <is>
          <t>`25년 실적</t>
        </is>
      </c>
      <c r="E38" s="1318" t="n">
        <v>5.988459</v>
      </c>
      <c r="F38" s="963" t="n">
        <v>10.353076</v>
      </c>
      <c r="G38" s="1318" t="n">
        <v>12.409936</v>
      </c>
      <c r="H38" s="963" t="n">
        <v>14.114495</v>
      </c>
      <c r="I38" s="1318" t="n"/>
      <c r="J38" s="963" t="n"/>
      <c r="K38" s="1318" t="n"/>
      <c r="L38" s="963" t="n"/>
      <c r="M38" s="1318" t="n"/>
      <c r="N38" s="963" t="n"/>
      <c r="O38" s="1318" t="n"/>
      <c r="P38" s="1319" t="n"/>
      <c r="Q38" s="963" t="n"/>
    </row>
    <row r="39" outlineLevel="1" ht="16.5" customHeight="1" s="838">
      <c r="B39" s="756" t="n"/>
      <c r="C39" s="738" t="n"/>
      <c r="D39" s="834" t="inlineStr">
        <is>
          <t>`26년 목표</t>
        </is>
      </c>
      <c r="E39" s="1318" t="n">
        <v>4.526948</v>
      </c>
      <c r="F39" s="963" t="n">
        <v>9.87191</v>
      </c>
      <c r="G39" s="1318" t="n">
        <v>11.090263</v>
      </c>
      <c r="H39" s="963" t="n">
        <v>6.573494</v>
      </c>
      <c r="I39" s="1318" t="n"/>
      <c r="J39" s="963" t="n"/>
      <c r="K39" s="1318" t="n"/>
      <c r="L39" s="963" t="n"/>
      <c r="M39" s="1318" t="n"/>
      <c r="N39" s="963" t="n"/>
      <c r="O39" s="1318" t="n"/>
      <c r="P39" s="1319" t="n"/>
      <c r="Q39" s="963" t="n"/>
    </row>
    <row r="40" outlineLevel="1" ht="16.5" customHeight="1" s="838">
      <c r="B40" s="756" t="n"/>
      <c r="C40" s="738" t="n"/>
      <c r="D40" s="834" t="inlineStr">
        <is>
          <t>`26년 실적</t>
        </is>
      </c>
      <c r="E40" s="1318" t="n">
        <v>9.797008</v>
      </c>
      <c r="F40" s="963" t="n">
        <v>9.94294</v>
      </c>
      <c r="G40" s="1318" t="n">
        <v>7.676249</v>
      </c>
      <c r="H40" s="963" t="n">
        <v>10.179191</v>
      </c>
      <c r="I40" s="1318" t="n"/>
      <c r="J40" s="963" t="n"/>
      <c r="K40" s="1318" t="n"/>
      <c r="L40" s="963" t="n"/>
      <c r="M40" s="1318" t="n"/>
      <c r="N40" s="963" t="n"/>
      <c r="O40" s="1318" t="n"/>
      <c r="P40" s="1319" t="n"/>
      <c r="Q40" s="963" t="n"/>
    </row>
    <row r="41" outlineLevel="1" ht="16.5" customHeight="1" s="838">
      <c r="B41" s="756" t="n"/>
      <c r="C41" s="737" t="inlineStr">
        <is>
          <t>개선금액</t>
        </is>
      </c>
      <c r="D41" s="406" t="inlineStr">
        <is>
          <t>`26년 목표</t>
        </is>
      </c>
      <c r="E41" s="1312">
        <f>E38-E39</f>
        <v/>
      </c>
      <c r="F41" s="983">
        <f>F38-F39</f>
        <v/>
      </c>
      <c r="G41" s="1312">
        <f>G38-G39</f>
        <v/>
      </c>
      <c r="H41" s="983">
        <f>H38-H39</f>
        <v/>
      </c>
      <c r="I41" s="1312" t="n"/>
      <c r="J41" s="983" t="n"/>
      <c r="K41" s="1312" t="n"/>
      <c r="L41" s="983" t="n"/>
      <c r="M41" s="1312" t="n"/>
      <c r="N41" s="983" t="n"/>
      <c r="O41" s="1312" t="n"/>
      <c r="P41" s="1313" t="n"/>
      <c r="Q41" s="963" t="n"/>
    </row>
    <row r="42" outlineLevel="1" ht="16.5" customHeight="1" s="838">
      <c r="B42" s="770" t="n"/>
      <c r="C42" s="739" t="n"/>
      <c r="D42" s="407" t="inlineStr">
        <is>
          <t>`26년 실적</t>
        </is>
      </c>
      <c r="E42" s="1320">
        <f>E38-E40</f>
        <v/>
      </c>
      <c r="F42" s="1321">
        <f>F38-F40</f>
        <v/>
      </c>
      <c r="G42" s="1320">
        <f>G38-G40</f>
        <v/>
      </c>
      <c r="H42" s="1321">
        <f>H38-H40</f>
        <v/>
      </c>
      <c r="I42" s="1320" t="n"/>
      <c r="J42" s="974" t="n"/>
      <c r="K42" s="1314" t="n"/>
      <c r="L42" s="974" t="n"/>
      <c r="M42" s="1314" t="n"/>
      <c r="N42" s="974" t="n"/>
      <c r="O42" s="1314" t="n"/>
      <c r="P42" s="1315" t="n"/>
      <c r="Q42" s="963" t="n"/>
    </row>
    <row r="43" outlineLevel="1" ht="16.5" customHeight="1" s="838">
      <c r="B43" s="810" t="inlineStr">
        <is>
          <t>부서8</t>
        </is>
      </c>
      <c r="C43" s="782" t="inlineStr">
        <is>
          <t>고정비</t>
        </is>
      </c>
      <c r="D43" s="834" t="inlineStr">
        <is>
          <t>`25년 실적</t>
        </is>
      </c>
      <c r="E43" s="1318" t="n">
        <v>1.890063</v>
      </c>
      <c r="F43" s="963" t="n">
        <v>6.271956</v>
      </c>
      <c r="G43" s="1318" t="n">
        <v>9.998799999999999</v>
      </c>
      <c r="H43" s="963" t="n">
        <v>2.567782</v>
      </c>
      <c r="I43" s="1318" t="n"/>
      <c r="J43" s="963" t="n"/>
      <c r="K43" s="1318" t="n"/>
      <c r="L43" s="963" t="n"/>
      <c r="M43" s="1318" t="n"/>
      <c r="N43" s="963" t="n"/>
      <c r="O43" s="1318" t="n"/>
      <c r="P43" s="1319" t="n"/>
      <c r="Q43" s="963" t="n"/>
    </row>
    <row r="44" outlineLevel="1" ht="16.5" customHeight="1" s="838">
      <c r="B44" s="756" t="n"/>
      <c r="C44" s="738" t="n"/>
      <c r="D44" s="834" t="inlineStr">
        <is>
          <t>`26년 목표</t>
        </is>
      </c>
      <c r="E44" s="1318" t="n">
        <v>2.51562</v>
      </c>
      <c r="F44" s="963" t="n">
        <v>7.17623</v>
      </c>
      <c r="G44" s="1318" t="n">
        <v>4.51033</v>
      </c>
      <c r="H44" s="963" t="n">
        <v>10.662951</v>
      </c>
      <c r="I44" s="1318" t="n"/>
      <c r="J44" s="963" t="n"/>
      <c r="K44" s="1318" t="n"/>
      <c r="L44" s="963" t="n"/>
      <c r="M44" s="1318" t="n"/>
      <c r="N44" s="963" t="n"/>
      <c r="O44" s="1318" t="n"/>
      <c r="P44" s="1319" t="n"/>
      <c r="Q44" s="963" t="n"/>
    </row>
    <row r="45" outlineLevel="1" ht="16.5" customHeight="1" s="838">
      <c r="B45" s="756" t="n"/>
      <c r="C45" s="738" t="n"/>
      <c r="D45" s="834" t="inlineStr">
        <is>
          <t>`26년 실적</t>
        </is>
      </c>
      <c r="E45" s="1318" t="n">
        <v>6.610257</v>
      </c>
      <c r="F45" s="963" t="n">
        <v>-1.096807</v>
      </c>
      <c r="G45" s="1318" t="n">
        <v>6.414074</v>
      </c>
      <c r="H45" s="963" t="n">
        <v>4.553195</v>
      </c>
      <c r="I45" s="1318" t="n"/>
      <c r="J45" s="963" t="n"/>
      <c r="K45" s="1318" t="n"/>
      <c r="L45" s="963" t="n"/>
      <c r="M45" s="1318" t="n"/>
      <c r="N45" s="963" t="n"/>
      <c r="O45" s="1318" t="n"/>
      <c r="P45" s="1319" t="n"/>
      <c r="Q45" s="963" t="n"/>
    </row>
    <row r="46" outlineLevel="1" ht="16.5" customHeight="1" s="838">
      <c r="B46" s="756" t="n"/>
      <c r="C46" s="737" t="inlineStr">
        <is>
          <t>개선금액</t>
        </is>
      </c>
      <c r="D46" s="406" t="inlineStr">
        <is>
          <t>`26년 목표</t>
        </is>
      </c>
      <c r="E46" s="1312">
        <f>E43-E44</f>
        <v/>
      </c>
      <c r="F46" s="983">
        <f>F43-F44</f>
        <v/>
      </c>
      <c r="G46" s="1312">
        <f>G43-G44</f>
        <v/>
      </c>
      <c r="H46" s="983">
        <f>H43-H44</f>
        <v/>
      </c>
      <c r="I46" s="1312" t="n"/>
      <c r="J46" s="983" t="n"/>
      <c r="K46" s="1312" t="n"/>
      <c r="L46" s="983" t="n"/>
      <c r="M46" s="1312" t="n"/>
      <c r="N46" s="983" t="n"/>
      <c r="O46" s="1312" t="n"/>
      <c r="P46" s="1313" t="n"/>
      <c r="Q46" s="963" t="n"/>
    </row>
    <row r="47" outlineLevel="1" ht="16.5" customHeight="1" s="838">
      <c r="B47" s="756" t="n"/>
      <c r="C47" s="739" t="n"/>
      <c r="D47" s="407" t="inlineStr">
        <is>
          <t>`26년 실적</t>
        </is>
      </c>
      <c r="E47" s="1320">
        <f>E43-E45</f>
        <v/>
      </c>
      <c r="F47" s="1321">
        <f>F43-F45</f>
        <v/>
      </c>
      <c r="G47" s="1320">
        <f>G43-G45</f>
        <v/>
      </c>
      <c r="H47" s="1321">
        <f>H43-H45</f>
        <v/>
      </c>
      <c r="I47" s="1320" t="n"/>
      <c r="J47" s="974" t="n"/>
      <c r="K47" s="1314" t="n"/>
      <c r="L47" s="974" t="n"/>
      <c r="M47" s="1314" t="n"/>
      <c r="N47" s="974" t="n"/>
      <c r="O47" s="1314" t="n"/>
      <c r="P47" s="1315" t="n"/>
      <c r="Q47" s="963" t="n"/>
    </row>
    <row r="48" outlineLevel="1" ht="16.5" customHeight="1" s="838">
      <c r="B48" s="809" t="inlineStr">
        <is>
          <t>부서9</t>
        </is>
      </c>
      <c r="C48" s="782" t="inlineStr">
        <is>
          <t>고정비</t>
        </is>
      </c>
      <c r="D48" s="834" t="inlineStr">
        <is>
          <t>`25년 실적</t>
        </is>
      </c>
      <c r="E48" s="1318" t="n">
        <v>3.944499</v>
      </c>
      <c r="F48" s="963" t="n">
        <v>3.913329</v>
      </c>
      <c r="G48" s="1318" t="n">
        <v>6.931614</v>
      </c>
      <c r="H48" s="963" t="n">
        <v>6.035661</v>
      </c>
      <c r="I48" s="1318" t="n"/>
      <c r="J48" s="963" t="n"/>
      <c r="K48" s="1318" t="n"/>
      <c r="L48" s="963" t="n"/>
      <c r="M48" s="1318" t="n"/>
      <c r="N48" s="963" t="n"/>
      <c r="O48" s="1318" t="n"/>
      <c r="P48" s="1319" t="n"/>
      <c r="Q48" s="963" t="n"/>
    </row>
    <row r="49" outlineLevel="1" ht="16.5" customHeight="1" s="838">
      <c r="B49" s="756" t="n"/>
      <c r="C49" s="738" t="n"/>
      <c r="D49" s="834" t="inlineStr">
        <is>
          <t>`26년 목표</t>
        </is>
      </c>
      <c r="E49" s="1318" t="n">
        <v>8.379823999999999</v>
      </c>
      <c r="F49" s="963" t="n">
        <v>2.325199</v>
      </c>
      <c r="G49" s="1318" t="n">
        <v>5.03082</v>
      </c>
      <c r="H49" s="963" t="n">
        <v>4.484376</v>
      </c>
      <c r="I49" s="1318" t="n"/>
      <c r="J49" s="963" t="n"/>
      <c r="K49" s="1318" t="n"/>
      <c r="L49" s="963" t="n"/>
      <c r="M49" s="1318" t="n"/>
      <c r="N49" s="963" t="n"/>
      <c r="O49" s="1318" t="n"/>
      <c r="P49" s="1319" t="n"/>
      <c r="Q49" s="963" t="n"/>
    </row>
    <row r="50" outlineLevel="1" ht="16.5" customHeight="1" s="838">
      <c r="B50" s="756" t="n"/>
      <c r="C50" s="738" t="n"/>
      <c r="D50" s="834" t="inlineStr">
        <is>
          <t>`26년 실적</t>
        </is>
      </c>
      <c r="E50" s="1318" t="n">
        <v>-0.688939</v>
      </c>
      <c r="F50" s="963" t="n">
        <v>9.053334</v>
      </c>
      <c r="G50" s="1318" t="n">
        <v>0.534677</v>
      </c>
      <c r="H50" s="963" t="n">
        <v>4.504249</v>
      </c>
      <c r="I50" s="1318" t="n"/>
      <c r="J50" s="963" t="n"/>
      <c r="K50" s="1318" t="n"/>
      <c r="L50" s="963" t="n"/>
      <c r="M50" s="1318" t="n"/>
      <c r="N50" s="963" t="n"/>
      <c r="O50" s="1318" t="n"/>
      <c r="P50" s="1319" t="n"/>
      <c r="Q50" s="963" t="n"/>
    </row>
    <row r="51" outlineLevel="1" ht="16.5" customHeight="1" s="838">
      <c r="B51" s="756" t="n"/>
      <c r="C51" s="737" t="inlineStr">
        <is>
          <t>개선금액</t>
        </is>
      </c>
      <c r="D51" s="406" t="inlineStr">
        <is>
          <t>`26년 목표</t>
        </is>
      </c>
      <c r="E51" s="1312">
        <f>E48-E49</f>
        <v/>
      </c>
      <c r="F51" s="983">
        <f>F48-F49</f>
        <v/>
      </c>
      <c r="G51" s="1312">
        <f>G48-G49</f>
        <v/>
      </c>
      <c r="H51" s="983">
        <f>H48-H49</f>
        <v/>
      </c>
      <c r="I51" s="1312" t="n"/>
      <c r="J51" s="983" t="n"/>
      <c r="K51" s="1312" t="n"/>
      <c r="L51" s="983" t="n"/>
      <c r="M51" s="1312" t="n"/>
      <c r="N51" s="983" t="n"/>
      <c r="O51" s="1312" t="n"/>
      <c r="P51" s="1313" t="n"/>
      <c r="Q51" s="963" t="n"/>
    </row>
    <row r="52" outlineLevel="1" ht="16.5" customHeight="1" s="838">
      <c r="B52" s="770" t="n"/>
      <c r="C52" s="739" t="n"/>
      <c r="D52" s="407" t="inlineStr">
        <is>
          <t>`26년 실적</t>
        </is>
      </c>
      <c r="E52" s="1320">
        <f>E48-E50</f>
        <v/>
      </c>
      <c r="F52" s="1321">
        <f>F48-F50</f>
        <v/>
      </c>
      <c r="G52" s="1320">
        <f>G48-G50</f>
        <v/>
      </c>
      <c r="H52" s="1321">
        <f>H48-H50</f>
        <v/>
      </c>
      <c r="I52" s="1320" t="n"/>
      <c r="J52" s="974" t="n"/>
      <c r="K52" s="1314" t="n"/>
      <c r="L52" s="974" t="n"/>
      <c r="M52" s="1314" t="n"/>
      <c r="N52" s="974" t="n"/>
      <c r="O52" s="1314" t="n"/>
      <c r="P52" s="1315" t="n"/>
      <c r="Q52" s="963" t="n"/>
    </row>
    <row r="53" outlineLevel="1" ht="16.5" customHeight="1" s="838">
      <c r="B53" s="811" t="inlineStr">
        <is>
          <t>부서10</t>
        </is>
      </c>
      <c r="C53" s="782" t="inlineStr">
        <is>
          <t>고정비</t>
        </is>
      </c>
      <c r="D53" s="834" t="inlineStr">
        <is>
          <t>`25년 실적</t>
        </is>
      </c>
      <c r="E53" s="1318" t="n">
        <v>5.575963</v>
      </c>
      <c r="F53" s="963" t="n">
        <v>5.239296</v>
      </c>
      <c r="G53" s="1318" t="n">
        <v>1.10552</v>
      </c>
      <c r="H53" s="963" t="n">
        <v>3.214523</v>
      </c>
      <c r="I53" s="1318" t="n"/>
      <c r="J53" s="963" t="n"/>
      <c r="K53" s="1318" t="n"/>
      <c r="L53" s="963" t="n"/>
      <c r="M53" s="1318" t="n"/>
      <c r="N53" s="963" t="n"/>
      <c r="O53" s="1318" t="n"/>
      <c r="P53" s="1319" t="n"/>
      <c r="Q53" s="963" t="n"/>
    </row>
    <row r="54" outlineLevel="1" ht="16.5" customHeight="1" s="838">
      <c r="B54" s="756" t="n"/>
      <c r="C54" s="738" t="n"/>
      <c r="D54" s="834" t="inlineStr">
        <is>
          <t>`26년 목표</t>
        </is>
      </c>
      <c r="E54" s="1318" t="n">
        <v>1.565691</v>
      </c>
      <c r="F54" s="963" t="n">
        <v>0.77107</v>
      </c>
      <c r="G54" s="1318" t="n">
        <v>2.598008</v>
      </c>
      <c r="H54" s="963" t="n">
        <v>1.732318</v>
      </c>
      <c r="I54" s="1318" t="n"/>
      <c r="J54" s="963" t="n"/>
      <c r="K54" s="1318" t="n"/>
      <c r="L54" s="963" t="n"/>
      <c r="M54" s="1318" t="n"/>
      <c r="N54" s="963" t="n"/>
      <c r="O54" s="1318" t="n"/>
      <c r="P54" s="1319" t="n"/>
      <c r="Q54" s="963" t="n"/>
    </row>
    <row r="55" outlineLevel="1" ht="16.5" customHeight="1" s="838">
      <c r="B55" s="756" t="n"/>
      <c r="C55" s="738" t="n"/>
      <c r="D55" s="834" t="inlineStr">
        <is>
          <t>`26년 실적</t>
        </is>
      </c>
      <c r="E55" s="1318" t="n">
        <v>0.562222</v>
      </c>
      <c r="F55" s="963" t="n">
        <v>3.850054</v>
      </c>
      <c r="G55" s="1318" t="n">
        <v>4.246228</v>
      </c>
      <c r="H55" s="963" t="n">
        <v>36.457705</v>
      </c>
      <c r="I55" s="1318" t="n"/>
      <c r="J55" s="963" t="n"/>
      <c r="K55" s="1318" t="n"/>
      <c r="L55" s="963" t="n"/>
      <c r="M55" s="1318" t="n"/>
      <c r="N55" s="963" t="n"/>
      <c r="O55" s="1318" t="n"/>
      <c r="P55" s="1319" t="n"/>
      <c r="Q55" s="963" t="n"/>
    </row>
    <row r="56" outlineLevel="1" ht="16.5" customHeight="1" s="838">
      <c r="B56" s="756" t="n"/>
      <c r="C56" s="737" t="inlineStr">
        <is>
          <t>개선금액</t>
        </is>
      </c>
      <c r="D56" s="406" t="inlineStr">
        <is>
          <t>`26년 목표</t>
        </is>
      </c>
      <c r="E56" s="1312">
        <f>E53-E54</f>
        <v/>
      </c>
      <c r="F56" s="983">
        <f>F53-F54</f>
        <v/>
      </c>
      <c r="G56" s="1312">
        <f>G53-G54</f>
        <v/>
      </c>
      <c r="H56" s="983">
        <f>H53-H54</f>
        <v/>
      </c>
      <c r="I56" s="1312" t="n"/>
      <c r="J56" s="983" t="n"/>
      <c r="K56" s="1312" t="n"/>
      <c r="L56" s="983" t="n"/>
      <c r="M56" s="1312" t="n"/>
      <c r="N56" s="983" t="n"/>
      <c r="O56" s="1312" t="n"/>
      <c r="P56" s="1313" t="n"/>
      <c r="Q56" s="963" t="n"/>
    </row>
    <row r="57" outlineLevel="1" ht="16.5" customHeight="1" s="838">
      <c r="B57" s="756" t="n"/>
      <c r="C57" s="739" t="n"/>
      <c r="D57" s="407" t="inlineStr">
        <is>
          <t>`26년 실적</t>
        </is>
      </c>
      <c r="E57" s="1320">
        <f>E53-E55</f>
        <v/>
      </c>
      <c r="F57" s="1321">
        <f>F53-F55</f>
        <v/>
      </c>
      <c r="G57" s="1320">
        <f>G53-G55</f>
        <v/>
      </c>
      <c r="H57" s="1321">
        <f>H53-H55</f>
        <v/>
      </c>
      <c r="I57" s="1320" t="n"/>
      <c r="J57" s="974" t="n"/>
      <c r="K57" s="1314" t="n"/>
      <c r="L57" s="974" t="n"/>
      <c r="M57" s="1314" t="n"/>
      <c r="N57" s="974" t="n"/>
      <c r="O57" s="1314" t="n"/>
      <c r="P57" s="1315" t="n"/>
      <c r="Q57" s="963" t="n"/>
    </row>
    <row r="58" outlineLevel="1" ht="16.5" customHeight="1" s="838">
      <c r="B58" s="789" t="inlineStr">
        <is>
          <t>부서11</t>
        </is>
      </c>
      <c r="C58" s="782" t="inlineStr">
        <is>
          <t>고정비</t>
        </is>
      </c>
      <c r="D58" s="834" t="inlineStr">
        <is>
          <t>`25년 실적</t>
        </is>
      </c>
      <c r="E58" s="1318" t="n">
        <v>9.367625</v>
      </c>
      <c r="F58" s="963" t="n">
        <v>7.051977</v>
      </c>
      <c r="G58" s="1318" t="n">
        <v>6.178424</v>
      </c>
      <c r="H58" s="963" t="n">
        <v>5.665415</v>
      </c>
      <c r="I58" s="1318" t="n"/>
      <c r="J58" s="963" t="n"/>
      <c r="K58" s="1318" t="n"/>
      <c r="L58" s="963" t="n"/>
      <c r="M58" s="1318" t="n"/>
      <c r="N58" s="963" t="n"/>
      <c r="O58" s="1318" t="n"/>
      <c r="P58" s="1319" t="n"/>
      <c r="Q58" s="963" t="n"/>
    </row>
    <row r="59" outlineLevel="1" ht="16.5" customHeight="1" s="838">
      <c r="B59" s="756" t="n"/>
      <c r="C59" s="738" t="n"/>
      <c r="D59" s="834" t="inlineStr">
        <is>
          <t>`26년 목표</t>
        </is>
      </c>
      <c r="E59" s="1318" t="n">
        <v>6.007816</v>
      </c>
      <c r="F59" s="963" t="n">
        <v>3.298717</v>
      </c>
      <c r="G59" s="1318" t="n">
        <v>12.528319</v>
      </c>
      <c r="H59" s="963" t="n">
        <v>3.880736</v>
      </c>
      <c r="I59" s="1318" t="n"/>
      <c r="J59" s="963" t="n"/>
      <c r="K59" s="1318" t="n"/>
      <c r="L59" s="963" t="n"/>
      <c r="M59" s="1318" t="n"/>
      <c r="N59" s="963" t="n"/>
      <c r="O59" s="1318" t="n"/>
      <c r="P59" s="1319" t="n"/>
      <c r="Q59" s="963" t="n"/>
    </row>
    <row r="60" outlineLevel="1" ht="16.5" customHeight="1" s="838">
      <c r="B60" s="756" t="n"/>
      <c r="C60" s="738" t="n"/>
      <c r="D60" s="834" t="inlineStr">
        <is>
          <t>`26년 실적</t>
        </is>
      </c>
      <c r="E60" s="1318" t="n">
        <v>9.513855</v>
      </c>
      <c r="F60" s="963" t="n">
        <v>4.03095</v>
      </c>
      <c r="G60" s="1318" t="n">
        <v>3.972933</v>
      </c>
      <c r="H60" s="963" t="n">
        <v>6.300124</v>
      </c>
      <c r="I60" s="1318" t="n"/>
      <c r="J60" s="963" t="n"/>
      <c r="K60" s="1318" t="n"/>
      <c r="L60" s="963" t="n"/>
      <c r="M60" s="1318" t="n"/>
      <c r="N60" s="963" t="n"/>
      <c r="O60" s="1318" t="n"/>
      <c r="P60" s="1319" t="n"/>
      <c r="Q60" s="963" t="n"/>
    </row>
    <row r="61" outlineLevel="1" ht="16.5" customHeight="1" s="838">
      <c r="B61" s="756" t="n"/>
      <c r="C61" s="737" t="inlineStr">
        <is>
          <t>개선금액</t>
        </is>
      </c>
      <c r="D61" s="406" t="inlineStr">
        <is>
          <t>`26년 목표</t>
        </is>
      </c>
      <c r="E61" s="1312">
        <f>E58-E59</f>
        <v/>
      </c>
      <c r="F61" s="983">
        <f>F58-F59</f>
        <v/>
      </c>
      <c r="G61" s="1312">
        <f>G58-G59</f>
        <v/>
      </c>
      <c r="H61" s="983">
        <f>H58-H59</f>
        <v/>
      </c>
      <c r="I61" s="1312" t="n"/>
      <c r="J61" s="983" t="n"/>
      <c r="K61" s="1312" t="n"/>
      <c r="L61" s="983" t="n"/>
      <c r="M61" s="1312" t="n"/>
      <c r="N61" s="983" t="n"/>
      <c r="O61" s="1312" t="n"/>
      <c r="P61" s="1313" t="n"/>
      <c r="Q61" s="963" t="n"/>
    </row>
    <row r="62" outlineLevel="1" ht="16.5" customHeight="1" s="838">
      <c r="B62" s="770" t="n"/>
      <c r="C62" s="739" t="n"/>
      <c r="D62" s="407" t="inlineStr">
        <is>
          <t>`26년 실적</t>
        </is>
      </c>
      <c r="E62" s="1320">
        <f>E58-E60</f>
        <v/>
      </c>
      <c r="F62" s="1321">
        <f>F58-F60</f>
        <v/>
      </c>
      <c r="G62" s="1320">
        <f>G58-G60</f>
        <v/>
      </c>
      <c r="H62" s="1321">
        <f>H58-H60</f>
        <v/>
      </c>
      <c r="I62" s="1320" t="n"/>
      <c r="J62" s="974" t="n"/>
      <c r="K62" s="1314" t="n"/>
      <c r="L62" s="974" t="n"/>
      <c r="M62" s="1314" t="n"/>
      <c r="N62" s="974" t="n"/>
      <c r="O62" s="1314" t="n"/>
      <c r="P62" s="1315" t="n"/>
      <c r="Q62" s="963" t="n"/>
    </row>
    <row r="63" outlineLevel="1" ht="16.5" customHeight="1" s="838">
      <c r="B63" s="809" t="inlineStr">
        <is>
          <t>부서12</t>
        </is>
      </c>
      <c r="C63" s="782" t="inlineStr">
        <is>
          <t>고정비</t>
        </is>
      </c>
      <c r="D63" s="834" t="inlineStr">
        <is>
          <t>`25년 실적</t>
        </is>
      </c>
      <c r="E63" s="1318" t="n">
        <v>4.723662</v>
      </c>
      <c r="F63" s="963" t="n">
        <v>8.703440000000001</v>
      </c>
      <c r="G63" s="1318" t="n">
        <v>13.284283</v>
      </c>
      <c r="H63" s="963" t="n">
        <v>9.327396</v>
      </c>
      <c r="I63" s="1318" t="n"/>
      <c r="J63" s="963" t="n"/>
      <c r="K63" s="1318" t="n"/>
      <c r="L63" s="963" t="n"/>
      <c r="M63" s="1318" t="n"/>
      <c r="N63" s="963" t="n"/>
      <c r="O63" s="1318" t="n"/>
      <c r="P63" s="1319" t="n"/>
      <c r="Q63" s="963" t="n"/>
    </row>
    <row r="64" outlineLevel="1" ht="16.5" customHeight="1" s="838">
      <c r="B64" s="756" t="n"/>
      <c r="C64" s="738" t="n"/>
      <c r="D64" s="834" t="inlineStr">
        <is>
          <t>`26년 목표</t>
        </is>
      </c>
      <c r="E64" s="1318" t="n">
        <v>7.39029</v>
      </c>
      <c r="F64" s="963" t="n">
        <v>4.14064</v>
      </c>
      <c r="G64" s="1318" t="n">
        <v>13.344566</v>
      </c>
      <c r="H64" s="963" t="n">
        <v>17.819879</v>
      </c>
      <c r="I64" s="1318" t="n"/>
      <c r="J64" s="963" t="n"/>
      <c r="K64" s="1318" t="n"/>
      <c r="L64" s="963" t="n"/>
      <c r="M64" s="1318" t="n"/>
      <c r="N64" s="963" t="n"/>
      <c r="O64" s="1318" t="n"/>
      <c r="P64" s="1319" t="n"/>
      <c r="Q64" s="963" t="n"/>
    </row>
    <row r="65" outlineLevel="1" ht="16.5" customHeight="1" s="838">
      <c r="B65" s="756" t="n"/>
      <c r="C65" s="738" t="n"/>
      <c r="D65" s="834" t="inlineStr">
        <is>
          <t>`26년 실적</t>
        </is>
      </c>
      <c r="E65" s="1318" t="n">
        <v>2.67605</v>
      </c>
      <c r="F65" s="963" t="n">
        <v>5.314158</v>
      </c>
      <c r="G65" s="1318" t="n">
        <v>0.421817</v>
      </c>
      <c r="H65" s="963" t="n">
        <v>0.865478</v>
      </c>
      <c r="I65" s="1318" t="n"/>
      <c r="J65" s="963" t="n"/>
      <c r="K65" s="1318" t="n"/>
      <c r="L65" s="963" t="n"/>
      <c r="M65" s="1318" t="n"/>
      <c r="N65" s="963" t="n"/>
      <c r="O65" s="1318" t="n"/>
      <c r="P65" s="1319" t="n"/>
      <c r="Q65" s="963" t="n"/>
    </row>
    <row r="66" outlineLevel="1" ht="16.5" customHeight="1" s="838">
      <c r="B66" s="756" t="n"/>
      <c r="C66" s="737" t="inlineStr">
        <is>
          <t>개선금액</t>
        </is>
      </c>
      <c r="D66" s="406" t="inlineStr">
        <is>
          <t>`26년 목표</t>
        </is>
      </c>
      <c r="E66" s="1312">
        <f>E63-E64</f>
        <v/>
      </c>
      <c r="F66" s="983">
        <f>F63-F64</f>
        <v/>
      </c>
      <c r="G66" s="1312">
        <f>G63-G64</f>
        <v/>
      </c>
      <c r="H66" s="983">
        <f>H63-H64</f>
        <v/>
      </c>
      <c r="I66" s="1312" t="n"/>
      <c r="J66" s="983" t="n"/>
      <c r="K66" s="1312" t="n"/>
      <c r="L66" s="983" t="n"/>
      <c r="M66" s="1312" t="n"/>
      <c r="N66" s="983" t="n"/>
      <c r="O66" s="1312" t="n"/>
      <c r="P66" s="1313" t="n"/>
      <c r="Q66" s="963" t="n"/>
    </row>
    <row r="67" outlineLevel="1" ht="16.5" customHeight="1" s="838">
      <c r="B67" s="770" t="n"/>
      <c r="C67" s="739" t="n"/>
      <c r="D67" s="407" t="inlineStr">
        <is>
          <t>`26년 실적</t>
        </is>
      </c>
      <c r="E67" s="1320">
        <f>E63-E65</f>
        <v/>
      </c>
      <c r="F67" s="1321">
        <f>F63-F65</f>
        <v/>
      </c>
      <c r="G67" s="1320">
        <f>G63-G65</f>
        <v/>
      </c>
      <c r="H67" s="1321">
        <f>H63-H65</f>
        <v/>
      </c>
      <c r="I67" s="1320" t="n"/>
      <c r="J67" s="974" t="n"/>
      <c r="K67" s="1314" t="n"/>
      <c r="L67" s="974" t="n"/>
      <c r="M67" s="1314" t="n"/>
      <c r="N67" s="974" t="n"/>
      <c r="O67" s="1314" t="n"/>
      <c r="P67" s="1315" t="n"/>
      <c r="Q67" s="963" t="n"/>
    </row>
    <row r="68" outlineLevel="1" ht="16.5" customHeight="1" s="838">
      <c r="B68" s="812" t="inlineStr">
        <is>
          <t>기타</t>
        </is>
      </c>
      <c r="C68" s="737" t="inlineStr">
        <is>
          <t>고정비</t>
        </is>
      </c>
      <c r="D68" s="406" t="inlineStr">
        <is>
          <t>`25년 실적</t>
        </is>
      </c>
      <c r="E68" s="1312" t="n">
        <v>17.175384</v>
      </c>
      <c r="F68" s="983" t="n">
        <v>40.29094</v>
      </c>
      <c r="G68" s="1312" t="n">
        <v>16.426224</v>
      </c>
      <c r="H68" s="983" t="n">
        <v>21.282647</v>
      </c>
      <c r="I68" s="1312" t="n"/>
      <c r="J68" s="983" t="n"/>
      <c r="K68" s="1312" t="n"/>
      <c r="L68" s="983" t="n"/>
      <c r="M68" s="1312" t="n"/>
      <c r="N68" s="983" t="n"/>
      <c r="O68" s="1312" t="n"/>
      <c r="P68" s="1313" t="n"/>
      <c r="Q68" s="963" t="n"/>
    </row>
    <row r="69" outlineLevel="1" ht="16.5" customHeight="1" s="838">
      <c r="B69" s="756" t="n"/>
      <c r="C69" s="738" t="n"/>
      <c r="D69" s="834" t="inlineStr">
        <is>
          <t>`26년 목표</t>
        </is>
      </c>
      <c r="E69" s="1318" t="n">
        <v>54.613575</v>
      </c>
      <c r="F69" s="963" t="n">
        <v>43.317894</v>
      </c>
      <c r="G69" s="1318" t="n">
        <v>14.297407</v>
      </c>
      <c r="H69" s="963" t="n">
        <v>20.344867</v>
      </c>
      <c r="I69" s="1318" t="n"/>
      <c r="J69" s="963" t="n"/>
      <c r="K69" s="1318" t="n"/>
      <c r="L69" s="963" t="n"/>
      <c r="M69" s="1318" t="n"/>
      <c r="N69" s="963" t="n"/>
      <c r="O69" s="1318" t="n"/>
      <c r="P69" s="1319" t="n"/>
      <c r="Q69" s="963" t="n"/>
    </row>
    <row r="70" outlineLevel="1" ht="16.5" customHeight="1" s="838">
      <c r="B70" s="756" t="n"/>
      <c r="C70" s="739" t="n"/>
      <c r="D70" s="407" t="inlineStr">
        <is>
          <t>`26년 실적</t>
        </is>
      </c>
      <c r="E70" s="1314" t="n">
        <v>14.395792</v>
      </c>
      <c r="F70" s="974" t="n">
        <v>93.604849</v>
      </c>
      <c r="G70" s="1314" t="n">
        <v>30.708413</v>
      </c>
      <c r="H70" s="974" t="n">
        <v>20.349309</v>
      </c>
      <c r="I70" s="1314" t="n"/>
      <c r="J70" s="974" t="n"/>
      <c r="K70" s="1314" t="n"/>
      <c r="L70" s="974" t="n"/>
      <c r="M70" s="1314" t="n"/>
      <c r="N70" s="974" t="n"/>
      <c r="O70" s="1314" t="n"/>
      <c r="P70" s="1315" t="n"/>
      <c r="Q70" s="963" t="n"/>
    </row>
    <row r="71" outlineLevel="1" ht="16.5" customHeight="1" s="838">
      <c r="B71" s="756" t="n"/>
      <c r="C71" s="781" t="inlineStr">
        <is>
          <t>개선금액</t>
        </is>
      </c>
      <c r="D71" s="834" t="inlineStr">
        <is>
          <t>`26년 목표</t>
        </is>
      </c>
      <c r="E71" s="1318">
        <f>E68-E69</f>
        <v/>
      </c>
      <c r="F71" s="963">
        <f>F68-F69</f>
        <v/>
      </c>
      <c r="G71" s="1318">
        <f>G68-G69</f>
        <v/>
      </c>
      <c r="H71" s="963">
        <f>H68-H69</f>
        <v/>
      </c>
      <c r="I71" s="1318" t="n"/>
      <c r="J71" s="963" t="n"/>
      <c r="K71" s="1318" t="n"/>
      <c r="L71" s="963" t="n"/>
      <c r="M71" s="1318" t="n"/>
      <c r="N71" s="963" t="n"/>
      <c r="O71" s="1318" t="n"/>
      <c r="P71" s="1319" t="n"/>
      <c r="Q71" s="963" t="n"/>
    </row>
    <row r="72" outlineLevel="1" ht="17.25" customHeight="1" s="838">
      <c r="B72" s="757" t="n"/>
      <c r="C72" s="753" t="n"/>
      <c r="D72" s="413" t="inlineStr">
        <is>
          <t>`26년 실적</t>
        </is>
      </c>
      <c r="E72" s="1328">
        <f>E68-E70</f>
        <v/>
      </c>
      <c r="F72" s="1329">
        <f>F68-F70</f>
        <v/>
      </c>
      <c r="G72" s="1328">
        <f>G68-G70</f>
        <v/>
      </c>
      <c r="H72" s="1329">
        <f>H68-H70</f>
        <v/>
      </c>
      <c r="I72" s="1328" t="n"/>
      <c r="J72" s="1000" t="n"/>
      <c r="K72" s="1330" t="n"/>
      <c r="L72" s="1000" t="n"/>
      <c r="M72" s="1330" t="n"/>
      <c r="N72" s="1000" t="n"/>
      <c r="O72" s="1330" t="n"/>
      <c r="P72" s="1331" t="n"/>
      <c r="Q72" s="963" t="n"/>
    </row>
  </sheetData>
  <mergeCells count="42">
    <mergeCell ref="C43:C45"/>
    <mergeCell ref="B53:B57"/>
    <mergeCell ref="C48:C50"/>
    <mergeCell ref="B38:B42"/>
    <mergeCell ref="B28:B32"/>
    <mergeCell ref="C16:C17"/>
    <mergeCell ref="C23:C25"/>
    <mergeCell ref="C38:C40"/>
    <mergeCell ref="C26:C27"/>
    <mergeCell ref="C13:C15"/>
    <mergeCell ref="C53:C55"/>
    <mergeCell ref="C71:C72"/>
    <mergeCell ref="B68:B72"/>
    <mergeCell ref="B63:B67"/>
    <mergeCell ref="B33:B37"/>
    <mergeCell ref="C56:C57"/>
    <mergeCell ref="C3:C5"/>
    <mergeCell ref="C41:C42"/>
    <mergeCell ref="C21:C22"/>
    <mergeCell ref="C28:C30"/>
    <mergeCell ref="C68:C70"/>
    <mergeCell ref="C31:C32"/>
    <mergeCell ref="C11:C12"/>
    <mergeCell ref="C33:C35"/>
    <mergeCell ref="C46:C47"/>
    <mergeCell ref="C36:C37"/>
    <mergeCell ref="C18:C20"/>
    <mergeCell ref="C58:C60"/>
    <mergeCell ref="C61:C62"/>
    <mergeCell ref="C51:C52"/>
    <mergeCell ref="C66:C67"/>
    <mergeCell ref="B3:B7"/>
    <mergeCell ref="C63:C65"/>
    <mergeCell ref="B18:B22"/>
    <mergeCell ref="B58:B62"/>
    <mergeCell ref="B48:B52"/>
    <mergeCell ref="B43:B47"/>
    <mergeCell ref="B8:B12"/>
    <mergeCell ref="B13:B17"/>
    <mergeCell ref="C6:C7"/>
    <mergeCell ref="C8:C10"/>
    <mergeCell ref="B23:B27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C00000"/>
    <outlinePr summaryBelow="1" summaryRight="1"/>
    <pageSetUpPr/>
  </sheetPr>
  <dimension ref="A1:R93"/>
  <sheetViews>
    <sheetView showGridLines="0" zoomScale="70" zoomScaleNormal="70" workbookViewId="0">
      <pane xSplit="5" ySplit="2" topLeftCell="F3" activePane="bottomRight" state="frozen"/>
      <selection pane="topRight" activeCell="F1" sqref="F1"/>
      <selection pane="bottomLeft" activeCell="A55" sqref="A55"/>
      <selection pane="bottomRight" activeCell="R74" sqref="R74"/>
    </sheetView>
  </sheetViews>
  <sheetFormatPr baseColWidth="8" defaultColWidth="9" defaultRowHeight="16.5" customHeight="1" outlineLevelRow="1"/>
  <cols>
    <col width="6.625" customWidth="1" style="831" min="1" max="1"/>
    <col width="24" customWidth="1" style="834" min="2" max="2"/>
    <col width="15.75" customWidth="1" style="834" min="3" max="3"/>
    <col width="8.25" customWidth="1" style="834" min="4" max="4"/>
    <col width="9.875" customWidth="1" style="834" min="5" max="5"/>
    <col width="4.625" customWidth="1" style="831" min="6" max="6"/>
    <col width="5.5" customWidth="1" style="831" min="7" max="8"/>
    <col width="4.625" customWidth="1" style="831" min="9" max="9"/>
    <col width="5.5" customWidth="1" style="831" min="10" max="10"/>
    <col width="4.5" customWidth="1" style="831" min="11" max="14"/>
    <col width="5.125" customWidth="1" style="831" min="15" max="16"/>
    <col width="5.5" customWidth="1" style="831" min="17" max="17"/>
    <col width="76" customWidth="1" style="831" min="18" max="18"/>
    <col width="9" customWidth="1" style="831" min="19" max="19"/>
    <col width="9" customWidth="1" style="831" min="20" max="16384"/>
  </cols>
  <sheetData>
    <row r="1" ht="16.5" customHeight="1" s="838">
      <c r="B1" s="831" t="n"/>
      <c r="C1" s="831" t="n"/>
      <c r="D1" s="831" t="n"/>
      <c r="F1" s="834" t="n"/>
    </row>
    <row r="2" ht="17.25" customHeight="1" s="838">
      <c r="C2" s="834" t="n"/>
      <c r="F2" s="797" t="inlineStr">
        <is>
          <t>1월</t>
        </is>
      </c>
      <c r="G2" s="797" t="inlineStr">
        <is>
          <t>2월</t>
        </is>
      </c>
      <c r="H2" s="797" t="inlineStr">
        <is>
          <t>3월</t>
        </is>
      </c>
      <c r="I2" s="797" t="inlineStr">
        <is>
          <t>4월</t>
        </is>
      </c>
      <c r="J2" s="797" t="inlineStr">
        <is>
          <t>5월</t>
        </is>
      </c>
      <c r="K2" s="797" t="inlineStr">
        <is>
          <t>6월</t>
        </is>
      </c>
      <c r="L2" s="797" t="inlineStr">
        <is>
          <t>7월</t>
        </is>
      </c>
      <c r="M2" s="797" t="inlineStr">
        <is>
          <t>8월</t>
        </is>
      </c>
      <c r="N2" s="797" t="inlineStr">
        <is>
          <t>9월</t>
        </is>
      </c>
      <c r="O2" s="797" t="inlineStr">
        <is>
          <t>10월</t>
        </is>
      </c>
      <c r="P2" s="797" t="inlineStr">
        <is>
          <t>11월</t>
        </is>
      </c>
      <c r="Q2" s="797" t="inlineStr">
        <is>
          <t>12월</t>
        </is>
      </c>
    </row>
    <row r="3" ht="16.5" customHeight="1" s="838">
      <c r="B3" s="837" t="inlineStr">
        <is>
          <t>부문5_키친솔루션</t>
        </is>
      </c>
      <c r="C3" s="750" t="inlineStr">
        <is>
          <t>제품1 + 제품2</t>
        </is>
      </c>
      <c r="D3" s="750" t="inlineStr">
        <is>
          <t>고정비</t>
        </is>
      </c>
      <c r="E3" s="802" t="inlineStr">
        <is>
          <t>`25년 실적</t>
        </is>
      </c>
      <c r="F3" s="1302">
        <f>F8+F33</f>
        <v/>
      </c>
      <c r="G3" s="1302">
        <f>G8+G33</f>
        <v/>
      </c>
      <c r="H3" s="1302">
        <f>H8+H33</f>
        <v/>
      </c>
      <c r="I3" s="1302">
        <f>I8+I33</f>
        <v/>
      </c>
      <c r="J3" s="1302" t="n"/>
      <c r="K3" s="1302" t="n"/>
      <c r="L3" s="1302" t="n"/>
      <c r="M3" s="1302" t="n"/>
      <c r="N3" s="1302" t="n"/>
      <c r="O3" s="1302" t="n"/>
      <c r="P3" s="1302" t="n"/>
      <c r="Q3" s="1303" t="n"/>
      <c r="R3" s="1258" t="n"/>
    </row>
    <row r="4" ht="16.5" customHeight="1" s="838">
      <c r="B4" s="756" t="n"/>
      <c r="C4" s="738" t="n"/>
      <c r="D4" s="738" t="n"/>
      <c r="E4" s="624" t="inlineStr">
        <is>
          <t>`26년 목표</t>
        </is>
      </c>
      <c r="F4" s="1304">
        <f>F9+F34</f>
        <v/>
      </c>
      <c r="G4" s="1304">
        <f>G9+G34</f>
        <v/>
      </c>
      <c r="H4" s="1304">
        <f>H9+H34</f>
        <v/>
      </c>
      <c r="I4" s="1304">
        <f>I9+I34</f>
        <v/>
      </c>
      <c r="J4" s="1304" t="n"/>
      <c r="K4" s="1304" t="n"/>
      <c r="L4" s="1304" t="n"/>
      <c r="M4" s="1304" t="n"/>
      <c r="N4" s="1304" t="n"/>
      <c r="O4" s="1304" t="n"/>
      <c r="P4" s="1304" t="n"/>
      <c r="Q4" s="1305" t="n"/>
      <c r="R4" s="1258" t="n"/>
    </row>
    <row r="5" ht="16.5" customHeight="1" s="838">
      <c r="B5" s="756" t="n"/>
      <c r="C5" s="738" t="n"/>
      <c r="D5" s="739" t="n"/>
      <c r="E5" s="790" t="inlineStr">
        <is>
          <t>`26년 실적</t>
        </is>
      </c>
      <c r="F5" s="1308">
        <f>F10+F35</f>
        <v/>
      </c>
      <c r="G5" s="1308">
        <f>G10+G35</f>
        <v/>
      </c>
      <c r="H5" s="1308">
        <f>H10+H35</f>
        <v/>
      </c>
      <c r="I5" s="1308">
        <f>I10+I35</f>
        <v/>
      </c>
      <c r="J5" s="1308" t="n"/>
      <c r="K5" s="1308" t="n"/>
      <c r="L5" s="1308" t="n"/>
      <c r="M5" s="1308" t="n"/>
      <c r="N5" s="1308" t="n"/>
      <c r="O5" s="1308" t="n"/>
      <c r="P5" s="1308" t="n"/>
      <c r="Q5" s="1309" t="n"/>
      <c r="R5" s="1258" t="n"/>
    </row>
    <row r="6" ht="16.5" customHeight="1" s="838">
      <c r="B6" s="756" t="n"/>
      <c r="C6" s="738" t="n"/>
      <c r="D6" s="737" t="inlineStr">
        <is>
          <t>개선금액</t>
        </is>
      </c>
      <c r="E6" s="797" t="inlineStr">
        <is>
          <t>`26년 목표</t>
        </is>
      </c>
      <c r="F6" s="1306">
        <f>F3-F4</f>
        <v/>
      </c>
      <c r="G6" s="1306">
        <f>G3-G4</f>
        <v/>
      </c>
      <c r="H6" s="1306">
        <f>H3-H4</f>
        <v/>
      </c>
      <c r="I6" s="1306">
        <f>I3-I4</f>
        <v/>
      </c>
      <c r="J6" s="1306" t="n"/>
      <c r="K6" s="1306" t="n"/>
      <c r="L6" s="1306" t="n"/>
      <c r="M6" s="1306" t="n"/>
      <c r="N6" s="1306" t="n"/>
      <c r="O6" s="1306" t="n"/>
      <c r="P6" s="1306" t="n"/>
      <c r="Q6" s="1307" t="n"/>
      <c r="R6" s="1258" t="n"/>
    </row>
    <row r="7" ht="16.5" customHeight="1" s="838">
      <c r="B7" s="770" t="n"/>
      <c r="C7" s="739" t="n"/>
      <c r="D7" s="739" t="n"/>
      <c r="E7" s="790" t="inlineStr">
        <is>
          <t>`26년 실적</t>
        </is>
      </c>
      <c r="F7" s="1269">
        <f>F3-F5</f>
        <v/>
      </c>
      <c r="G7" s="1269">
        <f>G3-G5</f>
        <v/>
      </c>
      <c r="H7" s="1269">
        <f>H3-H5</f>
        <v/>
      </c>
      <c r="I7" s="1269">
        <f>I3-I5</f>
        <v/>
      </c>
      <c r="J7" s="1269" t="n"/>
      <c r="K7" s="1308" t="n"/>
      <c r="L7" s="1308" t="n"/>
      <c r="M7" s="1308" t="n"/>
      <c r="N7" s="1308" t="n"/>
      <c r="O7" s="1308" t="n"/>
      <c r="P7" s="1308" t="n"/>
      <c r="Q7" s="1309" t="n"/>
      <c r="R7" s="1258" t="n"/>
    </row>
    <row r="8" outlineLevel="1" ht="16.5" customHeight="1" s="838">
      <c r="B8" s="789" t="inlineStr">
        <is>
          <t>부문5_제품1</t>
        </is>
      </c>
      <c r="C8" s="737" t="inlineStr">
        <is>
          <t>제품1</t>
        </is>
      </c>
      <c r="D8" s="754" t="inlineStr">
        <is>
          <t>고정비</t>
        </is>
      </c>
      <c r="E8" s="797" t="inlineStr">
        <is>
          <t>`25년 실적</t>
        </is>
      </c>
      <c r="F8" s="1306" t="n">
        <v>191.907704</v>
      </c>
      <c r="G8" s="1306" t="n">
        <v>364.490679</v>
      </c>
      <c r="H8" s="1306" t="n">
        <v>137.027762</v>
      </c>
      <c r="I8" s="1306" t="n">
        <v>66.295839</v>
      </c>
      <c r="J8" s="1306" t="n"/>
      <c r="K8" s="1306" t="n"/>
      <c r="L8" s="1306" t="n"/>
      <c r="M8" s="1306" t="n"/>
      <c r="N8" s="1306" t="n"/>
      <c r="O8" s="1306" t="n"/>
      <c r="P8" s="1306" t="n"/>
      <c r="Q8" s="1307" t="n"/>
      <c r="R8" s="1258" t="n"/>
    </row>
    <row r="9" outlineLevel="1" ht="16.5" customHeight="1" s="838">
      <c r="B9" s="756" t="n"/>
      <c r="C9" s="738" t="n"/>
      <c r="D9" s="738" t="n"/>
      <c r="E9" s="624" t="inlineStr">
        <is>
          <t>`26년 목표</t>
        </is>
      </c>
      <c r="F9" s="1304" t="n">
        <v>224.480857</v>
      </c>
      <c r="G9" s="1304" t="n">
        <v>379.11222</v>
      </c>
      <c r="H9" s="1304" t="n">
        <v>184.508283</v>
      </c>
      <c r="I9" s="1304" t="n">
        <v>396.944215</v>
      </c>
      <c r="J9" s="1304" t="n"/>
      <c r="K9" s="1304" t="n"/>
      <c r="L9" s="1304" t="n"/>
      <c r="M9" s="1304" t="n"/>
      <c r="N9" s="1304" t="n"/>
      <c r="O9" s="1304" t="n"/>
      <c r="P9" s="1304" t="n"/>
      <c r="Q9" s="1305" t="n"/>
      <c r="R9" s="1258" t="n"/>
    </row>
    <row r="10" outlineLevel="1" ht="16.5" customHeight="1" s="838">
      <c r="B10" s="756" t="n"/>
      <c r="C10" s="738" t="n"/>
      <c r="D10" s="739" t="n"/>
      <c r="E10" s="790" t="inlineStr">
        <is>
          <t>`26년 실적</t>
        </is>
      </c>
      <c r="F10" s="1308" t="n">
        <v>239.389019</v>
      </c>
      <c r="G10" s="1308" t="n">
        <v>114.025091</v>
      </c>
      <c r="H10" s="1308" t="n">
        <v>396.153925</v>
      </c>
      <c r="I10" s="1308" t="n">
        <v>182.667417</v>
      </c>
      <c r="J10" s="1308" t="n"/>
      <c r="K10" s="1308" t="n"/>
      <c r="L10" s="1308" t="n"/>
      <c r="M10" s="1308" t="n"/>
      <c r="N10" s="1308" t="n"/>
      <c r="O10" s="1308" t="n"/>
      <c r="P10" s="1308" t="n"/>
      <c r="Q10" s="1309" t="n"/>
      <c r="R10" s="1258" t="n"/>
    </row>
    <row r="11" outlineLevel="1" ht="16.5" customHeight="1" s="838">
      <c r="B11" s="756" t="n"/>
      <c r="C11" s="738" t="n"/>
      <c r="D11" s="737" t="inlineStr">
        <is>
          <t>개선금액</t>
        </is>
      </c>
      <c r="E11" s="797" t="inlineStr">
        <is>
          <t>`26년 목표</t>
        </is>
      </c>
      <c r="F11" s="1306">
        <f>F8-F9</f>
        <v/>
      </c>
      <c r="G11" s="1306">
        <f>G8-G9</f>
        <v/>
      </c>
      <c r="H11" s="1306">
        <f>H8-H9</f>
        <v/>
      </c>
      <c r="I11" s="1306">
        <f>I8-I9</f>
        <v/>
      </c>
      <c r="J11" s="1306" t="n"/>
      <c r="K11" s="1306" t="n"/>
      <c r="L11" s="1306" t="n"/>
      <c r="M11" s="1306" t="n"/>
      <c r="N11" s="1306" t="n"/>
      <c r="O11" s="1306" t="n"/>
      <c r="P11" s="1306" t="n"/>
      <c r="Q11" s="1307" t="n"/>
      <c r="R11" s="1258" t="n"/>
    </row>
    <row r="12" outlineLevel="1" ht="16.5" customHeight="1" s="838">
      <c r="B12" s="756" t="n"/>
      <c r="C12" s="739" t="n"/>
      <c r="D12" s="739" t="n"/>
      <c r="E12" s="790" t="inlineStr">
        <is>
          <t>`26년 실적</t>
        </is>
      </c>
      <c r="F12" s="1269">
        <f>F8-F10</f>
        <v/>
      </c>
      <c r="G12" s="1269">
        <f>G8-G10</f>
        <v/>
      </c>
      <c r="H12" s="1269">
        <f>H8-H10</f>
        <v/>
      </c>
      <c r="I12" s="1269">
        <f>I8-I10</f>
        <v/>
      </c>
      <c r="J12" s="1269" t="n"/>
      <c r="K12" s="1308" t="n"/>
      <c r="L12" s="1308" t="n"/>
      <c r="M12" s="1308" t="n"/>
      <c r="N12" s="1308" t="n"/>
      <c r="O12" s="1308" t="n"/>
      <c r="P12" s="1308" t="n"/>
      <c r="Q12" s="1309" t="n"/>
      <c r="R12" s="1258" t="n"/>
    </row>
    <row r="13" ht="16.5" customHeight="1" s="838">
      <c r="A13" s="625" t="n"/>
      <c r="B13" s="756" t="n"/>
      <c r="C13" s="733" t="inlineStr">
        <is>
          <t>법인1</t>
        </is>
      </c>
      <c r="D13" s="754" t="inlineStr">
        <is>
          <t>고정비</t>
        </is>
      </c>
      <c r="E13" s="797" t="inlineStr">
        <is>
          <t>`25년 실적</t>
        </is>
      </c>
      <c r="F13" s="1306" t="n">
        <v>116.14041</v>
      </c>
      <c r="G13" s="1306" t="n">
        <v>60.047023</v>
      </c>
      <c r="H13" s="1306" t="n">
        <v>132.328064</v>
      </c>
      <c r="I13" s="1306" t="n">
        <v>165.9975</v>
      </c>
      <c r="J13" s="1306" t="n"/>
      <c r="K13" s="1306" t="n"/>
      <c r="L13" s="1306" t="n"/>
      <c r="M13" s="1306" t="n"/>
      <c r="N13" s="1306" t="n"/>
      <c r="O13" s="1306" t="n"/>
      <c r="P13" s="1306" t="n"/>
      <c r="Q13" s="1307" t="n"/>
      <c r="R13" s="1258" t="n"/>
    </row>
    <row r="14" ht="16.5" customHeight="1" s="838">
      <c r="B14" s="756" t="n"/>
      <c r="C14" s="738" t="n"/>
      <c r="D14" s="738" t="n"/>
      <c r="E14" s="624" t="inlineStr">
        <is>
          <t>`26년 목표</t>
        </is>
      </c>
      <c r="F14" s="1304" t="n">
        <v>186.178555</v>
      </c>
      <c r="G14" s="1304" t="n">
        <v>140.561893</v>
      </c>
      <c r="H14" s="1304" t="n">
        <v>190.389874</v>
      </c>
      <c r="I14" s="1304" t="n">
        <v>91.44078500000001</v>
      </c>
      <c r="J14" s="1304" t="n"/>
      <c r="K14" s="1304" t="n"/>
      <c r="L14" s="1304" t="n"/>
      <c r="M14" s="1304" t="n"/>
      <c r="N14" s="1304" t="n"/>
      <c r="O14" s="1304" t="n"/>
      <c r="P14" s="1304" t="n"/>
      <c r="Q14" s="1305" t="n"/>
      <c r="R14" s="1258" t="n"/>
    </row>
    <row r="15" ht="16.5" customHeight="1" s="838">
      <c r="B15" s="756" t="n"/>
      <c r="C15" s="738" t="n"/>
      <c r="D15" s="739" t="n"/>
      <c r="E15" s="790" t="inlineStr">
        <is>
          <t>`26년 실적</t>
        </is>
      </c>
      <c r="F15" s="1308" t="n">
        <v>81.942612</v>
      </c>
      <c r="G15" s="1308" t="n">
        <v>210.771062</v>
      </c>
      <c r="H15" s="1308" t="n">
        <v>268.043753</v>
      </c>
      <c r="I15" s="1308" t="n">
        <v>101.046205</v>
      </c>
      <c r="J15" s="1308" t="n"/>
      <c r="K15" s="1308" t="n"/>
      <c r="L15" s="1308" t="n"/>
      <c r="M15" s="1308" t="n"/>
      <c r="N15" s="1308" t="n"/>
      <c r="O15" s="1308" t="n"/>
      <c r="P15" s="1308" t="n"/>
      <c r="Q15" s="1309" t="n"/>
      <c r="R15" s="1258" t="n"/>
    </row>
    <row r="16" ht="16.5" customHeight="1" s="838">
      <c r="B16" s="756" t="n"/>
      <c r="C16" s="738" t="n"/>
      <c r="D16" s="737" t="inlineStr">
        <is>
          <t>개선금액</t>
        </is>
      </c>
      <c r="E16" s="797" t="inlineStr">
        <is>
          <t>`26년 목표</t>
        </is>
      </c>
      <c r="F16" s="1306">
        <f>F13-F14</f>
        <v/>
      </c>
      <c r="G16" s="1306">
        <f>G13-G14</f>
        <v/>
      </c>
      <c r="H16" s="1306">
        <f>H13-H14</f>
        <v/>
      </c>
      <c r="I16" s="1306">
        <f>I13-I14</f>
        <v/>
      </c>
      <c r="J16" s="1312" t="n"/>
      <c r="K16" s="1306" t="n"/>
      <c r="L16" s="1306" t="n"/>
      <c r="M16" s="1306" t="n"/>
      <c r="N16" s="1306" t="n"/>
      <c r="O16" s="1306" t="n"/>
      <c r="P16" s="1306" t="n"/>
      <c r="Q16" s="1307" t="n"/>
      <c r="R16" s="1258" t="n"/>
    </row>
    <row r="17" ht="16.5" customHeight="1" s="838">
      <c r="B17" s="756" t="n"/>
      <c r="C17" s="739" t="n"/>
      <c r="D17" s="739" t="n"/>
      <c r="E17" s="790" t="inlineStr">
        <is>
          <t>`26년 실적</t>
        </is>
      </c>
      <c r="F17" s="1269">
        <f>F13-F15</f>
        <v/>
      </c>
      <c r="G17" s="1269">
        <f>G13-G15</f>
        <v/>
      </c>
      <c r="H17" s="1269">
        <f>H13-H15</f>
        <v/>
      </c>
      <c r="I17" s="1269">
        <f>I13-I15</f>
        <v/>
      </c>
      <c r="J17" s="994" t="n"/>
      <c r="K17" s="1308" t="n"/>
      <c r="L17" s="1308" t="n"/>
      <c r="M17" s="1308" t="n"/>
      <c r="N17" s="1308" t="n"/>
      <c r="O17" s="1308" t="n"/>
      <c r="P17" s="1308" t="n"/>
      <c r="Q17" s="1309" t="n"/>
      <c r="R17" s="1258" t="n"/>
    </row>
    <row r="18" ht="16.5" customHeight="1" s="838">
      <c r="A18" s="625" t="n"/>
      <c r="B18" s="756" t="n"/>
      <c r="C18" s="733" t="inlineStr">
        <is>
          <t>법인2</t>
        </is>
      </c>
      <c r="D18" s="754" t="inlineStr">
        <is>
          <t>고정비</t>
        </is>
      </c>
      <c r="E18" s="797" t="inlineStr">
        <is>
          <t>`25년 실적</t>
        </is>
      </c>
      <c r="F18" s="1306" t="n">
        <v>83.17501</v>
      </c>
      <c r="G18" s="1306" t="n">
        <v>89.605726</v>
      </c>
      <c r="H18" s="1306" t="n">
        <v>128.212571</v>
      </c>
      <c r="I18" s="1306" t="n">
        <v>85.042085</v>
      </c>
      <c r="J18" s="1306" t="n"/>
      <c r="K18" s="1306" t="n"/>
      <c r="L18" s="1306" t="n"/>
      <c r="M18" s="1306" t="n"/>
      <c r="N18" s="1306" t="n"/>
      <c r="O18" s="1306" t="n"/>
      <c r="P18" s="1306" t="n"/>
      <c r="Q18" s="1307" t="n"/>
      <c r="R18" s="1258" t="n"/>
    </row>
    <row r="19" ht="16.5" customHeight="1" s="838">
      <c r="B19" s="756" t="n"/>
      <c r="C19" s="738" t="n"/>
      <c r="D19" s="738" t="n"/>
      <c r="E19" s="624" t="inlineStr">
        <is>
          <t>`26년 목표</t>
        </is>
      </c>
      <c r="F19" s="1304" t="n">
        <v>157.77243</v>
      </c>
      <c r="G19" s="1304" t="n">
        <v>167.446684</v>
      </c>
      <c r="H19" s="1304" t="n">
        <v>119.641706</v>
      </c>
      <c r="I19" s="1304" t="n">
        <v>290.004805</v>
      </c>
      <c r="J19" s="1304" t="n"/>
      <c r="K19" s="1304" t="n"/>
      <c r="L19" s="1304" t="n"/>
      <c r="M19" s="1304" t="n"/>
      <c r="N19" s="1304" t="n"/>
      <c r="O19" s="1304" t="n"/>
      <c r="P19" s="1304" t="n"/>
      <c r="Q19" s="1305" t="n"/>
      <c r="R19" s="1258" t="n"/>
    </row>
    <row r="20" ht="16.5" customHeight="1" s="838">
      <c r="B20" s="756" t="n"/>
      <c r="C20" s="738" t="n"/>
      <c r="D20" s="739" t="n"/>
      <c r="E20" s="790" t="inlineStr">
        <is>
          <t>`26년 실적</t>
        </is>
      </c>
      <c r="F20" s="1308" t="n">
        <v>174.768855</v>
      </c>
      <c r="G20" s="1308" t="n">
        <v>223.835961</v>
      </c>
      <c r="H20" s="1308" t="n">
        <v>137.679922</v>
      </c>
      <c r="I20" s="1308" t="n">
        <v>244.037176</v>
      </c>
      <c r="J20" s="1308" t="n"/>
      <c r="K20" s="1308" t="n"/>
      <c r="L20" s="1308" t="n"/>
      <c r="M20" s="1308" t="n"/>
      <c r="N20" s="1308" t="n"/>
      <c r="O20" s="1308" t="n"/>
      <c r="P20" s="1308" t="n"/>
      <c r="Q20" s="1309" t="n"/>
      <c r="R20" s="1258" t="n"/>
    </row>
    <row r="21" ht="16.5" customHeight="1" s="838">
      <c r="B21" s="756" t="n"/>
      <c r="C21" s="738" t="n"/>
      <c r="D21" s="737" t="inlineStr">
        <is>
          <t>개선금액</t>
        </is>
      </c>
      <c r="E21" s="797" t="inlineStr">
        <is>
          <t>`26년 목표</t>
        </is>
      </c>
      <c r="F21" s="1306">
        <f>F18-F19</f>
        <v/>
      </c>
      <c r="G21" s="1306">
        <f>G18-G19</f>
        <v/>
      </c>
      <c r="H21" s="1306">
        <f>H18-H19</f>
        <v/>
      </c>
      <c r="I21" s="1306">
        <f>I18-I19</f>
        <v/>
      </c>
      <c r="J21" s="1312" t="n"/>
      <c r="K21" s="1306" t="n"/>
      <c r="L21" s="1306" t="n"/>
      <c r="M21" s="1306" t="n"/>
      <c r="N21" s="1306" t="n"/>
      <c r="O21" s="1306" t="n"/>
      <c r="P21" s="1306" t="n"/>
      <c r="Q21" s="1307" t="n"/>
      <c r="R21" s="1258" t="n"/>
    </row>
    <row r="22" ht="16.5" customHeight="1" s="838">
      <c r="B22" s="756" t="n"/>
      <c r="C22" s="739" t="n"/>
      <c r="D22" s="739" t="n"/>
      <c r="E22" s="790" t="inlineStr">
        <is>
          <t>`26년 실적</t>
        </is>
      </c>
      <c r="F22" s="1269">
        <f>F18-F20</f>
        <v/>
      </c>
      <c r="G22" s="1269">
        <f>G18-G20</f>
        <v/>
      </c>
      <c r="H22" s="1269">
        <f>H18-H20</f>
        <v/>
      </c>
      <c r="I22" s="1269">
        <f>I18-I20</f>
        <v/>
      </c>
      <c r="J22" s="994" t="n"/>
      <c r="K22" s="1308" t="n"/>
      <c r="L22" s="1308" t="n"/>
      <c r="M22" s="1308" t="n"/>
      <c r="N22" s="1308" t="n"/>
      <c r="O22" s="1308" t="n"/>
      <c r="P22" s="1308" t="n"/>
      <c r="Q22" s="1309" t="n"/>
      <c r="R22" s="1258" t="n"/>
    </row>
    <row r="23" ht="16.5" customHeight="1" s="838">
      <c r="A23" s="625" t="n"/>
      <c r="B23" s="756" t="n"/>
      <c r="C23" s="733" t="inlineStr">
        <is>
          <t>법인3</t>
        </is>
      </c>
      <c r="D23" s="754" t="inlineStr">
        <is>
          <t>고정비</t>
        </is>
      </c>
      <c r="E23" s="797" t="inlineStr">
        <is>
          <t>`25년 실적</t>
        </is>
      </c>
      <c r="F23" s="1306" t="n">
        <v>80.77857899999999</v>
      </c>
      <c r="G23" s="1306" t="n">
        <v>57.831195</v>
      </c>
      <c r="H23" s="1306" t="n">
        <v>156.856202</v>
      </c>
      <c r="I23" s="1306" t="n">
        <v>94.03185000000001</v>
      </c>
      <c r="J23" s="1306" t="n"/>
      <c r="K23" s="1306" t="n"/>
      <c r="L23" s="1306" t="n"/>
      <c r="M23" s="1306" t="n"/>
      <c r="N23" s="1306" t="n"/>
      <c r="O23" s="1306" t="n"/>
      <c r="P23" s="1306" t="n"/>
      <c r="Q23" s="1307" t="n"/>
      <c r="R23" s="1258" t="n"/>
    </row>
    <row r="24" ht="16.5" customHeight="1" s="838">
      <c r="B24" s="756" t="n"/>
      <c r="C24" s="738" t="n"/>
      <c r="D24" s="738" t="n"/>
      <c r="E24" s="624" t="inlineStr">
        <is>
          <t>`26년 목표</t>
        </is>
      </c>
      <c r="F24" s="1304" t="n">
        <v>25.704168</v>
      </c>
      <c r="G24" s="1304" t="n">
        <v>79.622958</v>
      </c>
      <c r="H24" s="1304" t="n">
        <v>80.549547</v>
      </c>
      <c r="I24" s="1304" t="n">
        <v>131.759721</v>
      </c>
      <c r="J24" s="1304" t="n"/>
      <c r="K24" s="1304" t="n"/>
      <c r="L24" s="1304" t="n"/>
      <c r="M24" s="1304" t="n"/>
      <c r="N24" s="1304" t="n"/>
      <c r="O24" s="1304" t="n"/>
      <c r="P24" s="1304" t="n"/>
      <c r="Q24" s="1305" t="n"/>
      <c r="R24" s="1258" t="n"/>
    </row>
    <row r="25" ht="16.5" customHeight="1" s="838">
      <c r="B25" s="756" t="n"/>
      <c r="C25" s="738" t="n"/>
      <c r="D25" s="739" t="n"/>
      <c r="E25" s="790" t="inlineStr">
        <is>
          <t>`26년 실적</t>
        </is>
      </c>
      <c r="F25" s="1308" t="n">
        <v>141.19326</v>
      </c>
      <c r="G25" s="1308" t="n">
        <v>28.048273</v>
      </c>
      <c r="H25" s="1308" t="n">
        <v>32.900171</v>
      </c>
      <c r="I25" s="1308" t="n">
        <v>28.693908</v>
      </c>
      <c r="J25" s="1308" t="n"/>
      <c r="K25" s="1308" t="n"/>
      <c r="L25" s="1308" t="n"/>
      <c r="M25" s="1308" t="n"/>
      <c r="N25" s="1308" t="n"/>
      <c r="O25" s="1308" t="n"/>
      <c r="P25" s="1308" t="n"/>
      <c r="Q25" s="1309" t="n"/>
      <c r="R25" s="1258" t="n"/>
    </row>
    <row r="26" ht="16.5" customHeight="1" s="838">
      <c r="B26" s="756" t="n"/>
      <c r="C26" s="738" t="n"/>
      <c r="D26" s="737" t="inlineStr">
        <is>
          <t>개선금액</t>
        </is>
      </c>
      <c r="E26" s="797" t="inlineStr">
        <is>
          <t>`26년 목표</t>
        </is>
      </c>
      <c r="F26" s="1306">
        <f>F23-F24</f>
        <v/>
      </c>
      <c r="G26" s="1306">
        <f>G23-G24</f>
        <v/>
      </c>
      <c r="H26" s="1306">
        <f>H23-H24</f>
        <v/>
      </c>
      <c r="I26" s="1306">
        <f>I23-I24</f>
        <v/>
      </c>
      <c r="J26" s="1312" t="n"/>
      <c r="K26" s="1306" t="n"/>
      <c r="L26" s="1306" t="n"/>
      <c r="M26" s="1306" t="n"/>
      <c r="N26" s="1306" t="n"/>
      <c r="O26" s="1306" t="n"/>
      <c r="P26" s="1306" t="n"/>
      <c r="Q26" s="1307" t="n"/>
      <c r="R26" s="1258" t="n"/>
    </row>
    <row r="27" ht="16.5" customHeight="1" s="838">
      <c r="B27" s="756" t="n"/>
      <c r="C27" s="739" t="n"/>
      <c r="D27" s="739" t="n"/>
      <c r="E27" s="790" t="inlineStr">
        <is>
          <t>`26년 실적</t>
        </is>
      </c>
      <c r="F27" s="1269">
        <f>F23-F25</f>
        <v/>
      </c>
      <c r="G27" s="1269">
        <f>G23-G25</f>
        <v/>
      </c>
      <c r="H27" s="1269">
        <f>H23-H25</f>
        <v/>
      </c>
      <c r="I27" s="1269">
        <f>I23-I25</f>
        <v/>
      </c>
      <c r="J27" s="994" t="n"/>
      <c r="K27" s="1308" t="n"/>
      <c r="L27" s="1308" t="n"/>
      <c r="M27" s="1308" t="n"/>
      <c r="N27" s="1308" t="n"/>
      <c r="O27" s="1308" t="n"/>
      <c r="P27" s="1308" t="n"/>
      <c r="Q27" s="1309" t="n"/>
      <c r="R27" s="1258" t="n"/>
    </row>
    <row r="28" ht="16.5" customHeight="1" s="838">
      <c r="A28" s="625" t="n"/>
      <c r="B28" s="756" t="n"/>
      <c r="C28" s="737" t="inlineStr">
        <is>
          <t>기타</t>
        </is>
      </c>
      <c r="D28" s="754" t="inlineStr">
        <is>
          <t>고정비</t>
        </is>
      </c>
      <c r="E28" s="797" t="inlineStr">
        <is>
          <t>`25년 실적</t>
        </is>
      </c>
      <c r="F28" s="1306" t="n">
        <v>8.651849</v>
      </c>
      <c r="G28" s="1306" t="n">
        <v>18.165459</v>
      </c>
      <c r="H28" s="1306" t="n">
        <v>17.417737</v>
      </c>
      <c r="I28" s="1306" t="n">
        <v>29.610903</v>
      </c>
      <c r="J28" s="1306" t="n"/>
      <c r="K28" s="1306" t="n"/>
      <c r="L28" s="1306" t="n"/>
      <c r="M28" s="1306" t="n"/>
      <c r="N28" s="1306" t="n"/>
      <c r="O28" s="1306" t="n"/>
      <c r="P28" s="1306" t="n"/>
      <c r="Q28" s="1307" t="n"/>
      <c r="R28" s="1258" t="n"/>
    </row>
    <row r="29" ht="16.5" customHeight="1" s="838">
      <c r="B29" s="756" t="n"/>
      <c r="C29" s="738" t="n"/>
      <c r="D29" s="738" t="n"/>
      <c r="E29" s="624" t="inlineStr">
        <is>
          <t>`26년 목표</t>
        </is>
      </c>
      <c r="F29" s="1304" t="n">
        <v>19.846849</v>
      </c>
      <c r="G29" s="1304" t="n">
        <v>30.027104</v>
      </c>
      <c r="H29" s="1304" t="n">
        <v>8.163617</v>
      </c>
      <c r="I29" s="1304" t="n">
        <v>14.247011</v>
      </c>
      <c r="J29" s="1304" t="n"/>
      <c r="K29" s="1304" t="n"/>
      <c r="L29" s="1304" t="n"/>
      <c r="M29" s="1304" t="n"/>
      <c r="N29" s="1304" t="n"/>
      <c r="O29" s="1304" t="n"/>
      <c r="P29" s="1304" t="n"/>
      <c r="Q29" s="1305" t="n"/>
      <c r="R29" s="1258" t="n"/>
    </row>
    <row r="30" ht="16.5" customHeight="1" s="838">
      <c r="B30" s="756" t="n"/>
      <c r="C30" s="738" t="n"/>
      <c r="D30" s="739" t="n"/>
      <c r="E30" s="790" t="inlineStr">
        <is>
          <t>`26년 실적</t>
        </is>
      </c>
      <c r="F30" s="1308" t="n">
        <v>24.212003</v>
      </c>
      <c r="G30" s="1308" t="n">
        <v>19.914713</v>
      </c>
      <c r="H30" s="1308" t="n"/>
      <c r="I30" s="1308" t="n"/>
      <c r="J30" s="1308" t="n"/>
      <c r="K30" s="1308" t="n"/>
      <c r="L30" s="1308" t="n"/>
      <c r="M30" s="1308" t="n"/>
      <c r="N30" s="1308" t="n"/>
      <c r="O30" s="1308" t="n"/>
      <c r="P30" s="1308" t="n"/>
      <c r="Q30" s="1309" t="n"/>
      <c r="R30" s="1258" t="n"/>
    </row>
    <row r="31" ht="16.5" customHeight="1" s="838">
      <c r="B31" s="756" t="n"/>
      <c r="C31" s="738" t="n"/>
      <c r="D31" s="737" t="inlineStr">
        <is>
          <t>개선금액</t>
        </is>
      </c>
      <c r="E31" s="797" t="inlineStr">
        <is>
          <t>`26년 목표</t>
        </is>
      </c>
      <c r="F31" s="1306">
        <f>F28-F29</f>
        <v/>
      </c>
      <c r="G31" s="1306">
        <f>G28-G29</f>
        <v/>
      </c>
      <c r="H31" s="1306">
        <f>H28-H29</f>
        <v/>
      </c>
      <c r="I31" s="1306">
        <f>I28-I29</f>
        <v/>
      </c>
      <c r="J31" s="1306" t="n"/>
      <c r="K31" s="1306" t="n"/>
      <c r="L31" s="1306" t="n"/>
      <c r="M31" s="1306" t="n"/>
      <c r="N31" s="1306" t="n"/>
      <c r="O31" s="1306" t="n"/>
      <c r="P31" s="1306" t="n"/>
      <c r="Q31" s="1307" t="n"/>
      <c r="R31" s="1258" t="n"/>
    </row>
    <row r="32" ht="16.5" customHeight="1" s="838">
      <c r="B32" s="770" t="n"/>
      <c r="C32" s="739" t="n"/>
      <c r="D32" s="739" t="n"/>
      <c r="E32" s="790" t="inlineStr">
        <is>
          <t>`26년 실적</t>
        </is>
      </c>
      <c r="F32" s="1308">
        <f>F28-F30</f>
        <v/>
      </c>
      <c r="G32" s="1308">
        <f>G28-G30</f>
        <v/>
      </c>
      <c r="H32" s="1308" t="n"/>
      <c r="I32" s="1308" t="n"/>
      <c r="J32" s="1308" t="n"/>
      <c r="K32" s="1308" t="n"/>
      <c r="L32" s="1308" t="n"/>
      <c r="M32" s="1308" t="n"/>
      <c r="N32" s="1308" t="n"/>
      <c r="O32" s="1308" t="n"/>
      <c r="P32" s="1308" t="n"/>
      <c r="Q32" s="1309" t="n"/>
      <c r="R32" s="1258" t="n"/>
    </row>
    <row r="33" ht="16.5" customHeight="1" s="838">
      <c r="A33" s="625" t="n"/>
      <c r="B33" s="813" t="inlineStr">
        <is>
          <t>부문5_제품2</t>
        </is>
      </c>
      <c r="C33" s="749" t="inlineStr">
        <is>
          <t>기타</t>
        </is>
      </c>
      <c r="D33" s="781" t="inlineStr">
        <is>
          <t>고정비</t>
        </is>
      </c>
      <c r="E33" s="797" t="inlineStr">
        <is>
          <t>`25년 실적</t>
        </is>
      </c>
      <c r="F33" s="1306" t="n">
        <v>2.163139</v>
      </c>
      <c r="G33" s="1306" t="n">
        <v>1.958363</v>
      </c>
      <c r="H33" s="1306" t="n">
        <v>3.715401</v>
      </c>
      <c r="I33" s="1306" t="n">
        <v>2.151689</v>
      </c>
      <c r="J33" s="1306" t="n"/>
      <c r="K33" s="1306" t="n"/>
      <c r="L33" s="1306" t="n"/>
      <c r="M33" s="1306" t="n"/>
      <c r="N33" s="1306" t="n"/>
      <c r="O33" s="1306" t="n"/>
      <c r="P33" s="1306" t="n"/>
      <c r="Q33" s="1307" t="n"/>
      <c r="R33" s="1258" t="n"/>
    </row>
    <row r="34" ht="16.5" customHeight="1" s="838">
      <c r="B34" s="756" t="n"/>
      <c r="C34" s="738" t="n"/>
      <c r="D34" s="738" t="n"/>
      <c r="E34" s="624" t="inlineStr">
        <is>
          <t>`26년 목표</t>
        </is>
      </c>
      <c r="F34" s="1304" t="n">
        <v>5.848632</v>
      </c>
      <c r="G34" s="1304" t="n">
        <v>2.117011</v>
      </c>
      <c r="H34" s="1304" t="n">
        <v>2.474853</v>
      </c>
      <c r="I34" s="1304" t="n">
        <v>2.082633</v>
      </c>
      <c r="J34" s="1304" t="n"/>
      <c r="K34" s="1304" t="n"/>
      <c r="L34" s="1304" t="n"/>
      <c r="M34" s="1304" t="n"/>
      <c r="N34" s="1304" t="n"/>
      <c r="O34" s="1304" t="n"/>
      <c r="P34" s="1304" t="n"/>
      <c r="Q34" s="1305" t="n"/>
      <c r="R34" s="1258" t="n"/>
    </row>
    <row r="35" ht="16.5" customHeight="1" s="838">
      <c r="B35" s="756" t="n"/>
      <c r="C35" s="738" t="n"/>
      <c r="D35" s="753" t="n"/>
      <c r="E35" s="790" t="inlineStr">
        <is>
          <t>`26년 실적</t>
        </is>
      </c>
      <c r="F35" s="1308" t="n">
        <v>0.627962</v>
      </c>
      <c r="G35" s="1308" t="n">
        <v>2.306981</v>
      </c>
      <c r="H35" s="1308" t="n">
        <v>3.43901</v>
      </c>
      <c r="I35" s="1308" t="n">
        <v>4.548512</v>
      </c>
      <c r="J35" s="1308" t="n"/>
      <c r="K35" s="1308" t="n"/>
      <c r="L35" s="1308" t="n"/>
      <c r="M35" s="1308" t="n"/>
      <c r="N35" s="1308" t="n"/>
      <c r="O35" s="1308" t="n"/>
      <c r="P35" s="1308" t="n"/>
      <c r="Q35" s="1309" t="n"/>
      <c r="R35" s="1258" t="n"/>
    </row>
    <row r="36" ht="16.5" customHeight="1" s="838">
      <c r="B36" s="756" t="n"/>
      <c r="C36" s="738" t="n"/>
      <c r="D36" s="749" t="inlineStr">
        <is>
          <t>개선금액</t>
        </is>
      </c>
      <c r="E36" s="797" t="inlineStr">
        <is>
          <t>`26년 목표</t>
        </is>
      </c>
      <c r="F36" s="1306">
        <f>F33-F34</f>
        <v/>
      </c>
      <c r="G36" s="1306">
        <f>G33-G34</f>
        <v/>
      </c>
      <c r="H36" s="1306">
        <f>H33-H34</f>
        <v/>
      </c>
      <c r="I36" s="1306">
        <f>I33-I34</f>
        <v/>
      </c>
      <c r="J36" s="1306" t="n"/>
      <c r="K36" s="1306" t="n"/>
      <c r="L36" s="1306" t="n"/>
      <c r="M36" s="1306" t="n"/>
      <c r="N36" s="1306" t="n"/>
      <c r="O36" s="1306" t="n"/>
      <c r="P36" s="1306" t="n"/>
      <c r="Q36" s="1307" t="n"/>
      <c r="R36" s="1258" t="n"/>
    </row>
    <row r="37" ht="17.25" customHeight="1" s="838">
      <c r="B37" s="757" t="n"/>
      <c r="C37" s="753" t="n"/>
      <c r="D37" s="753" t="n"/>
      <c r="E37" s="626" t="inlineStr">
        <is>
          <t>`26년 실적</t>
        </is>
      </c>
      <c r="F37" s="1274">
        <f>F33-F35</f>
        <v/>
      </c>
      <c r="G37" s="1274">
        <f>G33-G35</f>
        <v/>
      </c>
      <c r="H37" s="1274">
        <f>H33-H35</f>
        <v/>
      </c>
      <c r="I37" s="1274">
        <f>I33-I35</f>
        <v/>
      </c>
      <c r="J37" s="1274" t="n"/>
      <c r="K37" s="1310" t="n"/>
      <c r="L37" s="1310" t="n"/>
      <c r="M37" s="1310" t="n"/>
      <c r="N37" s="1310" t="n"/>
      <c r="O37" s="1310" t="n"/>
      <c r="P37" s="1310" t="n"/>
      <c r="Q37" s="1311" t="n"/>
      <c r="R37" s="1258" t="n"/>
    </row>
    <row r="38" ht="16.5" customHeight="1" s="838">
      <c r="B38" s="779" t="inlineStr">
        <is>
          <t>부문6_키친솔루션</t>
        </is>
      </c>
      <c r="C38" s="750" t="inlineStr">
        <is>
          <t>제품1 + 제품2</t>
        </is>
      </c>
      <c r="D38" s="750" t="inlineStr">
        <is>
          <t>고정비</t>
        </is>
      </c>
      <c r="E38" s="802" t="inlineStr">
        <is>
          <t>`25년 실적</t>
        </is>
      </c>
      <c r="F38" s="1302">
        <f>F43+F83</f>
        <v/>
      </c>
      <c r="G38" s="1302">
        <f>G43+G83</f>
        <v/>
      </c>
      <c r="H38" s="1302">
        <f>H43+H83</f>
        <v/>
      </c>
      <c r="I38" s="1302">
        <f>I43+I83</f>
        <v/>
      </c>
      <c r="J38" s="1302" t="n"/>
      <c r="K38" s="1302" t="n"/>
      <c r="L38" s="1302" t="n"/>
      <c r="M38" s="1302" t="n"/>
      <c r="N38" s="1302" t="n"/>
      <c r="O38" s="1302" t="n"/>
      <c r="P38" s="1302" t="n"/>
      <c r="Q38" s="1303" t="n"/>
      <c r="R38" s="1258" t="n"/>
    </row>
    <row r="39" ht="16.5" customHeight="1" s="838">
      <c r="B39" s="756" t="n"/>
      <c r="C39" s="738" t="n"/>
      <c r="D39" s="738" t="n"/>
      <c r="E39" s="624" t="inlineStr">
        <is>
          <t>`26년 목표</t>
        </is>
      </c>
      <c r="F39" s="1304">
        <f>F44+F84</f>
        <v/>
      </c>
      <c r="G39" s="1304">
        <f>G44+G84</f>
        <v/>
      </c>
      <c r="H39" s="1304">
        <f>H44+H84</f>
        <v/>
      </c>
      <c r="I39" s="1304">
        <f>I44+I84</f>
        <v/>
      </c>
      <c r="J39" s="1304" t="n"/>
      <c r="K39" s="1304" t="n"/>
      <c r="L39" s="1304" t="n"/>
      <c r="M39" s="1304" t="n"/>
      <c r="N39" s="1304" t="n"/>
      <c r="O39" s="1304" t="n"/>
      <c r="P39" s="1304" t="n"/>
      <c r="Q39" s="1305" t="n"/>
      <c r="R39" s="1258" t="n"/>
    </row>
    <row r="40" ht="16.5" customHeight="1" s="838">
      <c r="B40" s="756" t="n"/>
      <c r="C40" s="738" t="n"/>
      <c r="D40" s="739" t="n"/>
      <c r="E40" s="790" t="inlineStr">
        <is>
          <t>`26년 실적</t>
        </is>
      </c>
      <c r="F40" s="1308">
        <f>F45+F85</f>
        <v/>
      </c>
      <c r="G40" s="1308">
        <f>G45+G85</f>
        <v/>
      </c>
      <c r="H40" s="1308">
        <f>H45+H85</f>
        <v/>
      </c>
      <c r="I40" s="1308">
        <f>I45+I85</f>
        <v/>
      </c>
      <c r="J40" s="1308" t="n"/>
      <c r="K40" s="1308" t="n"/>
      <c r="L40" s="1308" t="n"/>
      <c r="M40" s="1308" t="n"/>
      <c r="N40" s="1308" t="n"/>
      <c r="O40" s="1308" t="n"/>
      <c r="P40" s="1308" t="n"/>
      <c r="Q40" s="1309" t="n"/>
      <c r="R40" s="1258" t="n"/>
    </row>
    <row r="41" ht="16.5" customHeight="1" s="838">
      <c r="B41" s="756" t="n"/>
      <c r="C41" s="738" t="n"/>
      <c r="D41" s="737" t="inlineStr">
        <is>
          <t>개선금액</t>
        </is>
      </c>
      <c r="E41" s="797" t="inlineStr">
        <is>
          <t>`26년 목표</t>
        </is>
      </c>
      <c r="F41" s="1306">
        <f>F38-F39</f>
        <v/>
      </c>
      <c r="G41" s="1306">
        <f>G38-G39</f>
        <v/>
      </c>
      <c r="H41" s="1306">
        <f>H38-H39</f>
        <v/>
      </c>
      <c r="I41" s="1306">
        <f>I38-I39</f>
        <v/>
      </c>
      <c r="J41" s="1306" t="n"/>
      <c r="K41" s="1306" t="n"/>
      <c r="L41" s="1306" t="n"/>
      <c r="M41" s="1306" t="n"/>
      <c r="N41" s="1306" t="n"/>
      <c r="O41" s="1306" t="n"/>
      <c r="P41" s="1306" t="n"/>
      <c r="Q41" s="1307" t="n"/>
      <c r="R41" s="1258" t="n"/>
    </row>
    <row r="42" ht="16.5" customHeight="1" s="838">
      <c r="B42" s="770" t="n"/>
      <c r="C42" s="739" t="n"/>
      <c r="D42" s="739" t="n"/>
      <c r="E42" s="790" t="inlineStr">
        <is>
          <t>`26년 실적</t>
        </is>
      </c>
      <c r="F42" s="1269">
        <f>F38-F40</f>
        <v/>
      </c>
      <c r="G42" s="1269">
        <f>G38-G40</f>
        <v/>
      </c>
      <c r="H42" s="1269">
        <f>H38-H40</f>
        <v/>
      </c>
      <c r="I42" s="1269">
        <f>I38-I40</f>
        <v/>
      </c>
      <c r="J42" s="1269" t="n"/>
      <c r="K42" s="1308" t="n"/>
      <c r="L42" s="1308" t="n"/>
      <c r="M42" s="1308" t="n"/>
      <c r="N42" s="1308" t="n"/>
      <c r="O42" s="1308" t="n"/>
      <c r="P42" s="1308" t="n"/>
      <c r="Q42" s="1309" t="n"/>
      <c r="R42" s="1258" t="n"/>
    </row>
    <row r="43" outlineLevel="1" ht="16.5" customHeight="1" s="838">
      <c r="B43" s="789" t="inlineStr">
        <is>
          <t>부문6_제품1</t>
        </is>
      </c>
      <c r="C43" s="737" t="inlineStr">
        <is>
          <t>제품1</t>
        </is>
      </c>
      <c r="D43" s="754" t="inlineStr">
        <is>
          <t>고정비</t>
        </is>
      </c>
      <c r="E43" s="797" t="inlineStr">
        <is>
          <t>`25년 실적</t>
        </is>
      </c>
      <c r="F43" s="1306" t="n">
        <v>154.908267</v>
      </c>
      <c r="G43" s="1306" t="n">
        <v>185.746537</v>
      </c>
      <c r="H43" s="1306" t="n">
        <v>105.217386</v>
      </c>
      <c r="I43" s="1306" t="n">
        <v>209.972587</v>
      </c>
      <c r="J43" s="1306" t="n"/>
      <c r="K43" s="1306" t="n"/>
      <c r="L43" s="1306" t="n"/>
      <c r="M43" s="1306" t="n"/>
      <c r="N43" s="1306" t="n"/>
      <c r="O43" s="1306" t="n"/>
      <c r="P43" s="1306" t="n"/>
      <c r="Q43" s="1307" t="n"/>
      <c r="R43" s="1258" t="n"/>
    </row>
    <row r="44" outlineLevel="1" ht="16.5" customHeight="1" s="838">
      <c r="B44" s="756" t="n"/>
      <c r="C44" s="738" t="n"/>
      <c r="D44" s="738" t="n"/>
      <c r="E44" s="624" t="inlineStr">
        <is>
          <t>`26년 목표</t>
        </is>
      </c>
      <c r="F44" s="1304" t="n">
        <v>167.960288</v>
      </c>
      <c r="G44" s="1304" t="n">
        <v>239.51281</v>
      </c>
      <c r="H44" s="1304" t="n">
        <v>180.781163</v>
      </c>
      <c r="I44" s="1304" t="n">
        <v>254.413962</v>
      </c>
      <c r="J44" s="1304" t="n"/>
      <c r="K44" s="1304" t="n"/>
      <c r="L44" s="1304" t="n"/>
      <c r="M44" s="1304" t="n"/>
      <c r="N44" s="1304" t="n"/>
      <c r="O44" s="1304" t="n"/>
      <c r="P44" s="1304" t="n"/>
      <c r="Q44" s="1305" t="n"/>
      <c r="R44" s="1258" t="n"/>
    </row>
    <row r="45" outlineLevel="1" ht="16.5" customHeight="1" s="838">
      <c r="B45" s="756" t="n"/>
      <c r="C45" s="738" t="n"/>
      <c r="D45" s="739" t="n"/>
      <c r="E45" s="790" t="inlineStr">
        <is>
          <t>`26년 실적</t>
        </is>
      </c>
      <c r="F45" s="1308" t="n">
        <v>229.416755</v>
      </c>
      <c r="G45" s="1308" t="n">
        <v>133.745803</v>
      </c>
      <c r="H45" s="1308" t="n">
        <v>170.436327</v>
      </c>
      <c r="I45" s="1308" t="n">
        <v>180.165948</v>
      </c>
      <c r="J45" s="1308" t="n"/>
      <c r="K45" s="1308" t="n"/>
      <c r="L45" s="1308" t="n"/>
      <c r="M45" s="1308" t="n"/>
      <c r="N45" s="1308" t="n"/>
      <c r="O45" s="1308" t="n"/>
      <c r="P45" s="1308" t="n"/>
      <c r="Q45" s="1309" t="n"/>
      <c r="R45" s="1258" t="n"/>
    </row>
    <row r="46" outlineLevel="1" ht="16.5" customHeight="1" s="838">
      <c r="B46" s="756" t="n"/>
      <c r="C46" s="738" t="n"/>
      <c r="D46" s="737" t="inlineStr">
        <is>
          <t>개선금액</t>
        </is>
      </c>
      <c r="E46" s="797" t="inlineStr">
        <is>
          <t>`26년 목표</t>
        </is>
      </c>
      <c r="F46" s="1306">
        <f>F43-F44</f>
        <v/>
      </c>
      <c r="G46" s="1306">
        <f>G43-G44</f>
        <v/>
      </c>
      <c r="H46" s="1306">
        <f>H43-H44</f>
        <v/>
      </c>
      <c r="I46" s="1306">
        <f>I43-I44</f>
        <v/>
      </c>
      <c r="J46" s="1306" t="n"/>
      <c r="K46" s="1306" t="n"/>
      <c r="L46" s="1306" t="n"/>
      <c r="M46" s="1306" t="n"/>
      <c r="N46" s="1306" t="n"/>
      <c r="O46" s="1306" t="n"/>
      <c r="P46" s="1306" t="n"/>
      <c r="Q46" s="1307" t="n"/>
      <c r="R46" s="1258" t="n"/>
    </row>
    <row r="47" outlineLevel="1" ht="16.5" customHeight="1" s="838">
      <c r="B47" s="756" t="n"/>
      <c r="C47" s="739" t="n"/>
      <c r="D47" s="739" t="n"/>
      <c r="E47" s="790" t="inlineStr">
        <is>
          <t>`26년 실적</t>
        </is>
      </c>
      <c r="F47" s="1269">
        <f>F43-F45</f>
        <v/>
      </c>
      <c r="G47" s="1269">
        <f>G43-G45</f>
        <v/>
      </c>
      <c r="H47" s="1269">
        <f>H43-H45</f>
        <v/>
      </c>
      <c r="I47" s="1269">
        <f>I43-I45</f>
        <v/>
      </c>
      <c r="J47" s="1269" t="n"/>
      <c r="K47" s="1308" t="n"/>
      <c r="L47" s="1308" t="n"/>
      <c r="M47" s="1308" t="n"/>
      <c r="N47" s="1308" t="n"/>
      <c r="O47" s="1308" t="n"/>
      <c r="P47" s="1308" t="n"/>
      <c r="Q47" s="1309" t="n"/>
      <c r="R47" s="1258" t="n"/>
    </row>
    <row r="48" ht="16.5" customHeight="1" s="838">
      <c r="A48" s="625" t="n"/>
      <c r="B48" s="756" t="n"/>
      <c r="C48" s="733" t="inlineStr">
        <is>
          <t>법인4</t>
        </is>
      </c>
      <c r="D48" s="754" t="inlineStr">
        <is>
          <t>고정비</t>
        </is>
      </c>
      <c r="E48" s="797" t="inlineStr">
        <is>
          <t>`25년 실적</t>
        </is>
      </c>
      <c r="F48" s="1306" t="n">
        <v>71.96258400000001</v>
      </c>
      <c r="G48" s="1306" t="n">
        <v>69.90453100000001</v>
      </c>
      <c r="H48" s="1306" t="n">
        <v>73.141437</v>
      </c>
      <c r="I48" s="1306" t="n">
        <v>57.34515</v>
      </c>
      <c r="J48" s="1306" t="n"/>
      <c r="K48" s="1306" t="n"/>
      <c r="L48" s="1306" t="n"/>
      <c r="M48" s="1306" t="n"/>
      <c r="N48" s="1306" t="n"/>
      <c r="O48" s="1306" t="n"/>
      <c r="P48" s="1306" t="n"/>
      <c r="Q48" s="1307" t="n"/>
      <c r="R48" s="1258" t="n"/>
    </row>
    <row r="49" ht="16.5" customHeight="1" s="838">
      <c r="B49" s="756" t="n"/>
      <c r="C49" s="738" t="n"/>
      <c r="D49" s="738" t="n"/>
      <c r="E49" s="624" t="inlineStr">
        <is>
          <t>`26년 목표</t>
        </is>
      </c>
      <c r="F49" s="1304" t="n">
        <v>32.53968</v>
      </c>
      <c r="G49" s="1304" t="n">
        <v>43.768797</v>
      </c>
      <c r="H49" s="1304" t="n">
        <v>81.38820800000001</v>
      </c>
      <c r="I49" s="1304" t="n">
        <v>93.82908999999999</v>
      </c>
      <c r="J49" s="1304" t="n"/>
      <c r="K49" s="1304" t="n"/>
      <c r="L49" s="1304" t="n"/>
      <c r="M49" s="1304" t="n"/>
      <c r="N49" s="1304" t="n"/>
      <c r="O49" s="1304" t="n"/>
      <c r="P49" s="1304" t="n"/>
      <c r="Q49" s="1305" t="n"/>
      <c r="R49" s="1258" t="n"/>
    </row>
    <row r="50" ht="16.5" customHeight="1" s="838">
      <c r="B50" s="756" t="n"/>
      <c r="C50" s="738" t="n"/>
      <c r="D50" s="739" t="n"/>
      <c r="E50" s="790" t="inlineStr">
        <is>
          <t>`26년 실적</t>
        </is>
      </c>
      <c r="F50" s="1308" t="n">
        <v>87.11588</v>
      </c>
      <c r="G50" s="1308" t="n">
        <v>82.270713</v>
      </c>
      <c r="H50" s="1308" t="n">
        <v>74.628377</v>
      </c>
      <c r="I50" s="1308" t="n">
        <v>127.333742</v>
      </c>
      <c r="J50" s="1308" t="n"/>
      <c r="K50" s="1308" t="n"/>
      <c r="L50" s="1308" t="n"/>
      <c r="M50" s="1308" t="n"/>
      <c r="N50" s="1308" t="n"/>
      <c r="O50" s="1308" t="n"/>
      <c r="P50" s="1308" t="n"/>
      <c r="Q50" s="1309" t="n"/>
      <c r="R50" s="1258" t="n"/>
    </row>
    <row r="51" ht="16.5" customHeight="1" s="838">
      <c r="B51" s="756" t="n"/>
      <c r="C51" s="738" t="n"/>
      <c r="D51" s="737" t="inlineStr">
        <is>
          <t>개선금액</t>
        </is>
      </c>
      <c r="E51" s="797" t="inlineStr">
        <is>
          <t>`26년 목표</t>
        </is>
      </c>
      <c r="F51" s="1306">
        <f>F48-F49</f>
        <v/>
      </c>
      <c r="G51" s="1306">
        <f>G48-G49</f>
        <v/>
      </c>
      <c r="H51" s="1306">
        <f>H48-H49</f>
        <v/>
      </c>
      <c r="I51" s="1306">
        <f>I48-I49</f>
        <v/>
      </c>
      <c r="J51" s="1312" t="n"/>
      <c r="K51" s="1306" t="n"/>
      <c r="L51" s="1306" t="n"/>
      <c r="M51" s="1306" t="n"/>
      <c r="N51" s="1306" t="n"/>
      <c r="O51" s="1306" t="n"/>
      <c r="P51" s="1306" t="n"/>
      <c r="Q51" s="1307" t="n"/>
      <c r="R51" s="1258" t="n"/>
    </row>
    <row r="52" ht="16.5" customHeight="1" s="838">
      <c r="B52" s="756" t="n"/>
      <c r="C52" s="739" t="n"/>
      <c r="D52" s="739" t="n"/>
      <c r="E52" s="790" t="inlineStr">
        <is>
          <t>`26년 실적</t>
        </is>
      </c>
      <c r="F52" s="1269">
        <f>F48-F50</f>
        <v/>
      </c>
      <c r="G52" s="1269">
        <f>G48-G50</f>
        <v/>
      </c>
      <c r="H52" s="1269">
        <f>H48-H50</f>
        <v/>
      </c>
      <c r="I52" s="1269">
        <f>I48-I50</f>
        <v/>
      </c>
      <c r="J52" s="994" t="n"/>
      <c r="K52" s="1308" t="n"/>
      <c r="L52" s="1308" t="n"/>
      <c r="M52" s="1308" t="n"/>
      <c r="N52" s="1308" t="n"/>
      <c r="O52" s="1308" t="n"/>
      <c r="P52" s="1308" t="n"/>
      <c r="Q52" s="1309" t="n"/>
      <c r="R52" s="1258" t="n"/>
    </row>
    <row r="53" ht="17.25" customHeight="1" s="838">
      <c r="A53" s="625" t="n"/>
      <c r="B53" s="756" t="n"/>
      <c r="C53" s="733" t="inlineStr">
        <is>
          <t>법인5</t>
        </is>
      </c>
      <c r="D53" s="754" t="inlineStr">
        <is>
          <t>고정비</t>
        </is>
      </c>
      <c r="E53" s="797" t="inlineStr">
        <is>
          <t>`25년 실적</t>
        </is>
      </c>
      <c r="F53" s="1306">
        <f>F58+F63</f>
        <v/>
      </c>
      <c r="G53" s="1306">
        <f>G58+G63</f>
        <v/>
      </c>
      <c r="H53" s="1306">
        <f>H58+H63</f>
        <v/>
      </c>
      <c r="I53" s="1306">
        <f>I58+I63</f>
        <v/>
      </c>
      <c r="J53" s="1306" t="n"/>
      <c r="K53" s="1306" t="n"/>
      <c r="L53" s="1306" t="n"/>
      <c r="M53" s="1306" t="n"/>
      <c r="N53" s="1306" t="n"/>
      <c r="O53" s="1306" t="n"/>
      <c r="P53" s="1306" t="n"/>
      <c r="Q53" s="1307" t="n"/>
      <c r="R53" s="1258" t="n"/>
    </row>
    <row r="54" ht="16.5" customHeight="1" s="838">
      <c r="B54" s="756" t="n"/>
      <c r="C54" s="738" t="n"/>
      <c r="D54" s="738" t="n"/>
      <c r="E54" s="624" t="inlineStr">
        <is>
          <t>`26년 목표</t>
        </is>
      </c>
      <c r="F54" s="1304">
        <f>F59+F64</f>
        <v/>
      </c>
      <c r="G54" s="1304">
        <f>G59+G64</f>
        <v/>
      </c>
      <c r="H54" s="1304">
        <f>H59+H64</f>
        <v/>
      </c>
      <c r="I54" s="1304">
        <f>I59+I64</f>
        <v/>
      </c>
      <c r="J54" s="1304" t="n"/>
      <c r="K54" s="1304" t="n"/>
      <c r="L54" s="1304" t="n"/>
      <c r="M54" s="1304" t="n"/>
      <c r="N54" s="1304" t="n"/>
      <c r="O54" s="1304" t="n"/>
      <c r="P54" s="1304" t="n"/>
      <c r="Q54" s="1305" t="n"/>
      <c r="R54" s="1258" t="n"/>
    </row>
    <row r="55" ht="16.5" customHeight="1" s="838">
      <c r="B55" s="756" t="n"/>
      <c r="C55" s="738" t="n"/>
      <c r="D55" s="739" t="n"/>
      <c r="E55" s="790" t="inlineStr">
        <is>
          <t>`26년 실적</t>
        </is>
      </c>
      <c r="F55" s="1308">
        <f>F60+F65</f>
        <v/>
      </c>
      <c r="G55" s="1308">
        <f>G60+G65</f>
        <v/>
      </c>
      <c r="H55" s="1308">
        <f>H60+H65</f>
        <v/>
      </c>
      <c r="I55" s="1308">
        <f>I60+I65</f>
        <v/>
      </c>
      <c r="J55" s="1308" t="n"/>
      <c r="K55" s="1308" t="n"/>
      <c r="L55" s="1308" t="n"/>
      <c r="M55" s="1308" t="n"/>
      <c r="N55" s="1308" t="n"/>
      <c r="O55" s="1308" t="n"/>
      <c r="P55" s="1308" t="n"/>
      <c r="Q55" s="1309" t="n"/>
      <c r="R55" s="1258" t="n"/>
    </row>
    <row r="56" ht="16.5" customHeight="1" s="838">
      <c r="B56" s="756" t="n"/>
      <c r="C56" s="738" t="n"/>
      <c r="D56" s="737" t="inlineStr">
        <is>
          <t>개선금액</t>
        </is>
      </c>
      <c r="E56" s="797" t="inlineStr">
        <is>
          <t>`26년 목표</t>
        </is>
      </c>
      <c r="F56" s="1306">
        <f>F53-F54</f>
        <v/>
      </c>
      <c r="G56" s="1306">
        <f>G53-G54</f>
        <v/>
      </c>
      <c r="H56" s="1306">
        <f>H53-H54</f>
        <v/>
      </c>
      <c r="I56" s="1306">
        <f>I53-I54</f>
        <v/>
      </c>
      <c r="J56" s="1306" t="n"/>
      <c r="K56" s="1306" t="n"/>
      <c r="L56" s="1306" t="n"/>
      <c r="M56" s="1306" t="n"/>
      <c r="N56" s="1306" t="n"/>
      <c r="O56" s="1306" t="n"/>
      <c r="P56" s="1306" t="n"/>
      <c r="Q56" s="1307" t="n"/>
      <c r="R56" s="1258" t="n"/>
    </row>
    <row r="57" ht="16.5" customHeight="1" s="838">
      <c r="B57" s="756" t="n"/>
      <c r="C57" s="739" t="n"/>
      <c r="D57" s="739" t="n"/>
      <c r="E57" s="790" t="inlineStr">
        <is>
          <t>`26년 실적</t>
        </is>
      </c>
      <c r="F57" s="1269">
        <f>F53-F55</f>
        <v/>
      </c>
      <c r="G57" s="1269">
        <f>G53-G55</f>
        <v/>
      </c>
      <c r="H57" s="1269">
        <f>H53-H55</f>
        <v/>
      </c>
      <c r="I57" s="1269">
        <f>I53-I55</f>
        <v/>
      </c>
      <c r="J57" s="1308" t="n"/>
      <c r="K57" s="1308" t="n"/>
      <c r="L57" s="1308" t="n"/>
      <c r="M57" s="1308" t="n"/>
      <c r="N57" s="1308" t="n"/>
      <c r="O57" s="1308" t="n"/>
      <c r="P57" s="1308" t="n"/>
      <c r="Q57" s="1309" t="n"/>
      <c r="R57" s="1258" t="n"/>
    </row>
    <row r="58" ht="16.5" customHeight="1" s="838">
      <c r="B58" s="756" t="n"/>
      <c r="C58" s="733" t="inlineStr">
        <is>
          <t>법인6</t>
        </is>
      </c>
      <c r="D58" s="754" t="inlineStr">
        <is>
          <t>고정비</t>
        </is>
      </c>
      <c r="E58" s="797" t="inlineStr">
        <is>
          <t>`25년 실적</t>
        </is>
      </c>
      <c r="F58" s="1306" t="n">
        <v>54.723979</v>
      </c>
      <c r="G58" s="1306" t="n">
        <v>41.300047</v>
      </c>
      <c r="H58" s="1306" t="n">
        <v>36.58185</v>
      </c>
      <c r="I58" s="1306" t="n">
        <v>59.931502</v>
      </c>
      <c r="J58" s="1306" t="n"/>
      <c r="K58" s="1306" t="n"/>
      <c r="L58" s="1306" t="n"/>
      <c r="M58" s="1306" t="n"/>
      <c r="N58" s="1306" t="n"/>
      <c r="O58" s="1306" t="n"/>
      <c r="P58" s="1306" t="n"/>
      <c r="Q58" s="1307" t="n"/>
      <c r="R58" s="1258" t="n"/>
    </row>
    <row r="59" ht="16.5" customHeight="1" s="838">
      <c r="B59" s="756" t="n"/>
      <c r="C59" s="738" t="n"/>
      <c r="D59" s="738" t="n"/>
      <c r="E59" s="624" t="inlineStr">
        <is>
          <t>`26년 목표</t>
        </is>
      </c>
      <c r="F59" s="1304" t="n">
        <v>105.276717</v>
      </c>
      <c r="G59" s="1304" t="n">
        <v>69.94617700000001</v>
      </c>
      <c r="H59" s="1304" t="n">
        <v>50.05933</v>
      </c>
      <c r="I59" s="1304" t="n">
        <v>46.899153</v>
      </c>
      <c r="J59" s="1304" t="n"/>
      <c r="K59" s="1304" t="n"/>
      <c r="L59" s="1304" t="n"/>
      <c r="M59" s="1304" t="n"/>
      <c r="N59" s="1304" t="n"/>
      <c r="O59" s="1304" t="n"/>
      <c r="P59" s="1304" t="n"/>
      <c r="Q59" s="1305" t="n"/>
      <c r="R59" s="1258" t="n"/>
    </row>
    <row r="60" ht="16.5" customHeight="1" s="838">
      <c r="B60" s="756" t="n"/>
      <c r="C60" s="738" t="n"/>
      <c r="D60" s="739" t="n"/>
      <c r="E60" s="790" t="inlineStr">
        <is>
          <t>`26년 실적</t>
        </is>
      </c>
      <c r="F60" s="1308" t="n">
        <v>33.541578</v>
      </c>
      <c r="G60" s="1308" t="n">
        <v>34.190484</v>
      </c>
      <c r="H60" s="1308" t="n">
        <v>88.42065100000001</v>
      </c>
      <c r="I60" s="1308" t="n">
        <v>36.898052</v>
      </c>
      <c r="J60" s="1308" t="n"/>
      <c r="K60" s="1308" t="n"/>
      <c r="L60" s="1308" t="n"/>
      <c r="M60" s="1308" t="n"/>
      <c r="N60" s="1308" t="n"/>
      <c r="O60" s="1308" t="n"/>
      <c r="P60" s="1308" t="n"/>
      <c r="Q60" s="1309" t="n"/>
      <c r="R60" s="1258" t="n"/>
    </row>
    <row r="61" ht="16.5" customHeight="1" s="838">
      <c r="B61" s="756" t="n"/>
      <c r="C61" s="738" t="n"/>
      <c r="D61" s="737" t="inlineStr">
        <is>
          <t>개선금액</t>
        </is>
      </c>
      <c r="E61" s="797" t="inlineStr">
        <is>
          <t>`26년 목표</t>
        </is>
      </c>
      <c r="F61" s="1306">
        <f>F58-F59</f>
        <v/>
      </c>
      <c r="G61" s="1306">
        <f>G58-G59</f>
        <v/>
      </c>
      <c r="H61" s="1306">
        <f>H58-H59</f>
        <v/>
      </c>
      <c r="I61" s="1306">
        <f>I58-I59</f>
        <v/>
      </c>
      <c r="J61" s="1312" t="n"/>
      <c r="K61" s="1306" t="n"/>
      <c r="L61" s="1306" t="n"/>
      <c r="M61" s="1306" t="n"/>
      <c r="N61" s="1306" t="n"/>
      <c r="O61" s="1306" t="n"/>
      <c r="P61" s="1306" t="n"/>
      <c r="Q61" s="1307" t="n"/>
      <c r="R61" s="1258" t="n"/>
    </row>
    <row r="62" ht="16.5" customHeight="1" s="838">
      <c r="B62" s="756" t="n"/>
      <c r="C62" s="739" t="n"/>
      <c r="D62" s="739" t="n"/>
      <c r="E62" s="790" t="inlineStr">
        <is>
          <t>`26년 실적</t>
        </is>
      </c>
      <c r="F62" s="1269">
        <f>F58-F60</f>
        <v/>
      </c>
      <c r="G62" s="1269">
        <f>G58-G60</f>
        <v/>
      </c>
      <c r="H62" s="1269">
        <f>H58-H60</f>
        <v/>
      </c>
      <c r="I62" s="1269">
        <f>I58-I60</f>
        <v/>
      </c>
      <c r="J62" s="994" t="n"/>
      <c r="K62" s="1308" t="n"/>
      <c r="L62" s="1308" t="n"/>
      <c r="M62" s="1308" t="n"/>
      <c r="N62" s="1308" t="n"/>
      <c r="O62" s="1308" t="n"/>
      <c r="P62" s="1308" t="n"/>
      <c r="Q62" s="1309" t="n"/>
      <c r="R62" s="1258" t="n"/>
    </row>
    <row r="63" ht="16.5" customHeight="1" s="838">
      <c r="B63" s="756" t="n"/>
      <c r="C63" s="733" t="inlineStr">
        <is>
          <t>법인7</t>
        </is>
      </c>
      <c r="D63" s="754" t="inlineStr">
        <is>
          <t>고정비</t>
        </is>
      </c>
      <c r="E63" s="797" t="inlineStr">
        <is>
          <t>`25년 실적</t>
        </is>
      </c>
      <c r="F63" s="1306" t="n">
        <v>47.655619</v>
      </c>
      <c r="G63" s="1306" t="n">
        <v>66.526903</v>
      </c>
      <c r="H63" s="1306" t="n">
        <v>114.757628</v>
      </c>
      <c r="I63" s="1306" t="n">
        <v>86.365861</v>
      </c>
      <c r="J63" s="1306" t="n"/>
      <c r="K63" s="1306" t="n"/>
      <c r="L63" s="1306" t="n"/>
      <c r="M63" s="1306" t="n"/>
      <c r="N63" s="1306" t="n"/>
      <c r="O63" s="1306" t="n"/>
      <c r="P63" s="1306" t="n"/>
      <c r="Q63" s="1307" t="n"/>
      <c r="R63" s="1258" t="n"/>
    </row>
    <row r="64" ht="16.5" customHeight="1" s="838">
      <c r="B64" s="756" t="n"/>
      <c r="C64" s="738" t="n"/>
      <c r="D64" s="738" t="n"/>
      <c r="E64" s="624" t="inlineStr">
        <is>
          <t>`26년 목표</t>
        </is>
      </c>
      <c r="F64" s="1304" t="n">
        <v>113.787744</v>
      </c>
      <c r="G64" s="1304" t="n">
        <v>42.023203</v>
      </c>
      <c r="H64" s="1304" t="n">
        <v>120.214359</v>
      </c>
      <c r="I64" s="1304" t="n">
        <v>58.839373</v>
      </c>
      <c r="J64" s="1304" t="n"/>
      <c r="K64" s="1304" t="n"/>
      <c r="L64" s="1304" t="n"/>
      <c r="M64" s="1304" t="n"/>
      <c r="N64" s="1304" t="n"/>
      <c r="O64" s="1304" t="n"/>
      <c r="P64" s="1304" t="n"/>
      <c r="Q64" s="1305" t="n"/>
      <c r="R64" s="1258" t="n"/>
    </row>
    <row r="65" ht="16.5" customHeight="1" s="838">
      <c r="B65" s="756" t="n"/>
      <c r="C65" s="738" t="n"/>
      <c r="D65" s="739" t="n"/>
      <c r="E65" s="790" t="inlineStr">
        <is>
          <t>`26년 실적</t>
        </is>
      </c>
      <c r="F65" s="1308" t="n">
        <v>124.683684</v>
      </c>
      <c r="G65" s="1308" t="n">
        <v>123.96766</v>
      </c>
      <c r="H65" s="1308" t="n">
        <v>45.275934</v>
      </c>
      <c r="I65" s="1308" t="n">
        <v>55.355598</v>
      </c>
      <c r="J65" s="1308" t="n"/>
      <c r="K65" s="1308" t="n"/>
      <c r="L65" s="1308" t="n"/>
      <c r="M65" s="1308" t="n"/>
      <c r="N65" s="1308" t="n"/>
      <c r="O65" s="1308" t="n"/>
      <c r="P65" s="1308" t="n"/>
      <c r="Q65" s="1309" t="n"/>
      <c r="R65" s="1258" t="n"/>
    </row>
    <row r="66" ht="16.5" customHeight="1" s="838">
      <c r="B66" s="756" t="n"/>
      <c r="C66" s="738" t="n"/>
      <c r="D66" s="737" t="inlineStr">
        <is>
          <t>개선금액</t>
        </is>
      </c>
      <c r="E66" s="797" t="inlineStr">
        <is>
          <t>`26년 목표</t>
        </is>
      </c>
      <c r="F66" s="1306">
        <f>F63-F64</f>
        <v/>
      </c>
      <c r="G66" s="1306">
        <f>G63-G64</f>
        <v/>
      </c>
      <c r="H66" s="1306">
        <f>H63-H64</f>
        <v/>
      </c>
      <c r="I66" s="1306">
        <f>I63-I64</f>
        <v/>
      </c>
      <c r="J66" s="1312" t="n"/>
      <c r="K66" s="1306" t="n"/>
      <c r="L66" s="1306" t="n"/>
      <c r="M66" s="1306" t="n"/>
      <c r="N66" s="1306" t="n"/>
      <c r="O66" s="1306" t="n"/>
      <c r="P66" s="1306" t="n"/>
      <c r="Q66" s="1307" t="n"/>
      <c r="R66" s="1258" t="n"/>
    </row>
    <row r="67" ht="16.5" customHeight="1" s="838">
      <c r="B67" s="756" t="n"/>
      <c r="C67" s="739" t="n"/>
      <c r="D67" s="739" t="n"/>
      <c r="E67" s="790" t="inlineStr">
        <is>
          <t>`26년 실적</t>
        </is>
      </c>
      <c r="F67" s="1269">
        <f>F63-F65</f>
        <v/>
      </c>
      <c r="G67" s="1269">
        <f>G63-G65</f>
        <v/>
      </c>
      <c r="H67" s="1269">
        <f>H63-H65</f>
        <v/>
      </c>
      <c r="I67" s="1269">
        <f>I63-I65</f>
        <v/>
      </c>
      <c r="J67" s="994" t="n"/>
      <c r="K67" s="1308" t="n"/>
      <c r="L67" s="1308" t="n"/>
      <c r="M67" s="1308" t="n"/>
      <c r="N67" s="1308" t="n"/>
      <c r="O67" s="1308" t="n"/>
      <c r="P67" s="1308" t="n"/>
      <c r="Q67" s="1309" t="n"/>
      <c r="R67" s="1258" t="n"/>
    </row>
    <row r="68" ht="16.5" customHeight="1" s="838">
      <c r="A68" s="625" t="n"/>
      <c r="B68" s="756" t="n"/>
      <c r="C68" s="733" t="inlineStr">
        <is>
          <t>법인8</t>
        </is>
      </c>
      <c r="D68" s="754" t="inlineStr">
        <is>
          <t>고정비</t>
        </is>
      </c>
      <c r="E68" s="797" t="inlineStr">
        <is>
          <t>`25년 실적</t>
        </is>
      </c>
      <c r="F68" s="1306" t="n">
        <v>140.680203</v>
      </c>
      <c r="G68" s="1306" t="n">
        <v>38.592744</v>
      </c>
      <c r="H68" s="1306" t="n">
        <v>67.216928</v>
      </c>
      <c r="I68" s="1306" t="n">
        <v>95.312468</v>
      </c>
      <c r="J68" s="1306" t="n"/>
      <c r="K68" s="1306" t="n"/>
      <c r="L68" s="1306" t="n"/>
      <c r="M68" s="1306" t="n"/>
      <c r="N68" s="1306" t="n"/>
      <c r="O68" s="1306" t="n"/>
      <c r="P68" s="1306" t="n"/>
      <c r="Q68" s="1307" t="n"/>
      <c r="R68" s="1258" t="n"/>
    </row>
    <row r="69" ht="16.5" customHeight="1" s="838">
      <c r="B69" s="756" t="n"/>
      <c r="C69" s="738" t="n"/>
      <c r="D69" s="738" t="n"/>
      <c r="E69" s="624" t="inlineStr">
        <is>
          <t>`26년 목표</t>
        </is>
      </c>
      <c r="F69" s="1304" t="n">
        <v>83.037317</v>
      </c>
      <c r="G69" s="1304" t="n">
        <v>51.008727</v>
      </c>
      <c r="H69" s="1304" t="n">
        <v>99.773392</v>
      </c>
      <c r="I69" s="1304" t="n">
        <v>103.360465</v>
      </c>
      <c r="J69" s="1304" t="n"/>
      <c r="K69" s="1304" t="n"/>
      <c r="L69" s="1304" t="n"/>
      <c r="M69" s="1304" t="n"/>
      <c r="N69" s="1304" t="n"/>
      <c r="O69" s="1304" t="n"/>
      <c r="P69" s="1304" t="n"/>
      <c r="Q69" s="1305" t="n"/>
      <c r="R69" s="1258" t="n"/>
    </row>
    <row r="70" ht="16.5" customHeight="1" s="838">
      <c r="B70" s="756" t="n"/>
      <c r="C70" s="738" t="n"/>
      <c r="D70" s="739" t="n"/>
      <c r="E70" s="790" t="inlineStr">
        <is>
          <t>`26년 실적</t>
        </is>
      </c>
      <c r="F70" s="1308" t="n">
        <v>39.076322</v>
      </c>
      <c r="G70" s="1308" t="n">
        <v>95.851529</v>
      </c>
      <c r="H70" s="1308" t="n">
        <v>111.518901</v>
      </c>
      <c r="I70" s="1308" t="n">
        <v>117.979171</v>
      </c>
      <c r="J70" s="1308" t="n"/>
      <c r="K70" s="1308" t="n"/>
      <c r="L70" s="1308" t="n"/>
      <c r="M70" s="1308" t="n"/>
      <c r="N70" s="1308" t="n"/>
      <c r="O70" s="1308" t="n"/>
      <c r="P70" s="1308" t="n"/>
      <c r="Q70" s="1309" t="n"/>
      <c r="R70" s="1258" t="n"/>
    </row>
    <row r="71" ht="16.5" customHeight="1" s="838">
      <c r="B71" s="756" t="n"/>
      <c r="C71" s="738" t="n"/>
      <c r="D71" s="737" t="inlineStr">
        <is>
          <t>개선금액</t>
        </is>
      </c>
      <c r="E71" s="797" t="inlineStr">
        <is>
          <t>`26년 목표</t>
        </is>
      </c>
      <c r="F71" s="1306">
        <f>F68-F69</f>
        <v/>
      </c>
      <c r="G71" s="1306">
        <f>G68-G69</f>
        <v/>
      </c>
      <c r="H71" s="1306">
        <f>H68-H69</f>
        <v/>
      </c>
      <c r="I71" s="1306">
        <f>I68-I69</f>
        <v/>
      </c>
      <c r="J71" s="1312" t="n"/>
      <c r="K71" s="1306" t="n"/>
      <c r="L71" s="1306" t="n"/>
      <c r="M71" s="1306" t="n"/>
      <c r="N71" s="1306" t="n"/>
      <c r="O71" s="1306" t="n"/>
      <c r="P71" s="1306" t="n"/>
      <c r="Q71" s="1307" t="n"/>
      <c r="R71" s="1258" t="n"/>
    </row>
    <row r="72" ht="16.5" customHeight="1" s="838">
      <c r="B72" s="756" t="n"/>
      <c r="C72" s="739" t="n"/>
      <c r="D72" s="739" t="n"/>
      <c r="E72" s="790" t="inlineStr">
        <is>
          <t>`26년 실적</t>
        </is>
      </c>
      <c r="F72" s="1269">
        <f>F68-F70</f>
        <v/>
      </c>
      <c r="G72" s="1269">
        <f>G68-G70</f>
        <v/>
      </c>
      <c r="H72" s="1269">
        <f>H68-H70</f>
        <v/>
      </c>
      <c r="I72" s="1269">
        <f>I68-I70</f>
        <v/>
      </c>
      <c r="J72" s="994" t="n"/>
      <c r="K72" s="1308" t="n"/>
      <c r="L72" s="1308" t="n"/>
      <c r="M72" s="1308" t="n"/>
      <c r="N72" s="1308" t="n"/>
      <c r="O72" s="1308" t="n"/>
      <c r="P72" s="1308" t="n"/>
      <c r="Q72" s="1309" t="n"/>
      <c r="R72" s="1258" t="n"/>
    </row>
    <row r="73" ht="16.5" customHeight="1" s="838">
      <c r="A73" s="625" t="n"/>
      <c r="B73" s="756" t="n"/>
      <c r="C73" s="733" t="inlineStr">
        <is>
          <t>법인9</t>
        </is>
      </c>
      <c r="D73" s="754" t="inlineStr">
        <is>
          <t>고정비</t>
        </is>
      </c>
      <c r="E73" s="797" t="inlineStr">
        <is>
          <t>`25년 실적</t>
        </is>
      </c>
      <c r="F73" s="1306" t="n">
        <v>68.782498</v>
      </c>
      <c r="G73" s="1306" t="n">
        <v>19.257472</v>
      </c>
      <c r="H73" s="1306" t="n">
        <v>23.909511</v>
      </c>
      <c r="I73" s="1306" t="n">
        <v>38.005079</v>
      </c>
      <c r="J73" s="1306" t="n"/>
      <c r="K73" s="1306" t="n"/>
      <c r="L73" s="1306" t="n"/>
      <c r="M73" s="1306" t="n"/>
      <c r="N73" s="1306" t="n"/>
      <c r="O73" s="1306" t="n"/>
      <c r="P73" s="1306" t="n"/>
      <c r="Q73" s="1307" t="n"/>
      <c r="R73" s="1258" t="n"/>
    </row>
    <row r="74" ht="16.5" customHeight="1" s="838">
      <c r="B74" s="756" t="n"/>
      <c r="C74" s="738" t="n"/>
      <c r="D74" s="738" t="n"/>
      <c r="E74" s="624" t="inlineStr">
        <is>
          <t>`26년 목표</t>
        </is>
      </c>
      <c r="F74" s="1304" t="n">
        <v>23.230507</v>
      </c>
      <c r="G74" s="1304" t="n">
        <v>55.601044</v>
      </c>
      <c r="H74" s="1304" t="n">
        <v>52.739553</v>
      </c>
      <c r="I74" s="1304" t="n">
        <v>26.051734</v>
      </c>
      <c r="J74" s="1304" t="n"/>
      <c r="K74" s="1304" t="n"/>
      <c r="L74" s="1304" t="n"/>
      <c r="M74" s="1304" t="n"/>
      <c r="N74" s="1304" t="n"/>
      <c r="O74" s="1304" t="n"/>
      <c r="P74" s="1304" t="n"/>
      <c r="Q74" s="1305" t="n"/>
      <c r="R74" s="1258" t="n"/>
    </row>
    <row r="75" ht="16.5" customHeight="1" s="838">
      <c r="B75" s="756" t="n"/>
      <c r="C75" s="738" t="n"/>
      <c r="D75" s="739" t="n"/>
      <c r="E75" s="790" t="inlineStr">
        <is>
          <t>`26년 실적</t>
        </is>
      </c>
      <c r="F75" s="1308" t="n">
        <v>98.372516</v>
      </c>
      <c r="G75" s="1308" t="n">
        <v>98.39094900000001</v>
      </c>
      <c r="H75" s="1308" t="n">
        <v>40.568002</v>
      </c>
      <c r="I75" s="1308" t="n">
        <v>48.39747</v>
      </c>
      <c r="J75" s="1308" t="n"/>
      <c r="K75" s="1308" t="n"/>
      <c r="L75" s="1308" t="n"/>
      <c r="M75" s="1308" t="n"/>
      <c r="N75" s="1308" t="n"/>
      <c r="O75" s="1308" t="n"/>
      <c r="P75" s="1308" t="n"/>
      <c r="Q75" s="1309" t="n"/>
      <c r="R75" s="1258" t="n"/>
    </row>
    <row r="76" ht="16.5" customHeight="1" s="838">
      <c r="B76" s="756" t="n"/>
      <c r="C76" s="738" t="n"/>
      <c r="D76" s="737" t="inlineStr">
        <is>
          <t>개선금액</t>
        </is>
      </c>
      <c r="E76" s="797" t="inlineStr">
        <is>
          <t>`26년 목표</t>
        </is>
      </c>
      <c r="F76" s="1306">
        <f>F73-F74</f>
        <v/>
      </c>
      <c r="G76" s="1306">
        <f>G73-G74</f>
        <v/>
      </c>
      <c r="H76" s="1306">
        <f>H73-H74</f>
        <v/>
      </c>
      <c r="I76" s="1306">
        <f>I73-I74</f>
        <v/>
      </c>
      <c r="J76" s="1312" t="n"/>
      <c r="K76" s="1306" t="n"/>
      <c r="L76" s="1306" t="n"/>
      <c r="M76" s="1306" t="n"/>
      <c r="N76" s="1306" t="n"/>
      <c r="O76" s="1306" t="n"/>
      <c r="P76" s="1306" t="n"/>
      <c r="Q76" s="1307" t="n"/>
      <c r="R76" s="1258" t="n"/>
    </row>
    <row r="77" ht="16.5" customHeight="1" s="838">
      <c r="B77" s="756" t="n"/>
      <c r="C77" s="739" t="n"/>
      <c r="D77" s="739" t="n"/>
      <c r="E77" s="790" t="inlineStr">
        <is>
          <t>`26년 실적</t>
        </is>
      </c>
      <c r="F77" s="1269">
        <f>F73-F75</f>
        <v/>
      </c>
      <c r="G77" s="1269">
        <f>G73-G75</f>
        <v/>
      </c>
      <c r="H77" s="1269">
        <f>H73-H75</f>
        <v/>
      </c>
      <c r="I77" s="1269">
        <f>I73-I75</f>
        <v/>
      </c>
      <c r="J77" s="994" t="n"/>
      <c r="K77" s="1308" t="n"/>
      <c r="L77" s="1308" t="n"/>
      <c r="M77" s="1308" t="n"/>
      <c r="N77" s="1308" t="n"/>
      <c r="O77" s="1308" t="n"/>
      <c r="P77" s="1308" t="n"/>
      <c r="Q77" s="1309" t="n"/>
      <c r="R77" s="1258" t="n"/>
    </row>
    <row r="78" ht="16.5" customHeight="1" s="838">
      <c r="A78" s="625" t="n"/>
      <c r="B78" s="756" t="n"/>
      <c r="C78" s="733" t="inlineStr">
        <is>
          <t>법인10</t>
        </is>
      </c>
      <c r="D78" s="754" t="inlineStr">
        <is>
          <t>고정비</t>
        </is>
      </c>
      <c r="E78" s="797" t="inlineStr">
        <is>
          <t>`25년 실적</t>
        </is>
      </c>
      <c r="F78" s="1306" t="n">
        <v>0</v>
      </c>
      <c r="G78" s="1306" t="n">
        <v>0</v>
      </c>
      <c r="H78" s="1306" t="n">
        <v>0</v>
      </c>
      <c r="I78" s="1306" t="n">
        <v>0</v>
      </c>
      <c r="J78" s="1306" t="n"/>
      <c r="K78" s="1306" t="n"/>
      <c r="L78" s="1306" t="n"/>
      <c r="M78" s="1306" t="n"/>
      <c r="N78" s="1306" t="n"/>
      <c r="O78" s="1306" t="n"/>
      <c r="P78" s="1306" t="n"/>
      <c r="Q78" s="1307" t="n"/>
      <c r="R78" s="1258" t="n"/>
    </row>
    <row r="79" ht="16.5" customHeight="1" s="838">
      <c r="B79" s="756" t="n"/>
      <c r="C79" s="738" t="n"/>
      <c r="D79" s="738" t="n"/>
      <c r="E79" s="624" t="inlineStr">
        <is>
          <t>`26년 목표</t>
        </is>
      </c>
      <c r="F79" s="1304" t="n">
        <v>0</v>
      </c>
      <c r="G79" s="1304" t="n">
        <v>0</v>
      </c>
      <c r="H79" s="1304" t="n">
        <v>0</v>
      </c>
      <c r="I79" s="1304" t="n">
        <v>0</v>
      </c>
      <c r="J79" s="1304" t="n"/>
      <c r="K79" s="1304" t="n"/>
      <c r="L79" s="1304" t="n"/>
      <c r="M79" s="1304" t="n"/>
      <c r="N79" s="1304" t="n"/>
      <c r="O79" s="1304" t="n"/>
      <c r="P79" s="1304" t="n"/>
      <c r="Q79" s="1305" t="n"/>
      <c r="R79" s="1258" t="n"/>
    </row>
    <row r="80" ht="16.5" customHeight="1" s="838">
      <c r="B80" s="756" t="n"/>
      <c r="C80" s="738" t="n"/>
      <c r="D80" s="739" t="n"/>
      <c r="E80" s="790" t="inlineStr">
        <is>
          <t>`26년 실적</t>
        </is>
      </c>
      <c r="F80" s="1308" t="n">
        <v>0</v>
      </c>
      <c r="G80" s="1308" t="n">
        <v>0</v>
      </c>
      <c r="H80" s="1308" t="n">
        <v>0</v>
      </c>
      <c r="I80" s="1308" t="n">
        <v>0</v>
      </c>
      <c r="J80" s="1308" t="n"/>
      <c r="K80" s="1308" t="n"/>
      <c r="L80" s="1308" t="n"/>
      <c r="M80" s="1308" t="n"/>
      <c r="N80" s="1308" t="n"/>
      <c r="O80" s="1308" t="n"/>
      <c r="P80" s="1308" t="n"/>
      <c r="Q80" s="1309" t="n"/>
      <c r="R80" s="1258" t="n"/>
    </row>
    <row r="81" ht="16.5" customHeight="1" s="838">
      <c r="B81" s="756" t="n"/>
      <c r="C81" s="738" t="n"/>
      <c r="D81" s="737" t="inlineStr">
        <is>
          <t>개선금액</t>
        </is>
      </c>
      <c r="E81" s="797" t="inlineStr">
        <is>
          <t>`26년 목표</t>
        </is>
      </c>
      <c r="F81" s="1306">
        <f>F78-F79</f>
        <v/>
      </c>
      <c r="G81" s="1306">
        <f>G78-G79</f>
        <v/>
      </c>
      <c r="H81" s="1306">
        <f>H78-H79</f>
        <v/>
      </c>
      <c r="I81" s="1306">
        <f>I78-I79</f>
        <v/>
      </c>
      <c r="J81" s="1306" t="n"/>
      <c r="K81" s="1306" t="n"/>
      <c r="L81" s="1306" t="n"/>
      <c r="M81" s="1306" t="n"/>
      <c r="N81" s="1306" t="n"/>
      <c r="O81" s="1306" t="n"/>
      <c r="P81" s="1306" t="n"/>
      <c r="Q81" s="1307" t="n"/>
      <c r="R81" s="1258" t="n"/>
    </row>
    <row r="82" ht="16.5" customHeight="1" s="838">
      <c r="B82" s="770" t="n"/>
      <c r="C82" s="739" t="n"/>
      <c r="D82" s="739" t="n"/>
      <c r="E82" s="790" t="inlineStr">
        <is>
          <t>`26년 실적</t>
        </is>
      </c>
      <c r="F82" s="1269">
        <f>F78-F80</f>
        <v/>
      </c>
      <c r="G82" s="1269">
        <f>G78-G80</f>
        <v/>
      </c>
      <c r="H82" s="1269">
        <f>H78-H80</f>
        <v/>
      </c>
      <c r="I82" s="1269">
        <f>I78-I80</f>
        <v/>
      </c>
      <c r="J82" s="1269" t="n"/>
      <c r="K82" s="1308" t="n"/>
      <c r="L82" s="1308" t="n"/>
      <c r="M82" s="1308" t="n"/>
      <c r="N82" s="1308" t="n"/>
      <c r="O82" s="1308" t="n"/>
      <c r="P82" s="1308" t="n"/>
      <c r="Q82" s="1309" t="n"/>
      <c r="R82" s="1258" t="n"/>
    </row>
    <row r="83" ht="16.5" customHeight="1" s="838">
      <c r="A83" s="625" t="n"/>
      <c r="B83" s="813" t="inlineStr">
        <is>
          <t>부문6_제품2</t>
        </is>
      </c>
      <c r="C83" s="744" t="inlineStr">
        <is>
          <t>법인7</t>
        </is>
      </c>
      <c r="D83" s="754" t="inlineStr">
        <is>
          <t>고정비</t>
        </is>
      </c>
      <c r="E83" s="797" t="inlineStr">
        <is>
          <t>`25년 실적</t>
        </is>
      </c>
      <c r="F83" s="1312" t="n">
        <v>22.822732</v>
      </c>
      <c r="G83" s="1312" t="n">
        <v>19.846849</v>
      </c>
      <c r="H83" s="1312" t="n">
        <v>3.916057</v>
      </c>
      <c r="I83" s="1312" t="n">
        <v>14.447077</v>
      </c>
      <c r="J83" s="1312" t="n"/>
      <c r="K83" s="1312" t="n"/>
      <c r="L83" s="1312" t="n"/>
      <c r="M83" s="1312" t="n"/>
      <c r="N83" s="1312" t="n"/>
      <c r="O83" s="1312" t="n"/>
      <c r="P83" s="1312" t="n"/>
      <c r="Q83" s="1313" t="n"/>
      <c r="R83" s="1258" t="n"/>
    </row>
    <row r="84" ht="16.5" customHeight="1" s="838">
      <c r="B84" s="756" t="n"/>
      <c r="C84" s="738" t="n"/>
      <c r="D84" s="738" t="n"/>
      <c r="E84" s="624" t="inlineStr">
        <is>
          <t>`26년 목표</t>
        </is>
      </c>
      <c r="F84" s="1318" t="n">
        <v>29.547437</v>
      </c>
      <c r="G84" s="1318" t="n">
        <v>34.951064</v>
      </c>
      <c r="H84" s="1318" t="n">
        <v>23.158169</v>
      </c>
      <c r="I84" s="1318" t="n">
        <v>12.675824</v>
      </c>
      <c r="J84" s="1318" t="n"/>
      <c r="K84" s="1318" t="n"/>
      <c r="L84" s="1318" t="n"/>
      <c r="M84" s="1318" t="n"/>
      <c r="N84" s="1318" t="n"/>
      <c r="O84" s="1318" t="n"/>
      <c r="P84" s="1318" t="n"/>
      <c r="Q84" s="1319" t="n"/>
      <c r="R84" s="1258" t="n"/>
    </row>
    <row r="85" ht="16.5" customHeight="1" s="838">
      <c r="B85" s="756" t="n"/>
      <c r="C85" s="738" t="n"/>
      <c r="D85" s="739" t="n"/>
      <c r="E85" s="790" t="inlineStr">
        <is>
          <t>`26년 실적</t>
        </is>
      </c>
      <c r="F85" s="1314" t="n">
        <v>2.536662</v>
      </c>
      <c r="G85" s="1314" t="n">
        <v>19.846849</v>
      </c>
      <c r="H85" s="1314" t="n">
        <v>4.465238</v>
      </c>
      <c r="I85" s="1314" t="n">
        <v>10.725452</v>
      </c>
      <c r="J85" s="1314" t="n"/>
      <c r="K85" s="1314" t="n"/>
      <c r="L85" s="1314" t="n"/>
      <c r="M85" s="1314" t="n"/>
      <c r="N85" s="1314" t="n"/>
      <c r="O85" s="1314" t="n"/>
      <c r="P85" s="1314" t="n"/>
      <c r="Q85" s="1315" t="n"/>
      <c r="R85" s="1258" t="n"/>
    </row>
    <row r="86" ht="16.5" customHeight="1" s="838">
      <c r="B86" s="756" t="n"/>
      <c r="C86" s="738" t="n"/>
      <c r="D86" s="737" t="inlineStr">
        <is>
          <t>개선금액</t>
        </is>
      </c>
      <c r="E86" s="797" t="inlineStr">
        <is>
          <t>`26년 목표</t>
        </is>
      </c>
      <c r="F86" s="1312">
        <f>F83-F84</f>
        <v/>
      </c>
      <c r="G86" s="1312">
        <f>G83-G84</f>
        <v/>
      </c>
      <c r="H86" s="1312">
        <f>H83-H84</f>
        <v/>
      </c>
      <c r="I86" s="1312">
        <f>I83-I84</f>
        <v/>
      </c>
      <c r="J86" s="1312" t="n"/>
      <c r="K86" s="1312" t="n"/>
      <c r="L86" s="1312" t="n"/>
      <c r="M86" s="1312" t="n"/>
      <c r="N86" s="1312" t="n"/>
      <c r="O86" s="1312" t="n"/>
      <c r="P86" s="1312" t="n"/>
      <c r="Q86" s="1313" t="n"/>
      <c r="R86" s="1258" t="n"/>
    </row>
    <row r="87" ht="17.25" customHeight="1" s="838" thickBot="1">
      <c r="B87" s="757" t="n"/>
      <c r="C87" s="753" t="n"/>
      <c r="D87" s="739" t="n"/>
      <c r="E87" s="626" t="inlineStr">
        <is>
          <t>`26년 실적</t>
        </is>
      </c>
      <c r="F87" s="1004">
        <f>F83-F85</f>
        <v/>
      </c>
      <c r="G87" s="1004">
        <f>G83-G85</f>
        <v/>
      </c>
      <c r="H87" s="1004">
        <f>H83-H85</f>
        <v/>
      </c>
      <c r="I87" s="1004">
        <f>I83-I85</f>
        <v/>
      </c>
      <c r="J87" s="1004" t="n"/>
      <c r="K87" s="1330" t="n"/>
      <c r="L87" s="1330" t="n"/>
      <c r="M87" s="1330" t="n"/>
      <c r="N87" s="1330" t="n"/>
      <c r="O87" s="1330" t="n"/>
      <c r="P87" s="1330" t="n"/>
      <c r="Q87" s="1331" t="n"/>
      <c r="R87" s="1258" t="n"/>
    </row>
    <row r="88" ht="16.5" customHeight="1" s="838">
      <c r="B88" s="831" t="n"/>
      <c r="C88" s="831" t="n"/>
      <c r="D88" s="831" t="n"/>
      <c r="E88" s="831" t="n"/>
    </row>
    <row r="89" ht="16.5" customHeight="1" s="838">
      <c r="B89" s="831" t="n"/>
      <c r="C89" s="831" t="n"/>
      <c r="D89" s="831" t="n"/>
      <c r="E89" s="831" t="n"/>
      <c r="F89" s="1155" t="n"/>
      <c r="G89" s="1155" t="n"/>
      <c r="H89" s="1155" t="n"/>
      <c r="I89" s="1155" t="n"/>
      <c r="J89" s="1155" t="n"/>
      <c r="K89" s="1155" t="n"/>
      <c r="L89" s="1155" t="n"/>
      <c r="M89" s="1155" t="n"/>
      <c r="N89" s="1155" t="n"/>
      <c r="O89" s="1155" t="n"/>
      <c r="P89" s="1155" t="n"/>
      <c r="Q89" s="1155" t="n"/>
      <c r="R89" s="1155" t="n"/>
    </row>
    <row r="90" ht="16.5" customHeight="1" s="838">
      <c r="F90" s="1155" t="n"/>
      <c r="G90" s="1155" t="n"/>
      <c r="H90" s="1155" t="n"/>
      <c r="I90" s="1155" t="n"/>
      <c r="J90" s="1155" t="n"/>
      <c r="K90" s="1155" t="n"/>
      <c r="L90" s="1155" t="n"/>
      <c r="M90" s="1155" t="n"/>
      <c r="N90" s="1155" t="n"/>
      <c r="O90" s="1155" t="n"/>
      <c r="P90" s="1155" t="n"/>
      <c r="Q90" s="1155" t="n"/>
      <c r="R90" s="1155" t="n"/>
    </row>
    <row r="91" ht="16.5" customHeight="1" s="838">
      <c r="F91" s="1155" t="n"/>
      <c r="G91" s="1155" t="n"/>
      <c r="H91" s="1155" t="n"/>
      <c r="I91" s="1155" t="n"/>
      <c r="J91" s="1155" t="n"/>
      <c r="K91" s="1155" t="n"/>
      <c r="L91" s="1155" t="n"/>
      <c r="M91" s="1155" t="n"/>
      <c r="N91" s="1155" t="n"/>
      <c r="O91" s="1155" t="n"/>
      <c r="P91" s="1155" t="n"/>
      <c r="Q91" s="1155" t="n"/>
      <c r="R91" s="1155" t="n"/>
    </row>
    <row r="92" ht="16.5" customHeight="1" s="838">
      <c r="F92" s="1155" t="n"/>
      <c r="G92" s="1155" t="n"/>
      <c r="H92" s="1155" t="n"/>
      <c r="I92" s="1155" t="n"/>
      <c r="J92" s="1170" t="n"/>
      <c r="K92" s="1155" t="n"/>
      <c r="L92" s="1155" t="n"/>
      <c r="M92" s="1155" t="n"/>
      <c r="N92" s="1155" t="n"/>
      <c r="O92" s="1155" t="n"/>
      <c r="P92" s="1155" t="n"/>
      <c r="Q92" s="1155" t="n"/>
      <c r="R92" s="1155" t="n"/>
    </row>
    <row r="93" ht="16.5" customHeight="1" s="838">
      <c r="F93" s="1155" t="n"/>
      <c r="G93" s="1155" t="n"/>
      <c r="H93" s="1155" t="n"/>
      <c r="I93" s="1155" t="n"/>
      <c r="J93" s="1170" t="n"/>
      <c r="K93" s="1155" t="n"/>
      <c r="L93" s="1155" t="n"/>
      <c r="M93" s="1155" t="n"/>
      <c r="N93" s="1155" t="n"/>
      <c r="O93" s="1155" t="n"/>
      <c r="P93" s="1155" t="n"/>
      <c r="Q93" s="1155" t="n"/>
      <c r="R93" s="1155" t="n"/>
    </row>
  </sheetData>
  <mergeCells count="59">
    <mergeCell ref="D53:D55"/>
    <mergeCell ref="D78:D80"/>
    <mergeCell ref="D43:D45"/>
    <mergeCell ref="C43:C47"/>
    <mergeCell ref="B38:B42"/>
    <mergeCell ref="C8:C12"/>
    <mergeCell ref="D21:D22"/>
    <mergeCell ref="D86:D87"/>
    <mergeCell ref="D61:D62"/>
    <mergeCell ref="D68:D70"/>
    <mergeCell ref="D8:D10"/>
    <mergeCell ref="D11:D12"/>
    <mergeCell ref="D33:D35"/>
    <mergeCell ref="D46:D47"/>
    <mergeCell ref="D36:D37"/>
    <mergeCell ref="D58:D60"/>
    <mergeCell ref="C23:C27"/>
    <mergeCell ref="D18:D20"/>
    <mergeCell ref="D76:D77"/>
    <mergeCell ref="C2:E2"/>
    <mergeCell ref="D23:D25"/>
    <mergeCell ref="C48:C52"/>
    <mergeCell ref="D83:D85"/>
    <mergeCell ref="D63:D65"/>
    <mergeCell ref="C13:C17"/>
    <mergeCell ref="B83:B87"/>
    <mergeCell ref="B33:B37"/>
    <mergeCell ref="D66:D67"/>
    <mergeCell ref="D73:D75"/>
    <mergeCell ref="D38:D40"/>
    <mergeCell ref="D56:D57"/>
    <mergeCell ref="C38:C42"/>
    <mergeCell ref="D41:D42"/>
    <mergeCell ref="C3:C7"/>
    <mergeCell ref="D16:D17"/>
    <mergeCell ref="C28:C32"/>
    <mergeCell ref="C53:C57"/>
    <mergeCell ref="C18:C22"/>
    <mergeCell ref="C58:C62"/>
    <mergeCell ref="D71:D72"/>
    <mergeCell ref="C78:C82"/>
    <mergeCell ref="C68:C72"/>
    <mergeCell ref="D6:D7"/>
    <mergeCell ref="C33:C37"/>
    <mergeCell ref="F1:Q1"/>
    <mergeCell ref="B3:B7"/>
    <mergeCell ref="C83:C87"/>
    <mergeCell ref="C63:C67"/>
    <mergeCell ref="C73:C77"/>
    <mergeCell ref="B8:B32"/>
    <mergeCell ref="B43:B82"/>
    <mergeCell ref="D51:D52"/>
    <mergeCell ref="D26:D27"/>
    <mergeCell ref="D48:D50"/>
    <mergeCell ref="D13:D15"/>
    <mergeCell ref="D31:D32"/>
    <mergeCell ref="D3:D5"/>
    <mergeCell ref="D81:D82"/>
    <mergeCell ref="D28:D30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C00000"/>
    <outlinePr summaryBelow="1" summaryRight="1"/>
    <pageSetUpPr/>
  </sheetPr>
  <dimension ref="B1:S197"/>
  <sheetViews>
    <sheetView showGridLines="0" zoomScale="70" zoomScaleNormal="70" workbookViewId="0">
      <pane xSplit="6" ySplit="2" topLeftCell="G3" activePane="bottomRight" state="frozen"/>
      <selection pane="topRight" activeCell="G1" sqref="G1"/>
      <selection pane="bottomLeft" activeCell="A157" sqref="A157"/>
      <selection pane="bottomRight" activeCell="D113" sqref="D113:D117"/>
    </sheetView>
  </sheetViews>
  <sheetFormatPr baseColWidth="8" defaultColWidth="9" defaultRowHeight="16.5" customHeight="1" outlineLevelRow="1"/>
  <cols>
    <col width="5.25" customWidth="1" style="816" min="1" max="1"/>
    <col width="10.125" customWidth="1" style="816" min="2" max="2"/>
    <col width="5.25" customWidth="1" style="628" min="3" max="3"/>
    <col width="11.75" customWidth="1" style="816" min="4" max="4"/>
    <col width="8.5" customWidth="1" style="816" min="5" max="5"/>
    <col width="10.25" customWidth="1" style="816" min="6" max="6"/>
    <col width="6.375" customWidth="1" style="816" min="7" max="7"/>
    <col width="6.875" customWidth="1" style="816" min="8" max="8"/>
    <col width="6.375" customWidth="1" style="816" min="9" max="10"/>
    <col width="4.75" customWidth="1" style="816" min="11" max="15"/>
    <col width="5.625" customWidth="1" style="816" min="16" max="18"/>
    <col width="65.5" customWidth="1" style="816" min="19" max="19"/>
    <col width="9" customWidth="1" style="816" min="20" max="20"/>
    <col width="9" customWidth="1" style="816" min="21" max="16384"/>
  </cols>
  <sheetData>
    <row r="1" ht="16.5" customHeight="1" s="838">
      <c r="D1" s="629" t="n"/>
      <c r="E1" s="629" t="n"/>
      <c r="F1" s="629" t="n"/>
      <c r="G1" s="815" t="n"/>
      <c r="S1" s="630" t="n"/>
    </row>
    <row r="2" ht="17.25" customHeight="1" s="838">
      <c r="B2" s="817" t="n"/>
      <c r="C2" s="747" t="n"/>
      <c r="D2" s="747" t="n"/>
      <c r="E2" s="747" t="n"/>
      <c r="F2" s="748" t="n"/>
      <c r="G2" s="631" t="inlineStr">
        <is>
          <t>1월</t>
        </is>
      </c>
      <c r="H2" s="631" t="inlineStr">
        <is>
          <t>2월</t>
        </is>
      </c>
      <c r="I2" s="631" t="inlineStr">
        <is>
          <t>3월</t>
        </is>
      </c>
      <c r="J2" s="631" t="inlineStr">
        <is>
          <t>4월</t>
        </is>
      </c>
      <c r="K2" s="631" t="inlineStr">
        <is>
          <t>5월</t>
        </is>
      </c>
      <c r="L2" s="631" t="inlineStr">
        <is>
          <t>6월</t>
        </is>
      </c>
      <c r="M2" s="631" t="inlineStr">
        <is>
          <t>7월</t>
        </is>
      </c>
      <c r="N2" s="631" t="inlineStr">
        <is>
          <t>8월</t>
        </is>
      </c>
      <c r="O2" s="631" t="inlineStr">
        <is>
          <t>9월</t>
        </is>
      </c>
      <c r="P2" s="631" t="inlineStr">
        <is>
          <t>10월</t>
        </is>
      </c>
      <c r="Q2" s="631" t="inlineStr">
        <is>
          <t>11월</t>
        </is>
      </c>
      <c r="R2" s="631" t="inlineStr">
        <is>
          <t>12월</t>
        </is>
      </c>
      <c r="S2" s="630" t="n"/>
    </row>
    <row r="3" ht="16.5" customHeight="1" s="838">
      <c r="B3" s="758" t="inlineStr">
        <is>
          <t>키친솔루션</t>
        </is>
      </c>
      <c r="C3" s="750" t="inlineStr">
        <is>
          <t>키친솔루션 합계</t>
        </is>
      </c>
      <c r="D3" s="743" t="n"/>
      <c r="E3" s="750" t="inlineStr">
        <is>
          <t>고정비</t>
        </is>
      </c>
      <c r="F3" s="802" t="inlineStr">
        <is>
          <t>`25년 실적</t>
        </is>
      </c>
      <c r="G3" s="1332">
        <f>SUM(G8,G38)</f>
        <v/>
      </c>
      <c r="H3" s="1332">
        <f>SUM(H8,H38)</f>
        <v/>
      </c>
      <c r="I3" s="1332">
        <f>SUM(I8,I38)</f>
        <v/>
      </c>
      <c r="J3" s="1332">
        <f>SUM(J8,J38)</f>
        <v/>
      </c>
      <c r="K3" s="1332" t="n"/>
      <c r="L3" s="1332" t="n"/>
      <c r="M3" s="1332" t="n"/>
      <c r="N3" s="1332" t="n"/>
      <c r="O3" s="1332" t="n"/>
      <c r="P3" s="1332" t="n"/>
      <c r="Q3" s="1332" t="n"/>
      <c r="R3" s="1333" t="n"/>
      <c r="S3" s="630" t="n"/>
    </row>
    <row r="4" ht="16.5" customHeight="1" s="838">
      <c r="B4" s="756" t="n"/>
      <c r="C4" s="800" t="n"/>
      <c r="D4" s="766" t="n"/>
      <c r="E4" s="738" t="n"/>
      <c r="F4" s="624" t="inlineStr">
        <is>
          <t>`26년 목표</t>
        </is>
      </c>
      <c r="G4" s="1334">
        <f>SUM(G9,G39)</f>
        <v/>
      </c>
      <c r="H4" s="1334">
        <f>SUM(H9,H39)</f>
        <v/>
      </c>
      <c r="I4" s="1334">
        <f>SUM(I9,I39)</f>
        <v/>
      </c>
      <c r="J4" s="1334">
        <f>SUM(J9,J39)</f>
        <v/>
      </c>
      <c r="K4" s="1334" t="n"/>
      <c r="L4" s="1334" t="n"/>
      <c r="M4" s="1334" t="n"/>
      <c r="N4" s="1334" t="n"/>
      <c r="O4" s="1334" t="n"/>
      <c r="P4" s="1334" t="n"/>
      <c r="Q4" s="1334" t="n"/>
      <c r="R4" s="1335" t="n"/>
      <c r="S4" s="630" t="n"/>
    </row>
    <row r="5" ht="16.5" customHeight="1" s="838">
      <c r="B5" s="756" t="n"/>
      <c r="C5" s="800" t="n"/>
      <c r="D5" s="766" t="n"/>
      <c r="E5" s="739" t="n"/>
      <c r="F5" s="790" t="inlineStr">
        <is>
          <t>`26년 실적</t>
        </is>
      </c>
      <c r="G5" s="1336">
        <f>SUM(G10,G40)</f>
        <v/>
      </c>
      <c r="H5" s="1336">
        <f>SUM(H10,H40)</f>
        <v/>
      </c>
      <c r="I5" s="1336">
        <f>SUM(I10,I40)</f>
        <v/>
      </c>
      <c r="J5" s="1336">
        <f>SUM(J10,J40)</f>
        <v/>
      </c>
      <c r="K5" s="1336" t="n"/>
      <c r="L5" s="1336" t="n"/>
      <c r="M5" s="1336" t="n"/>
      <c r="N5" s="1336" t="n"/>
      <c r="O5" s="1336" t="n"/>
      <c r="P5" s="1336" t="n"/>
      <c r="Q5" s="1336" t="n"/>
      <c r="R5" s="1337" t="n"/>
      <c r="S5" s="630" t="n"/>
    </row>
    <row r="6" ht="16.5" customHeight="1" s="838">
      <c r="B6" s="756" t="n"/>
      <c r="C6" s="800" t="n"/>
      <c r="D6" s="766" t="n"/>
      <c r="E6" s="737" t="inlineStr">
        <is>
          <t>개선금액</t>
        </is>
      </c>
      <c r="F6" s="797" t="inlineStr">
        <is>
          <t>`26년 목표</t>
        </is>
      </c>
      <c r="G6" s="1338">
        <f>G3-G4</f>
        <v/>
      </c>
      <c r="H6" s="1338">
        <f>H3-H4</f>
        <v/>
      </c>
      <c r="I6" s="1338">
        <f>I3-I4</f>
        <v/>
      </c>
      <c r="J6" s="1338">
        <f>J3-J4</f>
        <v/>
      </c>
      <c r="K6" s="1338" t="n"/>
      <c r="L6" s="1338" t="n"/>
      <c r="M6" s="1338" t="n"/>
      <c r="N6" s="1338" t="n"/>
      <c r="O6" s="1338" t="n"/>
      <c r="P6" s="1338" t="n"/>
      <c r="Q6" s="1338" t="n"/>
      <c r="R6" s="1339" t="n"/>
      <c r="S6" s="630" t="n"/>
    </row>
    <row r="7" ht="16.5" customHeight="1" s="838">
      <c r="B7" s="756" t="n"/>
      <c r="C7" s="735" t="n"/>
      <c r="D7" s="736" t="n"/>
      <c r="E7" s="739" t="n"/>
      <c r="F7" s="790" t="inlineStr">
        <is>
          <t>`26년 실적</t>
        </is>
      </c>
      <c r="G7" s="1340">
        <f>G3-G5</f>
        <v/>
      </c>
      <c r="H7" s="1340">
        <f>H3-H5</f>
        <v/>
      </c>
      <c r="I7" s="1340">
        <f>I3-I5</f>
        <v/>
      </c>
      <c r="J7" s="1340">
        <f>J3-J5</f>
        <v/>
      </c>
      <c r="K7" s="1340" t="n"/>
      <c r="L7" s="1336" t="n"/>
      <c r="M7" s="1336" t="n"/>
      <c r="N7" s="1336" t="n"/>
      <c r="O7" s="1336" t="n"/>
      <c r="P7" s="1336" t="n"/>
      <c r="Q7" s="1336" t="n"/>
      <c r="R7" s="1337" t="n"/>
      <c r="S7" s="630" t="n"/>
    </row>
    <row r="8" ht="16.5" customHeight="1" s="838">
      <c r="B8" s="756" t="n"/>
      <c r="C8" s="737" t="inlineStr">
        <is>
          <t>국내</t>
        </is>
      </c>
      <c r="D8" s="737" t="inlineStr">
        <is>
          <t>국내 합계</t>
        </is>
      </c>
      <c r="E8" s="737" t="inlineStr">
        <is>
          <t>고정비</t>
        </is>
      </c>
      <c r="F8" s="797" t="inlineStr">
        <is>
          <t>`25년 실적</t>
        </is>
      </c>
      <c r="G8" s="1341">
        <f>SUM(G13,G18,G23,G28,G33)</f>
        <v/>
      </c>
      <c r="H8" s="1341">
        <f>SUM(H13,H18,H23,H28,H33)</f>
        <v/>
      </c>
      <c r="I8" s="1341">
        <f>SUM(I13,I18,I23,I28,I33)</f>
        <v/>
      </c>
      <c r="J8" s="1341">
        <f>SUM(J13,J18,J23,J28,J33)</f>
        <v/>
      </c>
      <c r="K8" s="1341" t="n"/>
      <c r="L8" s="1341" t="n"/>
      <c r="M8" s="1341" t="n"/>
      <c r="N8" s="1341" t="n"/>
      <c r="O8" s="1341" t="n"/>
      <c r="P8" s="1341" t="n"/>
      <c r="Q8" s="1341" t="n"/>
      <c r="R8" s="1342" t="n"/>
      <c r="S8" s="630" t="n"/>
    </row>
    <row r="9" ht="16.5" customHeight="1" s="838">
      <c r="B9" s="756" t="n"/>
      <c r="C9" s="738" t="n"/>
      <c r="D9" s="738" t="n"/>
      <c r="E9" s="738" t="n"/>
      <c r="F9" s="624" t="inlineStr">
        <is>
          <t>`26년 목표</t>
        </is>
      </c>
      <c r="G9" s="1334">
        <f>SUM(G14,G19,G24,G29,G34)</f>
        <v/>
      </c>
      <c r="H9" s="1334">
        <f>SUM(H14,H19,H24,H29,H34)</f>
        <v/>
      </c>
      <c r="I9" s="1334">
        <f>SUM(I14,I19,I24,I29,I34)</f>
        <v/>
      </c>
      <c r="J9" s="1334">
        <f>SUM(J14,J19,J24,J29,J34)</f>
        <v/>
      </c>
      <c r="K9" s="1334" t="n"/>
      <c r="L9" s="1334" t="n"/>
      <c r="M9" s="1334" t="n"/>
      <c r="N9" s="1334" t="n"/>
      <c r="O9" s="1334" t="n"/>
      <c r="P9" s="1334" t="n"/>
      <c r="Q9" s="1334" t="n"/>
      <c r="R9" s="1335" t="n"/>
      <c r="S9" s="630" t="n"/>
    </row>
    <row r="10" ht="16.5" customHeight="1" s="838">
      <c r="B10" s="756" t="n"/>
      <c r="C10" s="738" t="n"/>
      <c r="D10" s="738" t="n"/>
      <c r="E10" s="739" t="n"/>
      <c r="F10" s="790" t="inlineStr">
        <is>
          <t>`26년 실적</t>
        </is>
      </c>
      <c r="G10" s="1336">
        <f>SUM(G15,G20,G25,G30,G35)</f>
        <v/>
      </c>
      <c r="H10" s="1336">
        <f>SUM(H15,H20,H25,H30,H35)</f>
        <v/>
      </c>
      <c r="I10" s="1336">
        <f>SUM(I15,I20,I25,I30,I35)</f>
        <v/>
      </c>
      <c r="J10" s="1336">
        <f>SUM(J15,J20,J25,J30,J35)</f>
        <v/>
      </c>
      <c r="K10" s="1336" t="n"/>
      <c r="L10" s="1336" t="n"/>
      <c r="M10" s="1336" t="n"/>
      <c r="N10" s="1336" t="n"/>
      <c r="O10" s="1336" t="n"/>
      <c r="P10" s="1336" t="n"/>
      <c r="Q10" s="1336" t="n"/>
      <c r="R10" s="1337" t="n"/>
      <c r="S10" s="630" t="n"/>
    </row>
    <row r="11" ht="16.5" customHeight="1" s="838">
      <c r="B11" s="756" t="n"/>
      <c r="C11" s="738" t="n"/>
      <c r="D11" s="738" t="n"/>
      <c r="E11" s="737" t="inlineStr">
        <is>
          <t>개선금액</t>
        </is>
      </c>
      <c r="F11" s="797" t="inlineStr">
        <is>
          <t>`26년 목표</t>
        </is>
      </c>
      <c r="G11" s="1338">
        <f>SUM(G16,G21,G26,G31,G36)</f>
        <v/>
      </c>
      <c r="H11" s="1338">
        <f>SUM(H16,H21,H26,H31,H36)</f>
        <v/>
      </c>
      <c r="I11" s="1338">
        <f>SUM(I16,I21,I26,I31,I36)</f>
        <v/>
      </c>
      <c r="J11" s="1338">
        <f>SUM(J16,J21,J26,J31,J36)</f>
        <v/>
      </c>
      <c r="K11" s="1338" t="n"/>
      <c r="L11" s="1338" t="n"/>
      <c r="M11" s="1338" t="n"/>
      <c r="N11" s="1338" t="n"/>
      <c r="O11" s="1338" t="n"/>
      <c r="P11" s="1338" t="n"/>
      <c r="Q11" s="1338" t="n"/>
      <c r="R11" s="1339" t="n"/>
      <c r="S11" s="630" t="n"/>
    </row>
    <row r="12" ht="16.5" customHeight="1" s="838">
      <c r="B12" s="756" t="n"/>
      <c r="C12" s="738" t="n"/>
      <c r="D12" s="739" t="n"/>
      <c r="E12" s="739" t="n"/>
      <c r="F12" s="790" t="inlineStr">
        <is>
          <t>`26년 실적</t>
        </is>
      </c>
      <c r="G12" s="1340">
        <f>SUM(G17,G22,G27,G32,G37)</f>
        <v/>
      </c>
      <c r="H12" s="1340">
        <f>SUM(H17,H22,H27,H32,H37)</f>
        <v/>
      </c>
      <c r="I12" s="1340">
        <f>SUM(I17,I22,I27,I32,I37)</f>
        <v/>
      </c>
      <c r="J12" s="1340">
        <f>SUM(J17,J22,J27,J32,J37)</f>
        <v/>
      </c>
      <c r="K12" s="1340" t="n"/>
      <c r="L12" s="1340" t="n"/>
      <c r="M12" s="1340" t="n"/>
      <c r="N12" s="1340" t="n"/>
      <c r="O12" s="1340" t="n"/>
      <c r="P12" s="1340" t="n"/>
      <c r="Q12" s="1340" t="n"/>
      <c r="R12" s="1343" t="n"/>
      <c r="S12" s="630" t="n"/>
    </row>
    <row r="13" ht="16.5" customHeight="1" s="838">
      <c r="B13" s="756" t="n"/>
      <c r="C13" s="738" t="n"/>
      <c r="D13" s="737" t="inlineStr">
        <is>
          <t>자체</t>
        </is>
      </c>
      <c r="E13" s="737" t="inlineStr">
        <is>
          <t>고정비</t>
        </is>
      </c>
      <c r="F13" s="797" t="inlineStr">
        <is>
          <t>`25년 실적</t>
        </is>
      </c>
      <c r="G13" s="1341">
        <f>SUM(G78,G143)</f>
        <v/>
      </c>
      <c r="H13" s="1341">
        <f>SUM(H78,H143)</f>
        <v/>
      </c>
      <c r="I13" s="1341">
        <f>SUM(I78,I143)</f>
        <v/>
      </c>
      <c r="J13" s="1341">
        <f>SUM(J78,J143)</f>
        <v/>
      </c>
      <c r="K13" s="1341" t="n"/>
      <c r="L13" s="1341" t="n"/>
      <c r="M13" s="1341" t="n"/>
      <c r="N13" s="1341" t="n"/>
      <c r="O13" s="1341" t="n"/>
      <c r="P13" s="1341" t="n"/>
      <c r="Q13" s="1341" t="n"/>
      <c r="R13" s="1342" t="n"/>
      <c r="S13" s="630" t="n"/>
    </row>
    <row r="14" ht="16.5" customHeight="1" s="838">
      <c r="B14" s="756" t="n"/>
      <c r="C14" s="738" t="n"/>
      <c r="D14" s="738" t="n"/>
      <c r="E14" s="738" t="n"/>
      <c r="F14" s="624" t="inlineStr">
        <is>
          <t>`26년 목표</t>
        </is>
      </c>
      <c r="G14" s="1334">
        <f>SUM(G79,G144)</f>
        <v/>
      </c>
      <c r="H14" s="1334">
        <f>SUM(H79,H144)</f>
        <v/>
      </c>
      <c r="I14" s="1334">
        <f>SUM(I79,I144)</f>
        <v/>
      </c>
      <c r="J14" s="1334">
        <f>SUM(J79,J144)</f>
        <v/>
      </c>
      <c r="K14" s="1334" t="n"/>
      <c r="L14" s="1334" t="n"/>
      <c r="M14" s="1334" t="n"/>
      <c r="N14" s="1334" t="n"/>
      <c r="O14" s="1334" t="n"/>
      <c r="P14" s="1334" t="n"/>
      <c r="Q14" s="1334" t="n"/>
      <c r="R14" s="1335" t="n"/>
      <c r="S14" s="630" t="n"/>
    </row>
    <row r="15" ht="16.5" customHeight="1" s="838">
      <c r="B15" s="756" t="n"/>
      <c r="C15" s="738" t="n"/>
      <c r="D15" s="738" t="n"/>
      <c r="E15" s="739" t="n"/>
      <c r="F15" s="790" t="inlineStr">
        <is>
          <t>`26년 실적</t>
        </is>
      </c>
      <c r="G15" s="1336">
        <f>SUM(G80,G145)</f>
        <v/>
      </c>
      <c r="H15" s="1336">
        <f>SUM(H80,H145)</f>
        <v/>
      </c>
      <c r="I15" s="1336">
        <f>SUM(I80,I145)</f>
        <v/>
      </c>
      <c r="J15" s="1336">
        <f>SUM(J80,J145)</f>
        <v/>
      </c>
      <c r="K15" s="1336" t="n"/>
      <c r="L15" s="1336" t="n"/>
      <c r="M15" s="1336" t="n"/>
      <c r="N15" s="1336" t="n"/>
      <c r="O15" s="1336" t="n"/>
      <c r="P15" s="1336" t="n"/>
      <c r="Q15" s="1336" t="n"/>
      <c r="R15" s="1337" t="n"/>
      <c r="S15" s="630" t="n"/>
    </row>
    <row r="16" ht="16.5" customHeight="1" s="838">
      <c r="B16" s="756" t="n"/>
      <c r="C16" s="738" t="n"/>
      <c r="D16" s="738" t="n"/>
      <c r="E16" s="737" t="inlineStr">
        <is>
          <t>개선금액</t>
        </is>
      </c>
      <c r="F16" s="797" t="inlineStr">
        <is>
          <t>`26년 목표</t>
        </is>
      </c>
      <c r="G16" s="1338">
        <f>G13-G14</f>
        <v/>
      </c>
      <c r="H16" s="1338">
        <f>H13-H14</f>
        <v/>
      </c>
      <c r="I16" s="1338">
        <f>I13-I14</f>
        <v/>
      </c>
      <c r="J16" s="1338">
        <f>J13-J14</f>
        <v/>
      </c>
      <c r="K16" s="1338" t="n"/>
      <c r="L16" s="1338" t="n"/>
      <c r="M16" s="1338" t="n"/>
      <c r="N16" s="1338" t="n"/>
      <c r="O16" s="1338" t="n"/>
      <c r="P16" s="1338" t="n"/>
      <c r="Q16" s="1338" t="n"/>
      <c r="R16" s="1339" t="n"/>
      <c r="S16" s="630" t="n"/>
    </row>
    <row r="17" ht="16.5" customHeight="1" s="838">
      <c r="B17" s="756" t="n"/>
      <c r="C17" s="738" t="n"/>
      <c r="D17" s="739" t="n"/>
      <c r="E17" s="739" t="n"/>
      <c r="F17" s="790" t="inlineStr">
        <is>
          <t>`26년 실적</t>
        </is>
      </c>
      <c r="G17" s="1340">
        <f>G13-G15</f>
        <v/>
      </c>
      <c r="H17" s="1340">
        <f>H13-H15</f>
        <v/>
      </c>
      <c r="I17" s="1340">
        <f>I13-I15</f>
        <v/>
      </c>
      <c r="J17" s="1340">
        <f>J13-J15</f>
        <v/>
      </c>
      <c r="K17" s="1340" t="n"/>
      <c r="L17" s="1336" t="n"/>
      <c r="M17" s="1336" t="n"/>
      <c r="N17" s="1336" t="n"/>
      <c r="O17" s="1336" t="n"/>
      <c r="P17" s="1336" t="n"/>
      <c r="Q17" s="1336" t="n"/>
      <c r="R17" s="1337" t="n"/>
      <c r="S17" s="630" t="n"/>
    </row>
    <row r="18" ht="16.5" customHeight="1" s="838">
      <c r="B18" s="756" t="n"/>
      <c r="C18" s="738" t="n"/>
      <c r="D18" s="737" t="inlineStr">
        <is>
          <t>부문1</t>
        </is>
      </c>
      <c r="E18" s="737" t="inlineStr">
        <is>
          <t>고정비</t>
        </is>
      </c>
      <c r="F18" s="797" t="inlineStr">
        <is>
          <t>`25년 실적</t>
        </is>
      </c>
      <c r="G18" s="1341">
        <f>SUM(G83,G148)</f>
        <v/>
      </c>
      <c r="H18" s="1341">
        <f>SUM(H83,H148)</f>
        <v/>
      </c>
      <c r="I18" s="1341">
        <f>SUM(I83,I148)</f>
        <v/>
      </c>
      <c r="J18" s="1341">
        <f>SUM(J83,J148)</f>
        <v/>
      </c>
      <c r="K18" s="1341" t="n"/>
      <c r="L18" s="1341" t="n"/>
      <c r="M18" s="1341" t="n"/>
      <c r="N18" s="1341" t="n"/>
      <c r="O18" s="1341" t="n"/>
      <c r="P18" s="1341" t="n"/>
      <c r="Q18" s="1341" t="n"/>
      <c r="R18" s="1342" t="n"/>
      <c r="S18" s="630" t="n"/>
    </row>
    <row r="19" ht="16.5" customHeight="1" s="838">
      <c r="B19" s="756" t="n"/>
      <c r="C19" s="738" t="n"/>
      <c r="D19" s="738" t="n"/>
      <c r="E19" s="738" t="n"/>
      <c r="F19" s="624" t="inlineStr">
        <is>
          <t>`26년 목표</t>
        </is>
      </c>
      <c r="G19" s="1334">
        <f>SUM(G84,G149)</f>
        <v/>
      </c>
      <c r="H19" s="1334">
        <f>SUM(H84,H149)</f>
        <v/>
      </c>
      <c r="I19" s="1334">
        <f>SUM(I84,I149)</f>
        <v/>
      </c>
      <c r="J19" s="1334">
        <f>SUM(J84,J149)</f>
        <v/>
      </c>
      <c r="K19" s="1334" t="n"/>
      <c r="L19" s="1334" t="n"/>
      <c r="M19" s="1334" t="n"/>
      <c r="N19" s="1334" t="n"/>
      <c r="O19" s="1334" t="n"/>
      <c r="P19" s="1334" t="n"/>
      <c r="Q19" s="1334" t="n"/>
      <c r="R19" s="1335" t="n"/>
      <c r="S19" s="630" t="n"/>
    </row>
    <row r="20" ht="16.5" customHeight="1" s="838">
      <c r="B20" s="756" t="n"/>
      <c r="C20" s="738" t="n"/>
      <c r="D20" s="738" t="n"/>
      <c r="E20" s="739" t="n"/>
      <c r="F20" s="790" t="inlineStr">
        <is>
          <t>`26년 실적</t>
        </is>
      </c>
      <c r="G20" s="1336">
        <f>SUM(G85,G150)</f>
        <v/>
      </c>
      <c r="H20" s="1336">
        <f>SUM(H85,H150)</f>
        <v/>
      </c>
      <c r="I20" s="1336">
        <f>SUM(I85,I150)</f>
        <v/>
      </c>
      <c r="J20" s="1336">
        <f>SUM(J85,J150)</f>
        <v/>
      </c>
      <c r="K20" s="1336" t="n"/>
      <c r="L20" s="1336" t="n"/>
      <c r="M20" s="1336" t="n"/>
      <c r="N20" s="1336" t="n"/>
      <c r="O20" s="1336" t="n"/>
      <c r="P20" s="1336" t="n"/>
      <c r="Q20" s="1336" t="n"/>
      <c r="R20" s="1337" t="n"/>
      <c r="S20" s="630" t="n"/>
    </row>
    <row r="21" ht="16.5" customHeight="1" s="838">
      <c r="B21" s="756" t="n"/>
      <c r="C21" s="738" t="n"/>
      <c r="D21" s="738" t="n"/>
      <c r="E21" s="737" t="inlineStr">
        <is>
          <t>개선금액</t>
        </is>
      </c>
      <c r="F21" s="797" t="inlineStr">
        <is>
          <t>`26년 목표</t>
        </is>
      </c>
      <c r="G21" s="1338">
        <f>G18-G19</f>
        <v/>
      </c>
      <c r="H21" s="1338">
        <f>H18-H19</f>
        <v/>
      </c>
      <c r="I21" s="1338">
        <f>I18-I19</f>
        <v/>
      </c>
      <c r="J21" s="1338">
        <f>J18-J19</f>
        <v/>
      </c>
      <c r="K21" s="1338" t="n"/>
      <c r="L21" s="1338" t="n"/>
      <c r="M21" s="1338" t="n"/>
      <c r="N21" s="1338" t="n"/>
      <c r="O21" s="1338" t="n"/>
      <c r="P21" s="1338" t="n"/>
      <c r="Q21" s="1338" t="n"/>
      <c r="R21" s="1339" t="n"/>
      <c r="S21" s="630" t="n"/>
    </row>
    <row r="22" ht="16.5" customHeight="1" s="838">
      <c r="B22" s="756" t="n"/>
      <c r="C22" s="738" t="n"/>
      <c r="D22" s="739" t="n"/>
      <c r="E22" s="739" t="n"/>
      <c r="F22" s="790" t="inlineStr">
        <is>
          <t>`26년 실적</t>
        </is>
      </c>
      <c r="G22" s="1340">
        <f>G18-G20</f>
        <v/>
      </c>
      <c r="H22" s="1340">
        <f>H18-H20</f>
        <v/>
      </c>
      <c r="I22" s="1340">
        <f>I18-I20</f>
        <v/>
      </c>
      <c r="J22" s="1340">
        <f>J18-J20</f>
        <v/>
      </c>
      <c r="K22" s="1340" t="n"/>
      <c r="L22" s="1336" t="n"/>
      <c r="M22" s="1336" t="n"/>
      <c r="N22" s="1336" t="n"/>
      <c r="O22" s="1336" t="n"/>
      <c r="P22" s="1336" t="n"/>
      <c r="Q22" s="1336" t="n"/>
      <c r="R22" s="1337" t="n"/>
      <c r="S22" s="630" t="n"/>
    </row>
    <row r="23" ht="16.5" customHeight="1" s="838">
      <c r="B23" s="756" t="n"/>
      <c r="C23" s="738" t="n"/>
      <c r="D23" s="737" t="inlineStr">
        <is>
          <t>부문2</t>
        </is>
      </c>
      <c r="E23" s="737" t="inlineStr">
        <is>
          <t>고정비</t>
        </is>
      </c>
      <c r="F23" s="797" t="inlineStr">
        <is>
          <t>`25년 실적</t>
        </is>
      </c>
      <c r="G23" s="1341">
        <f>SUM(G88,G153)</f>
        <v/>
      </c>
      <c r="H23" s="1341">
        <f>SUM(H88,H153)</f>
        <v/>
      </c>
      <c r="I23" s="1341">
        <f>SUM(I88,I153)</f>
        <v/>
      </c>
      <c r="J23" s="1341">
        <f>SUM(J88,J153)</f>
        <v/>
      </c>
      <c r="K23" s="1341" t="n"/>
      <c r="L23" s="1341" t="n"/>
      <c r="M23" s="1341" t="n"/>
      <c r="N23" s="1341" t="n"/>
      <c r="O23" s="1341" t="n"/>
      <c r="P23" s="1341" t="n"/>
      <c r="Q23" s="1341" t="n"/>
      <c r="R23" s="1342" t="n"/>
      <c r="S23" s="630" t="n"/>
    </row>
    <row r="24" ht="16.5" customHeight="1" s="838">
      <c r="B24" s="756" t="n"/>
      <c r="C24" s="738" t="n"/>
      <c r="D24" s="738" t="n"/>
      <c r="E24" s="738" t="n"/>
      <c r="F24" s="624" t="inlineStr">
        <is>
          <t>`26년 목표</t>
        </is>
      </c>
      <c r="G24" s="1334">
        <f>SUM(G89,G154)</f>
        <v/>
      </c>
      <c r="H24" s="1334">
        <f>SUM(H89,H154)</f>
        <v/>
      </c>
      <c r="I24" s="1334">
        <f>SUM(I89,I154)</f>
        <v/>
      </c>
      <c r="J24" s="1334">
        <f>SUM(J89,J154)</f>
        <v/>
      </c>
      <c r="K24" s="1334" t="n"/>
      <c r="L24" s="1334" t="n"/>
      <c r="M24" s="1334" t="n"/>
      <c r="N24" s="1334" t="n"/>
      <c r="O24" s="1334" t="n"/>
      <c r="P24" s="1334" t="n"/>
      <c r="Q24" s="1334" t="n"/>
      <c r="R24" s="1335" t="n"/>
      <c r="S24" s="630" t="n"/>
    </row>
    <row r="25" ht="16.5" customHeight="1" s="838">
      <c r="B25" s="756" t="n"/>
      <c r="C25" s="738" t="n"/>
      <c r="D25" s="738" t="n"/>
      <c r="E25" s="739" t="n"/>
      <c r="F25" s="790" t="inlineStr">
        <is>
          <t>`26년 실적</t>
        </is>
      </c>
      <c r="G25" s="1336">
        <f>SUM(G90,G155)</f>
        <v/>
      </c>
      <c r="H25" s="1336">
        <f>SUM(H90,H155)</f>
        <v/>
      </c>
      <c r="I25" s="1336">
        <f>SUM(I90,I155)</f>
        <v/>
      </c>
      <c r="J25" s="1336">
        <f>SUM(J90,J155)</f>
        <v/>
      </c>
      <c r="K25" s="1336" t="n"/>
      <c r="L25" s="1336" t="n"/>
      <c r="M25" s="1336" t="n"/>
      <c r="N25" s="1336" t="n"/>
      <c r="O25" s="1336" t="n"/>
      <c r="P25" s="1336" t="n"/>
      <c r="Q25" s="1336" t="n"/>
      <c r="R25" s="1337" t="n"/>
      <c r="S25" s="630" t="n"/>
    </row>
    <row r="26" ht="16.5" customHeight="1" s="838">
      <c r="B26" s="756" t="n"/>
      <c r="C26" s="738" t="n"/>
      <c r="D26" s="738" t="n"/>
      <c r="E26" s="737" t="inlineStr">
        <is>
          <t>개선금액</t>
        </is>
      </c>
      <c r="F26" s="797" t="inlineStr">
        <is>
          <t>`26년 목표</t>
        </is>
      </c>
      <c r="G26" s="1338">
        <f>G23-G24</f>
        <v/>
      </c>
      <c r="H26" s="1338">
        <f>H23-H24</f>
        <v/>
      </c>
      <c r="I26" s="1338">
        <f>I23-I24</f>
        <v/>
      </c>
      <c r="J26" s="1338">
        <f>J23-J24</f>
        <v/>
      </c>
      <c r="K26" s="1338" t="n"/>
      <c r="L26" s="1338" t="n"/>
      <c r="M26" s="1338" t="n"/>
      <c r="N26" s="1338" t="n"/>
      <c r="O26" s="1338" t="n"/>
      <c r="P26" s="1338" t="n"/>
      <c r="Q26" s="1338" t="n"/>
      <c r="R26" s="1339" t="n"/>
      <c r="S26" s="630" t="n"/>
    </row>
    <row r="27" ht="16.5" customHeight="1" s="838">
      <c r="B27" s="756" t="n"/>
      <c r="C27" s="738" t="n"/>
      <c r="D27" s="739" t="n"/>
      <c r="E27" s="739" t="n"/>
      <c r="F27" s="790" t="inlineStr">
        <is>
          <t>`26년 실적</t>
        </is>
      </c>
      <c r="G27" s="1340">
        <f>G23-G25</f>
        <v/>
      </c>
      <c r="H27" s="1340">
        <f>H23-H25</f>
        <v/>
      </c>
      <c r="I27" s="1340">
        <f>I23-I25</f>
        <v/>
      </c>
      <c r="J27" s="1340">
        <f>J23-J25</f>
        <v/>
      </c>
      <c r="K27" s="1340" t="n"/>
      <c r="L27" s="1336" t="n"/>
      <c r="M27" s="1336" t="n"/>
      <c r="N27" s="1336" t="n"/>
      <c r="O27" s="1336" t="n"/>
      <c r="P27" s="1336" t="n"/>
      <c r="Q27" s="1336" t="n"/>
      <c r="R27" s="1337" t="n"/>
      <c r="S27" s="630" t="n"/>
    </row>
    <row r="28" ht="16.5" customHeight="1" s="838">
      <c r="B28" s="756" t="n"/>
      <c r="C28" s="738" t="n"/>
      <c r="D28" s="737" t="inlineStr">
        <is>
          <t>부문3</t>
        </is>
      </c>
      <c r="E28" s="737" t="inlineStr">
        <is>
          <t>고정비</t>
        </is>
      </c>
      <c r="F28" s="797" t="inlineStr">
        <is>
          <t>`25년 실적</t>
        </is>
      </c>
      <c r="G28" s="1341">
        <f>SUM(G93,G158)</f>
        <v/>
      </c>
      <c r="H28" s="1341">
        <f>SUM(H93,H158)</f>
        <v/>
      </c>
      <c r="I28" s="1341">
        <f>SUM(I93,I158)</f>
        <v/>
      </c>
      <c r="J28" s="1341">
        <f>SUM(J93,J158)</f>
        <v/>
      </c>
      <c r="K28" s="1341" t="n"/>
      <c r="L28" s="1341" t="n"/>
      <c r="M28" s="1341" t="n"/>
      <c r="N28" s="1341" t="n"/>
      <c r="O28" s="1341" t="n"/>
      <c r="P28" s="1341" t="n"/>
      <c r="Q28" s="1341" t="n"/>
      <c r="R28" s="1342" t="n"/>
      <c r="S28" s="630" t="n"/>
    </row>
    <row r="29" ht="16.5" customHeight="1" s="838">
      <c r="B29" s="756" t="n"/>
      <c r="C29" s="738" t="n"/>
      <c r="D29" s="738" t="n"/>
      <c r="E29" s="738" t="n"/>
      <c r="F29" s="624" t="inlineStr">
        <is>
          <t>`26년 목표</t>
        </is>
      </c>
      <c r="G29" s="1334">
        <f>SUM(G94,G159)</f>
        <v/>
      </c>
      <c r="H29" s="1334">
        <f>SUM(H94,H159)</f>
        <v/>
      </c>
      <c r="I29" s="1334">
        <f>SUM(I94,I159)</f>
        <v/>
      </c>
      <c r="J29" s="1334">
        <f>SUM(J94,J159)</f>
        <v/>
      </c>
      <c r="K29" s="1334" t="n"/>
      <c r="L29" s="1334" t="n"/>
      <c r="M29" s="1334" t="n"/>
      <c r="N29" s="1334" t="n"/>
      <c r="O29" s="1334" t="n"/>
      <c r="P29" s="1334" t="n"/>
      <c r="Q29" s="1334" t="n"/>
      <c r="R29" s="1335" t="n"/>
      <c r="S29" s="630" t="n"/>
    </row>
    <row r="30" ht="16.5" customHeight="1" s="838">
      <c r="B30" s="756" t="n"/>
      <c r="C30" s="738" t="n"/>
      <c r="D30" s="738" t="n"/>
      <c r="E30" s="739" t="n"/>
      <c r="F30" s="790" t="inlineStr">
        <is>
          <t>`26년 실적</t>
        </is>
      </c>
      <c r="G30" s="1336">
        <f>SUM(G95,G160)</f>
        <v/>
      </c>
      <c r="H30" s="1336">
        <f>SUM(H95,H160)</f>
        <v/>
      </c>
      <c r="I30" s="1336">
        <f>SUM(I95,I160)</f>
        <v/>
      </c>
      <c r="J30" s="1336">
        <f>SUM(J95,J160)</f>
        <v/>
      </c>
      <c r="K30" s="1336" t="n"/>
      <c r="L30" s="1336" t="n"/>
      <c r="M30" s="1336" t="n"/>
      <c r="N30" s="1336" t="n"/>
      <c r="O30" s="1336" t="n"/>
      <c r="P30" s="1336" t="n"/>
      <c r="Q30" s="1336" t="n"/>
      <c r="R30" s="1337" t="n"/>
      <c r="S30" s="630" t="n"/>
    </row>
    <row r="31" ht="16.5" customHeight="1" s="838">
      <c r="B31" s="756" t="n"/>
      <c r="C31" s="738" t="n"/>
      <c r="D31" s="738" t="n"/>
      <c r="E31" s="737" t="inlineStr">
        <is>
          <t>개선금액</t>
        </is>
      </c>
      <c r="F31" s="797" t="inlineStr">
        <is>
          <t>`26년 목표</t>
        </is>
      </c>
      <c r="G31" s="1338">
        <f>G28-G29</f>
        <v/>
      </c>
      <c r="H31" s="1338">
        <f>H28-H29</f>
        <v/>
      </c>
      <c r="I31" s="1338">
        <f>I28-I29</f>
        <v/>
      </c>
      <c r="J31" s="1338">
        <f>J28-J29</f>
        <v/>
      </c>
      <c r="K31" s="1338" t="n"/>
      <c r="L31" s="1338" t="n"/>
      <c r="M31" s="1338" t="n"/>
      <c r="N31" s="1338" t="n"/>
      <c r="O31" s="1338" t="n"/>
      <c r="P31" s="1338" t="n"/>
      <c r="Q31" s="1338" t="n"/>
      <c r="R31" s="1339" t="n"/>
      <c r="S31" s="630" t="n"/>
    </row>
    <row r="32" ht="16.5" customHeight="1" s="838">
      <c r="B32" s="756" t="n"/>
      <c r="C32" s="738" t="n"/>
      <c r="D32" s="739" t="n"/>
      <c r="E32" s="739" t="n"/>
      <c r="F32" s="790" t="inlineStr">
        <is>
          <t>`26년 실적</t>
        </is>
      </c>
      <c r="G32" s="1340">
        <f>G28-G30</f>
        <v/>
      </c>
      <c r="H32" s="1340">
        <f>H28-H30</f>
        <v/>
      </c>
      <c r="I32" s="1340">
        <f>I28-I30</f>
        <v/>
      </c>
      <c r="J32" s="1340">
        <f>J28-J30</f>
        <v/>
      </c>
      <c r="K32" s="1340" t="n"/>
      <c r="L32" s="1336" t="n"/>
      <c r="M32" s="1336" t="n"/>
      <c r="N32" s="1336" t="n"/>
      <c r="O32" s="1336" t="n"/>
      <c r="P32" s="1336" t="n"/>
      <c r="Q32" s="1336" t="n"/>
      <c r="R32" s="1337" t="n"/>
      <c r="S32" s="630" t="n"/>
    </row>
    <row r="33" ht="16.5" customHeight="1" s="838">
      <c r="B33" s="756" t="n"/>
      <c r="C33" s="738" t="n"/>
      <c r="D33" s="737" t="inlineStr">
        <is>
          <t>부문4</t>
        </is>
      </c>
      <c r="E33" s="737" t="inlineStr">
        <is>
          <t>고정비</t>
        </is>
      </c>
      <c r="F33" s="797" t="inlineStr">
        <is>
          <t>`25년 실적</t>
        </is>
      </c>
      <c r="G33" s="1341">
        <f>SUM(G98,G163)</f>
        <v/>
      </c>
      <c r="H33" s="1341">
        <f>SUM(H98,H163)</f>
        <v/>
      </c>
      <c r="I33" s="1341">
        <f>SUM(I98,I163)</f>
        <v/>
      </c>
      <c r="J33" s="1341">
        <f>SUM(J98,J163)</f>
        <v/>
      </c>
      <c r="K33" s="1341" t="n"/>
      <c r="L33" s="1341" t="n"/>
      <c r="M33" s="1341" t="n"/>
      <c r="N33" s="1341" t="n"/>
      <c r="O33" s="1341" t="n"/>
      <c r="P33" s="1341" t="n"/>
      <c r="Q33" s="1341" t="n"/>
      <c r="R33" s="1342" t="n"/>
      <c r="S33" s="630" t="n"/>
    </row>
    <row r="34" ht="16.5" customHeight="1" s="838">
      <c r="B34" s="756" t="n"/>
      <c r="C34" s="738" t="n"/>
      <c r="D34" s="738" t="n"/>
      <c r="E34" s="738" t="n"/>
      <c r="F34" s="624" t="inlineStr">
        <is>
          <t>`26년 목표</t>
        </is>
      </c>
      <c r="G34" s="1334">
        <f>SUM(G99,G164)</f>
        <v/>
      </c>
      <c r="H34" s="1334">
        <f>SUM(H99,H164)</f>
        <v/>
      </c>
      <c r="I34" s="1334">
        <f>SUM(I99,I164)</f>
        <v/>
      </c>
      <c r="J34" s="1334">
        <f>SUM(J99,J164)</f>
        <v/>
      </c>
      <c r="K34" s="1334" t="n"/>
      <c r="L34" s="1334" t="n"/>
      <c r="M34" s="1334" t="n"/>
      <c r="N34" s="1334" t="n"/>
      <c r="O34" s="1334" t="n"/>
      <c r="P34" s="1334" t="n"/>
      <c r="Q34" s="1334" t="n"/>
      <c r="R34" s="1335" t="n"/>
      <c r="S34" s="630" t="n"/>
    </row>
    <row r="35" ht="16.5" customHeight="1" s="838">
      <c r="B35" s="756" t="n"/>
      <c r="C35" s="738" t="n"/>
      <c r="D35" s="738" t="n"/>
      <c r="E35" s="739" t="n"/>
      <c r="F35" s="790" t="inlineStr">
        <is>
          <t>`26년 실적</t>
        </is>
      </c>
      <c r="G35" s="1336">
        <f>SUM(G100,G165)</f>
        <v/>
      </c>
      <c r="H35" s="1336">
        <f>SUM(H100,H165)</f>
        <v/>
      </c>
      <c r="I35" s="1336">
        <f>SUM(I100,I165)</f>
        <v/>
      </c>
      <c r="J35" s="1336">
        <f>SUM(J100,J165)</f>
        <v/>
      </c>
      <c r="K35" s="1336" t="n"/>
      <c r="L35" s="1336" t="n"/>
      <c r="M35" s="1336" t="n"/>
      <c r="N35" s="1336" t="n"/>
      <c r="O35" s="1336" t="n"/>
      <c r="P35" s="1336" t="n"/>
      <c r="Q35" s="1336" t="n"/>
      <c r="R35" s="1337" t="n"/>
      <c r="S35" s="630" t="n"/>
    </row>
    <row r="36" ht="16.5" customHeight="1" s="838">
      <c r="B36" s="756" t="n"/>
      <c r="C36" s="738" t="n"/>
      <c r="D36" s="738" t="n"/>
      <c r="E36" s="737" t="inlineStr">
        <is>
          <t>개선금액</t>
        </is>
      </c>
      <c r="F36" s="797" t="inlineStr">
        <is>
          <t>`26년 목표</t>
        </is>
      </c>
      <c r="G36" s="1338">
        <f>G33-G34</f>
        <v/>
      </c>
      <c r="H36" s="1338">
        <f>H33-H34</f>
        <v/>
      </c>
      <c r="I36" s="1338">
        <f>I33-I34</f>
        <v/>
      </c>
      <c r="J36" s="1338">
        <f>J33-J34</f>
        <v/>
      </c>
      <c r="K36" s="1338" t="n"/>
      <c r="L36" s="1338" t="n"/>
      <c r="M36" s="1338" t="n"/>
      <c r="N36" s="1338" t="n"/>
      <c r="O36" s="1338" t="n"/>
      <c r="P36" s="1338" t="n"/>
      <c r="Q36" s="1338" t="n"/>
      <c r="R36" s="1339" t="n"/>
      <c r="S36" s="630" t="n"/>
    </row>
    <row r="37" ht="16.5" customHeight="1" s="838">
      <c r="B37" s="756" t="n"/>
      <c r="C37" s="739" t="n"/>
      <c r="D37" s="739" t="n"/>
      <c r="E37" s="739" t="n"/>
      <c r="F37" s="790" t="inlineStr">
        <is>
          <t>`26년 실적</t>
        </is>
      </c>
      <c r="G37" s="1340">
        <f>G33-G35</f>
        <v/>
      </c>
      <c r="H37" s="1340">
        <f>H33-H35</f>
        <v/>
      </c>
      <c r="I37" s="1340">
        <f>I33-I35</f>
        <v/>
      </c>
      <c r="J37" s="1340">
        <f>J33-J35</f>
        <v/>
      </c>
      <c r="K37" s="1340" t="n"/>
      <c r="L37" s="1336" t="n"/>
      <c r="M37" s="1336" t="n"/>
      <c r="N37" s="1336" t="n"/>
      <c r="O37" s="1336" t="n"/>
      <c r="P37" s="1336" t="n"/>
      <c r="Q37" s="1336" t="n"/>
      <c r="R37" s="1337" t="n"/>
      <c r="S37" s="630" t="n"/>
    </row>
    <row r="38" ht="16.5" customHeight="1" s="838">
      <c r="B38" s="756" t="n"/>
      <c r="C38" s="749" t="inlineStr">
        <is>
          <t>해외</t>
        </is>
      </c>
      <c r="D38" s="737" t="inlineStr">
        <is>
          <t>해외 합계</t>
        </is>
      </c>
      <c r="E38" s="737" t="inlineStr">
        <is>
          <t>고정비</t>
        </is>
      </c>
      <c r="F38" s="797" t="inlineStr">
        <is>
          <t>`25년 실적</t>
        </is>
      </c>
      <c r="G38" s="1341">
        <f>SUM(G43,G48,G53,G58,G63)</f>
        <v/>
      </c>
      <c r="H38" s="1341">
        <f>SUM(H43,H48,H53,H58,H63)</f>
        <v/>
      </c>
      <c r="I38" s="1341">
        <f>SUM(I43,I48,I53,I58,I63)</f>
        <v/>
      </c>
      <c r="J38" s="1341">
        <f>SUM(J43,J48,J53,J58,J63)</f>
        <v/>
      </c>
      <c r="K38" s="1341" t="n"/>
      <c r="L38" s="1341" t="n"/>
      <c r="M38" s="1341" t="n"/>
      <c r="N38" s="1341" t="n"/>
      <c r="O38" s="1341" t="n"/>
      <c r="P38" s="1341" t="n"/>
      <c r="Q38" s="1341" t="n"/>
      <c r="R38" s="1342" t="n"/>
      <c r="S38" s="630" t="n"/>
    </row>
    <row r="39" ht="16.5" customHeight="1" s="838">
      <c r="B39" s="756" t="n"/>
      <c r="C39" s="738" t="n"/>
      <c r="D39" s="738" t="n"/>
      <c r="E39" s="738" t="n"/>
      <c r="F39" s="624" t="inlineStr">
        <is>
          <t>`26년 목표</t>
        </is>
      </c>
      <c r="G39" s="1334">
        <f>SUM(G44,G49,G54,G59,G64)</f>
        <v/>
      </c>
      <c r="H39" s="1334">
        <f>SUM(H44,H49,H54,H59,H64)</f>
        <v/>
      </c>
      <c r="I39" s="1334">
        <f>SUM(I44,I49,I54,I59,I64)</f>
        <v/>
      </c>
      <c r="J39" s="1334">
        <f>SUM(J44,J49,J54,J59,J64)</f>
        <v/>
      </c>
      <c r="K39" s="1334" t="n"/>
      <c r="L39" s="1334" t="n"/>
      <c r="M39" s="1334" t="n"/>
      <c r="N39" s="1334" t="n"/>
      <c r="O39" s="1334" t="n"/>
      <c r="P39" s="1334" t="n"/>
      <c r="Q39" s="1334" t="n"/>
      <c r="R39" s="1335" t="n"/>
      <c r="S39" s="630" t="n"/>
    </row>
    <row r="40" ht="16.5" customHeight="1" s="838">
      <c r="B40" s="756" t="n"/>
      <c r="C40" s="738" t="n"/>
      <c r="D40" s="738" t="n"/>
      <c r="E40" s="739" t="n"/>
      <c r="F40" s="790" t="inlineStr">
        <is>
          <t>`26년 실적</t>
        </is>
      </c>
      <c r="G40" s="1336">
        <f>SUM(G45,G50,G55,G60,G65)</f>
        <v/>
      </c>
      <c r="H40" s="1336">
        <f>SUM(H45,H50,H55,H60,H65)</f>
        <v/>
      </c>
      <c r="I40" s="1336">
        <f>SUM(I45,I50,I55,I60,I65)</f>
        <v/>
      </c>
      <c r="J40" s="1336">
        <f>SUM(J45,J50,J55,J60,J65)</f>
        <v/>
      </c>
      <c r="K40" s="1336" t="n"/>
      <c r="L40" s="1336" t="n"/>
      <c r="M40" s="1336" t="n"/>
      <c r="N40" s="1336" t="n"/>
      <c r="O40" s="1336" t="n"/>
      <c r="P40" s="1336" t="n"/>
      <c r="Q40" s="1336" t="n"/>
      <c r="R40" s="1337" t="n"/>
      <c r="S40" s="630" t="n"/>
    </row>
    <row r="41" ht="16.5" customHeight="1" s="838">
      <c r="B41" s="756" t="n"/>
      <c r="C41" s="738" t="n"/>
      <c r="D41" s="738" t="n"/>
      <c r="E41" s="737" t="inlineStr">
        <is>
          <t>개선금액</t>
        </is>
      </c>
      <c r="F41" s="797" t="inlineStr">
        <is>
          <t>`26년 목표</t>
        </is>
      </c>
      <c r="G41" s="1338">
        <f>SUM(G46,G51,G56,G61,G66)</f>
        <v/>
      </c>
      <c r="H41" s="1338">
        <f>SUM(H46,H51,H56,H61,H66)</f>
        <v/>
      </c>
      <c r="I41" s="1338">
        <f>SUM(I46,I51,I56,I61,I66)</f>
        <v/>
      </c>
      <c r="J41" s="1338">
        <f>SUM(J46,J51,J56,J61,J66)</f>
        <v/>
      </c>
      <c r="K41" s="1338" t="n"/>
      <c r="L41" s="1338" t="n"/>
      <c r="M41" s="1338" t="n"/>
      <c r="N41" s="1338" t="n"/>
      <c r="O41" s="1338" t="n"/>
      <c r="P41" s="1338" t="n"/>
      <c r="Q41" s="1338" t="n"/>
      <c r="R41" s="1339" t="n"/>
      <c r="S41" s="630" t="n"/>
    </row>
    <row r="42" ht="16.5" customHeight="1" s="838">
      <c r="B42" s="756" t="n"/>
      <c r="C42" s="738" t="n"/>
      <c r="D42" s="739" t="n"/>
      <c r="E42" s="739" t="n"/>
      <c r="F42" s="790" t="inlineStr">
        <is>
          <t>`26년 실적</t>
        </is>
      </c>
      <c r="G42" s="1340">
        <f>SUM(G47,G52,G57,G62,G67)</f>
        <v/>
      </c>
      <c r="H42" s="1340">
        <f>SUM(H47,H52,H57,H62,H67)</f>
        <v/>
      </c>
      <c r="I42" s="1340">
        <f>SUM(I47,I52,I57,I62,I67)</f>
        <v/>
      </c>
      <c r="J42" s="1340">
        <f>SUM(J47,J52,J57,J62,J67)</f>
        <v/>
      </c>
      <c r="K42" s="1340" t="n"/>
      <c r="L42" s="1340" t="n"/>
      <c r="M42" s="1340" t="n"/>
      <c r="N42" s="1340" t="n"/>
      <c r="O42" s="1340" t="n"/>
      <c r="P42" s="1340" t="n"/>
      <c r="Q42" s="1340" t="n"/>
      <c r="R42" s="1343" t="n"/>
      <c r="S42" s="630" t="n"/>
    </row>
    <row r="43" ht="16.5" customHeight="1" s="838">
      <c r="B43" s="756" t="n"/>
      <c r="C43" s="738" t="n"/>
      <c r="D43" s="737" t="inlineStr">
        <is>
          <t>부문5</t>
        </is>
      </c>
      <c r="E43" s="737" t="inlineStr">
        <is>
          <t>고정비</t>
        </is>
      </c>
      <c r="F43" s="797" t="inlineStr">
        <is>
          <t>`25년 실적</t>
        </is>
      </c>
      <c r="G43" s="1341">
        <f>SUM(G108,G173)</f>
        <v/>
      </c>
      <c r="H43" s="1341">
        <f>SUM(H108,H173)</f>
        <v/>
      </c>
      <c r="I43" s="1341">
        <f>SUM(I108,I173)</f>
        <v/>
      </c>
      <c r="J43" s="1341">
        <f>SUM(J108,J173)</f>
        <v/>
      </c>
      <c r="K43" s="1341" t="n"/>
      <c r="L43" s="1341" t="n"/>
      <c r="M43" s="1341" t="n"/>
      <c r="N43" s="1341" t="n"/>
      <c r="O43" s="1341" t="n"/>
      <c r="P43" s="1341" t="n"/>
      <c r="Q43" s="1341" t="n"/>
      <c r="R43" s="1342" t="n"/>
      <c r="S43" s="630" t="n"/>
    </row>
    <row r="44" ht="16.5" customHeight="1" s="838">
      <c r="B44" s="756" t="n"/>
      <c r="C44" s="738" t="n"/>
      <c r="D44" s="738" t="n"/>
      <c r="E44" s="738" t="n"/>
      <c r="F44" s="624" t="inlineStr">
        <is>
          <t>`26년 목표</t>
        </is>
      </c>
      <c r="G44" s="1334">
        <f>SUM(G109,G174)</f>
        <v/>
      </c>
      <c r="H44" s="1334">
        <f>SUM(H109,H174)</f>
        <v/>
      </c>
      <c r="I44" s="1334">
        <f>SUM(I109,I174)</f>
        <v/>
      </c>
      <c r="J44" s="1334">
        <f>SUM(J109,J174)</f>
        <v/>
      </c>
      <c r="K44" s="1334" t="n"/>
      <c r="L44" s="1334" t="n"/>
      <c r="M44" s="1334" t="n"/>
      <c r="N44" s="1334" t="n"/>
      <c r="O44" s="1334" t="n"/>
      <c r="P44" s="1334" t="n"/>
      <c r="Q44" s="1334" t="n"/>
      <c r="R44" s="1335" t="n"/>
      <c r="S44" s="630" t="n"/>
    </row>
    <row r="45" ht="16.5" customHeight="1" s="838">
      <c r="B45" s="756" t="n"/>
      <c r="C45" s="738" t="n"/>
      <c r="D45" s="738" t="n"/>
      <c r="E45" s="739" t="n"/>
      <c r="F45" s="790" t="inlineStr">
        <is>
          <t>`26년 실적</t>
        </is>
      </c>
      <c r="G45" s="1336">
        <f>SUM(G110,G175)</f>
        <v/>
      </c>
      <c r="H45" s="1336">
        <f>SUM(H110,H175)</f>
        <v/>
      </c>
      <c r="I45" s="1336">
        <f>SUM(I110,I175)</f>
        <v/>
      </c>
      <c r="J45" s="1336">
        <f>SUM(J110,J175)</f>
        <v/>
      </c>
      <c r="K45" s="1336" t="n"/>
      <c r="L45" s="1336" t="n"/>
      <c r="M45" s="1336" t="n"/>
      <c r="N45" s="1336" t="n"/>
      <c r="O45" s="1336" t="n"/>
      <c r="P45" s="1336" t="n"/>
      <c r="Q45" s="1336" t="n"/>
      <c r="R45" s="1337" t="n"/>
      <c r="S45" s="630" t="n"/>
    </row>
    <row r="46" ht="16.5" customHeight="1" s="838">
      <c r="B46" s="756" t="n"/>
      <c r="C46" s="738" t="n"/>
      <c r="D46" s="738" t="n"/>
      <c r="E46" s="737" t="inlineStr">
        <is>
          <t>개선금액</t>
        </is>
      </c>
      <c r="F46" s="797" t="inlineStr">
        <is>
          <t>`26년 목표</t>
        </is>
      </c>
      <c r="G46" s="1338">
        <f>G43-G44</f>
        <v/>
      </c>
      <c r="H46" s="1338">
        <f>H43-H44</f>
        <v/>
      </c>
      <c r="I46" s="1338">
        <f>I43-I44</f>
        <v/>
      </c>
      <c r="J46" s="1338">
        <f>J43-J44</f>
        <v/>
      </c>
      <c r="K46" s="1338" t="n"/>
      <c r="L46" s="1338" t="n"/>
      <c r="M46" s="1338" t="n"/>
      <c r="N46" s="1338" t="n"/>
      <c r="O46" s="1338" t="n"/>
      <c r="P46" s="1338" t="n"/>
      <c r="Q46" s="1338" t="n"/>
      <c r="R46" s="1339" t="n"/>
      <c r="S46" s="630" t="n"/>
    </row>
    <row r="47" ht="16.5" customHeight="1" s="838">
      <c r="B47" s="756" t="n"/>
      <c r="C47" s="738" t="n"/>
      <c r="D47" s="739" t="n"/>
      <c r="E47" s="739" t="n"/>
      <c r="F47" s="790" t="inlineStr">
        <is>
          <t>`26년 실적</t>
        </is>
      </c>
      <c r="G47" s="1340">
        <f>G43-G45</f>
        <v/>
      </c>
      <c r="H47" s="1340">
        <f>H43-H45</f>
        <v/>
      </c>
      <c r="I47" s="1340">
        <f>I43-I45</f>
        <v/>
      </c>
      <c r="J47" s="1340">
        <f>J43-J45</f>
        <v/>
      </c>
      <c r="K47" s="1340" t="n"/>
      <c r="L47" s="1336" t="n"/>
      <c r="M47" s="1336" t="n"/>
      <c r="N47" s="1336" t="n"/>
      <c r="O47" s="1336" t="n"/>
      <c r="P47" s="1336" t="n"/>
      <c r="Q47" s="1336" t="n"/>
      <c r="R47" s="1337" t="n"/>
      <c r="S47" s="630" t="n"/>
    </row>
    <row r="48" ht="16.5" customHeight="1" s="838">
      <c r="B48" s="756" t="n"/>
      <c r="C48" s="738" t="n"/>
      <c r="D48" s="737" t="inlineStr">
        <is>
          <t>부문6</t>
        </is>
      </c>
      <c r="E48" s="737" t="inlineStr">
        <is>
          <t>고정비</t>
        </is>
      </c>
      <c r="F48" s="797" t="inlineStr">
        <is>
          <t>`25년 실적</t>
        </is>
      </c>
      <c r="G48" s="1341">
        <f>SUM(G113,G178)</f>
        <v/>
      </c>
      <c r="H48" s="1341">
        <f>SUM(H113,H178)</f>
        <v/>
      </c>
      <c r="I48" s="1341">
        <f>SUM(I113,I178)</f>
        <v/>
      </c>
      <c r="J48" s="1341">
        <f>SUM(J113,J178)</f>
        <v/>
      </c>
      <c r="K48" s="1341" t="n"/>
      <c r="L48" s="1341" t="n"/>
      <c r="M48" s="1341" t="n"/>
      <c r="N48" s="1341" t="n"/>
      <c r="O48" s="1341" t="n"/>
      <c r="P48" s="1341" t="n"/>
      <c r="Q48" s="1341" t="n"/>
      <c r="R48" s="1342" t="n"/>
      <c r="S48" s="630" t="n"/>
    </row>
    <row r="49" ht="16.5" customHeight="1" s="838">
      <c r="B49" s="756" t="n"/>
      <c r="C49" s="738" t="n"/>
      <c r="D49" s="738" t="n"/>
      <c r="E49" s="738" t="n"/>
      <c r="F49" s="624" t="inlineStr">
        <is>
          <t>`26년 목표</t>
        </is>
      </c>
      <c r="G49" s="1334">
        <f>SUM(G114,G179)</f>
        <v/>
      </c>
      <c r="H49" s="1334">
        <f>SUM(H114,H179)</f>
        <v/>
      </c>
      <c r="I49" s="1334">
        <f>SUM(I114,I179)</f>
        <v/>
      </c>
      <c r="J49" s="1334">
        <f>SUM(J114,J179)</f>
        <v/>
      </c>
      <c r="K49" s="1334" t="n"/>
      <c r="L49" s="1334" t="n"/>
      <c r="M49" s="1334" t="n"/>
      <c r="N49" s="1334" t="n"/>
      <c r="O49" s="1334" t="n"/>
      <c r="P49" s="1334" t="n"/>
      <c r="Q49" s="1334" t="n"/>
      <c r="R49" s="1335" t="n"/>
      <c r="S49" s="630" t="n"/>
    </row>
    <row r="50" ht="16.5" customHeight="1" s="838">
      <c r="B50" s="756" t="n"/>
      <c r="C50" s="738" t="n"/>
      <c r="D50" s="738" t="n"/>
      <c r="E50" s="739" t="n"/>
      <c r="F50" s="790" t="inlineStr">
        <is>
          <t>`26년 실적</t>
        </is>
      </c>
      <c r="G50" s="1336">
        <f>SUM(G115,G180)</f>
        <v/>
      </c>
      <c r="H50" s="1336">
        <f>SUM(H115,H180)</f>
        <v/>
      </c>
      <c r="I50" s="1336">
        <f>SUM(I115,I180)</f>
        <v/>
      </c>
      <c r="J50" s="1336">
        <f>SUM(J115,J180)</f>
        <v/>
      </c>
      <c r="K50" s="1336" t="n"/>
      <c r="L50" s="1336" t="n"/>
      <c r="M50" s="1336" t="n"/>
      <c r="N50" s="1336" t="n"/>
      <c r="O50" s="1336" t="n"/>
      <c r="P50" s="1336" t="n"/>
      <c r="Q50" s="1336" t="n"/>
      <c r="R50" s="1337" t="n"/>
      <c r="S50" s="630" t="n"/>
    </row>
    <row r="51" ht="16.5" customHeight="1" s="838">
      <c r="B51" s="756" t="n"/>
      <c r="C51" s="738" t="n"/>
      <c r="D51" s="738" t="n"/>
      <c r="E51" s="737" t="inlineStr">
        <is>
          <t>개선금액</t>
        </is>
      </c>
      <c r="F51" s="797" t="inlineStr">
        <is>
          <t>`26년 목표</t>
        </is>
      </c>
      <c r="G51" s="1338">
        <f>G48-G49</f>
        <v/>
      </c>
      <c r="H51" s="1338">
        <f>H48-H49</f>
        <v/>
      </c>
      <c r="I51" s="1338">
        <f>I48-I49</f>
        <v/>
      </c>
      <c r="J51" s="1338">
        <f>J48-J49</f>
        <v/>
      </c>
      <c r="K51" s="1338" t="n"/>
      <c r="L51" s="1338" t="n"/>
      <c r="M51" s="1338" t="n"/>
      <c r="N51" s="1338" t="n"/>
      <c r="O51" s="1338" t="n"/>
      <c r="P51" s="1338" t="n"/>
      <c r="Q51" s="1338" t="n"/>
      <c r="R51" s="1339" t="n"/>
      <c r="S51" s="630" t="n"/>
    </row>
    <row r="52" ht="16.5" customHeight="1" s="838">
      <c r="B52" s="756" t="n"/>
      <c r="C52" s="738" t="n"/>
      <c r="D52" s="739" t="n"/>
      <c r="E52" s="739" t="n"/>
      <c r="F52" s="790" t="inlineStr">
        <is>
          <t>`26년 실적</t>
        </is>
      </c>
      <c r="G52" s="1340">
        <f>G48-G50</f>
        <v/>
      </c>
      <c r="H52" s="1340">
        <f>H48-H50</f>
        <v/>
      </c>
      <c r="I52" s="1340">
        <f>I48-I50</f>
        <v/>
      </c>
      <c r="J52" s="1340">
        <f>J48-J50</f>
        <v/>
      </c>
      <c r="K52" s="1340" t="n"/>
      <c r="L52" s="1336" t="n"/>
      <c r="M52" s="1336" t="n"/>
      <c r="N52" s="1336" t="n"/>
      <c r="O52" s="1336" t="n"/>
      <c r="P52" s="1336" t="n"/>
      <c r="Q52" s="1336" t="n"/>
      <c r="R52" s="1337" t="n"/>
      <c r="S52" s="630" t="n"/>
    </row>
    <row r="53" ht="16.5" customHeight="1" s="838">
      <c r="B53" s="756" t="n"/>
      <c r="C53" s="738" t="n"/>
      <c r="D53" s="737" t="inlineStr">
        <is>
          <t>부문7</t>
        </is>
      </c>
      <c r="E53" s="737" t="inlineStr">
        <is>
          <t>고정비</t>
        </is>
      </c>
      <c r="F53" s="797" t="inlineStr">
        <is>
          <t>`25년 실적</t>
        </is>
      </c>
      <c r="G53" s="1341">
        <f>SUM(G118,G183)</f>
        <v/>
      </c>
      <c r="H53" s="1341">
        <f>SUM(H118,H183)</f>
        <v/>
      </c>
      <c r="I53" s="1341">
        <f>SUM(I118,I183)</f>
        <v/>
      </c>
      <c r="J53" s="1341">
        <f>SUM(J118,J183)</f>
        <v/>
      </c>
      <c r="K53" s="1341" t="n"/>
      <c r="L53" s="1341" t="n"/>
      <c r="M53" s="1341" t="n"/>
      <c r="N53" s="1341" t="n"/>
      <c r="O53" s="1341" t="n"/>
      <c r="P53" s="1341" t="n"/>
      <c r="Q53" s="1341" t="n"/>
      <c r="R53" s="1342" t="n"/>
      <c r="S53" s="630" t="n"/>
    </row>
    <row r="54" ht="16.5" customHeight="1" s="838">
      <c r="B54" s="756" t="n"/>
      <c r="C54" s="738" t="n"/>
      <c r="D54" s="738" t="n"/>
      <c r="E54" s="738" t="n"/>
      <c r="F54" s="624" t="inlineStr">
        <is>
          <t>`26년 목표</t>
        </is>
      </c>
      <c r="G54" s="1334">
        <f>SUM(G119,G184)</f>
        <v/>
      </c>
      <c r="H54" s="1334">
        <f>SUM(H119,H184)</f>
        <v/>
      </c>
      <c r="I54" s="1334">
        <f>SUM(I119,I184)</f>
        <v/>
      </c>
      <c r="J54" s="1334">
        <f>SUM(J119,J184)</f>
        <v/>
      </c>
      <c r="K54" s="1334" t="n"/>
      <c r="L54" s="1334" t="n"/>
      <c r="M54" s="1334" t="n"/>
      <c r="N54" s="1334" t="n"/>
      <c r="O54" s="1334" t="n"/>
      <c r="P54" s="1334" t="n"/>
      <c r="Q54" s="1334" t="n"/>
      <c r="R54" s="1335" t="n"/>
      <c r="S54" s="630" t="n"/>
    </row>
    <row r="55" ht="16.5" customHeight="1" s="838">
      <c r="B55" s="756" t="n"/>
      <c r="C55" s="738" t="n"/>
      <c r="D55" s="738" t="n"/>
      <c r="E55" s="739" t="n"/>
      <c r="F55" s="790" t="inlineStr">
        <is>
          <t>`26년 실적</t>
        </is>
      </c>
      <c r="G55" s="1336">
        <f>SUM(G120,G185)</f>
        <v/>
      </c>
      <c r="H55" s="1336">
        <f>SUM(H120,H185)</f>
        <v/>
      </c>
      <c r="I55" s="1336">
        <f>SUM(I120,I185)</f>
        <v/>
      </c>
      <c r="J55" s="1336">
        <f>SUM(J120,J185)</f>
        <v/>
      </c>
      <c r="K55" s="1336" t="n"/>
      <c r="L55" s="1336" t="n"/>
      <c r="M55" s="1336" t="n"/>
      <c r="N55" s="1336" t="n"/>
      <c r="O55" s="1336" t="n"/>
      <c r="P55" s="1336" t="n"/>
      <c r="Q55" s="1336" t="n"/>
      <c r="R55" s="1337" t="n"/>
      <c r="S55" s="630" t="n"/>
    </row>
    <row r="56" ht="16.5" customHeight="1" s="838">
      <c r="B56" s="756" t="n"/>
      <c r="C56" s="738" t="n"/>
      <c r="D56" s="738" t="n"/>
      <c r="E56" s="737" t="inlineStr">
        <is>
          <t>개선금액</t>
        </is>
      </c>
      <c r="F56" s="797" t="inlineStr">
        <is>
          <t>`26년 목표</t>
        </is>
      </c>
      <c r="G56" s="1338">
        <f>G53-G54</f>
        <v/>
      </c>
      <c r="H56" s="1338">
        <f>H53-H54</f>
        <v/>
      </c>
      <c r="I56" s="1338">
        <f>I53-I54</f>
        <v/>
      </c>
      <c r="J56" s="1338">
        <f>J53-J54</f>
        <v/>
      </c>
      <c r="K56" s="1338" t="n"/>
      <c r="L56" s="1338" t="n"/>
      <c r="M56" s="1338" t="n"/>
      <c r="N56" s="1338" t="n"/>
      <c r="O56" s="1338" t="n"/>
      <c r="P56" s="1338" t="n"/>
      <c r="Q56" s="1338" t="n"/>
      <c r="R56" s="1339" t="n"/>
      <c r="S56" s="630" t="n"/>
    </row>
    <row r="57" ht="16.5" customHeight="1" s="838">
      <c r="B57" s="756" t="n"/>
      <c r="C57" s="738" t="n"/>
      <c r="D57" s="739" t="n"/>
      <c r="E57" s="739" t="n"/>
      <c r="F57" s="790" t="inlineStr">
        <is>
          <t>`26년 실적</t>
        </is>
      </c>
      <c r="G57" s="1340">
        <f>G53-G55</f>
        <v/>
      </c>
      <c r="H57" s="1340">
        <f>H53-H55</f>
        <v/>
      </c>
      <c r="I57" s="1340">
        <f>I53-I55</f>
        <v/>
      </c>
      <c r="J57" s="1340">
        <f>J53-J55</f>
        <v/>
      </c>
      <c r="K57" s="1340" t="n"/>
      <c r="L57" s="1336" t="n"/>
      <c r="M57" s="1336" t="n"/>
      <c r="N57" s="1336" t="n"/>
      <c r="O57" s="1336" t="n"/>
      <c r="P57" s="1336" t="n"/>
      <c r="Q57" s="1336" t="n"/>
      <c r="R57" s="1337" t="n"/>
      <c r="S57" s="630" t="n"/>
    </row>
    <row r="58" ht="16.5" customHeight="1" s="838">
      <c r="B58" s="756" t="n"/>
      <c r="C58" s="738" t="n"/>
      <c r="D58" s="737" t="inlineStr">
        <is>
          <t>부문8</t>
        </is>
      </c>
      <c r="E58" s="737" t="inlineStr">
        <is>
          <t>고정비</t>
        </is>
      </c>
      <c r="F58" s="797" t="inlineStr">
        <is>
          <t>`25년 실적</t>
        </is>
      </c>
      <c r="G58" s="1341">
        <f>SUM(G123,G188)</f>
        <v/>
      </c>
      <c r="H58" s="1341">
        <f>SUM(H123,H188)</f>
        <v/>
      </c>
      <c r="I58" s="1341">
        <f>SUM(I123,I188)</f>
        <v/>
      </c>
      <c r="J58" s="1341">
        <f>SUM(J123,J188)</f>
        <v/>
      </c>
      <c r="K58" s="1341" t="n"/>
      <c r="L58" s="1341" t="n"/>
      <c r="M58" s="1341" t="n"/>
      <c r="N58" s="1341" t="n"/>
      <c r="O58" s="1341" t="n"/>
      <c r="P58" s="1341" t="n"/>
      <c r="Q58" s="1341" t="n"/>
      <c r="R58" s="1342" t="n"/>
      <c r="S58" s="630" t="n"/>
    </row>
    <row r="59" ht="16.5" customHeight="1" s="838">
      <c r="B59" s="756" t="n"/>
      <c r="C59" s="738" t="n"/>
      <c r="D59" s="738" t="n"/>
      <c r="E59" s="738" t="n"/>
      <c r="F59" s="624" t="inlineStr">
        <is>
          <t>`26년 목표</t>
        </is>
      </c>
      <c r="G59" s="1334">
        <f>SUM(G124,G189)</f>
        <v/>
      </c>
      <c r="H59" s="1334">
        <f>SUM(H124,H189)</f>
        <v/>
      </c>
      <c r="I59" s="1334">
        <f>SUM(I124,I189)</f>
        <v/>
      </c>
      <c r="J59" s="1334">
        <f>SUM(J124,J189)</f>
        <v/>
      </c>
      <c r="K59" s="1334" t="n"/>
      <c r="L59" s="1334" t="n"/>
      <c r="M59" s="1334" t="n"/>
      <c r="N59" s="1334" t="n"/>
      <c r="O59" s="1334" t="n"/>
      <c r="P59" s="1334" t="n"/>
      <c r="Q59" s="1334" t="n"/>
      <c r="R59" s="1335" t="n"/>
      <c r="S59" s="630" t="n"/>
    </row>
    <row r="60" ht="16.5" customHeight="1" s="838">
      <c r="B60" s="756" t="n"/>
      <c r="C60" s="738" t="n"/>
      <c r="D60" s="738" t="n"/>
      <c r="E60" s="739" t="n"/>
      <c r="F60" s="790" t="inlineStr">
        <is>
          <t>`26년 실적</t>
        </is>
      </c>
      <c r="G60" s="1336">
        <f>SUM(G125,G190)</f>
        <v/>
      </c>
      <c r="H60" s="1336">
        <f>SUM(H125,H190)</f>
        <v/>
      </c>
      <c r="I60" s="1336">
        <f>SUM(I125,I190)</f>
        <v/>
      </c>
      <c r="J60" s="1336">
        <f>SUM(J125,J190)</f>
        <v/>
      </c>
      <c r="K60" s="1336" t="n"/>
      <c r="L60" s="1336" t="n"/>
      <c r="M60" s="1336" t="n"/>
      <c r="N60" s="1336" t="n"/>
      <c r="O60" s="1336" t="n"/>
      <c r="P60" s="1336" t="n"/>
      <c r="Q60" s="1336" t="n"/>
      <c r="R60" s="1337" t="n"/>
      <c r="S60" s="630" t="n"/>
    </row>
    <row r="61" ht="16.5" customHeight="1" s="838">
      <c r="B61" s="756" t="n"/>
      <c r="C61" s="738" t="n"/>
      <c r="D61" s="738" t="n"/>
      <c r="E61" s="737" t="inlineStr">
        <is>
          <t>개선금액</t>
        </is>
      </c>
      <c r="F61" s="797" t="inlineStr">
        <is>
          <t>`26년 목표</t>
        </is>
      </c>
      <c r="G61" s="1338">
        <f>G58-G59</f>
        <v/>
      </c>
      <c r="H61" s="1338">
        <f>H58-H59</f>
        <v/>
      </c>
      <c r="I61" s="1338">
        <f>I58-I59</f>
        <v/>
      </c>
      <c r="J61" s="1338">
        <f>J58-J59</f>
        <v/>
      </c>
      <c r="K61" s="1338" t="n"/>
      <c r="L61" s="1338" t="n"/>
      <c r="M61" s="1338" t="n"/>
      <c r="N61" s="1338" t="n"/>
      <c r="O61" s="1338" t="n"/>
      <c r="P61" s="1338" t="n"/>
      <c r="Q61" s="1338" t="n"/>
      <c r="R61" s="1339" t="n"/>
      <c r="S61" s="630" t="n"/>
    </row>
    <row r="62" ht="16.5" customHeight="1" s="838">
      <c r="B62" s="756" t="n"/>
      <c r="C62" s="738" t="n"/>
      <c r="D62" s="739" t="n"/>
      <c r="E62" s="739" t="n"/>
      <c r="F62" s="790" t="inlineStr">
        <is>
          <t>`26년 실적</t>
        </is>
      </c>
      <c r="G62" s="1340">
        <f>G58-G60</f>
        <v/>
      </c>
      <c r="H62" s="1340">
        <f>H58-H60</f>
        <v/>
      </c>
      <c r="I62" s="1340">
        <f>I58-I60</f>
        <v/>
      </c>
      <c r="J62" s="1340">
        <f>J58-J60</f>
        <v/>
      </c>
      <c r="K62" s="1340" t="n"/>
      <c r="L62" s="1336" t="n"/>
      <c r="M62" s="1336" t="n"/>
      <c r="N62" s="1336" t="n"/>
      <c r="O62" s="1336" t="n"/>
      <c r="P62" s="1336" t="n"/>
      <c r="Q62" s="1336" t="n"/>
      <c r="R62" s="1337" t="n"/>
      <c r="S62" s="630" t="n"/>
    </row>
    <row r="63" ht="16.5" customHeight="1" s="838">
      <c r="B63" s="756" t="n"/>
      <c r="C63" s="738" t="n"/>
      <c r="D63" s="749" t="inlineStr">
        <is>
          <t>부문9</t>
        </is>
      </c>
      <c r="E63" s="737" t="inlineStr">
        <is>
          <t>고정비</t>
        </is>
      </c>
      <c r="F63" s="797" t="inlineStr">
        <is>
          <t>`25년 실적</t>
        </is>
      </c>
      <c r="G63" s="1341">
        <f>SUM(G128,G193)</f>
        <v/>
      </c>
      <c r="H63" s="1341">
        <f>SUM(H128,H193)</f>
        <v/>
      </c>
      <c r="I63" s="1341">
        <f>SUM(I128,I193)</f>
        <v/>
      </c>
      <c r="J63" s="1341">
        <f>SUM(J128,J193)</f>
        <v/>
      </c>
      <c r="K63" s="1341" t="n"/>
      <c r="L63" s="1341" t="n"/>
      <c r="M63" s="1341" t="n"/>
      <c r="N63" s="1341" t="n"/>
      <c r="O63" s="1341" t="n"/>
      <c r="P63" s="1341" t="n"/>
      <c r="Q63" s="1341" t="n"/>
      <c r="R63" s="1342" t="n"/>
      <c r="S63" s="630" t="n"/>
    </row>
    <row r="64" ht="16.5" customHeight="1" s="838">
      <c r="B64" s="756" t="n"/>
      <c r="C64" s="738" t="n"/>
      <c r="D64" s="738" t="n"/>
      <c r="E64" s="738" t="n"/>
      <c r="F64" s="624" t="inlineStr">
        <is>
          <t>`26년 목표</t>
        </is>
      </c>
      <c r="G64" s="1334">
        <f>SUM(G129,G194)</f>
        <v/>
      </c>
      <c r="H64" s="1334">
        <f>SUM(H129,H194)</f>
        <v/>
      </c>
      <c r="I64" s="1334">
        <f>SUM(I129,I194)</f>
        <v/>
      </c>
      <c r="J64" s="1334">
        <f>SUM(J129,J194)</f>
        <v/>
      </c>
      <c r="K64" s="1334" t="n"/>
      <c r="L64" s="1334" t="n"/>
      <c r="M64" s="1334" t="n"/>
      <c r="N64" s="1334" t="n"/>
      <c r="O64" s="1334" t="n"/>
      <c r="P64" s="1334" t="n"/>
      <c r="Q64" s="1334" t="n"/>
      <c r="R64" s="1335" t="n"/>
      <c r="S64" s="630" t="n"/>
    </row>
    <row r="65" ht="16.5" customHeight="1" s="838">
      <c r="B65" s="756" t="n"/>
      <c r="C65" s="738" t="n"/>
      <c r="D65" s="738" t="n"/>
      <c r="E65" s="739" t="n"/>
      <c r="F65" s="790" t="inlineStr">
        <is>
          <t>`26년 실적</t>
        </is>
      </c>
      <c r="G65" s="1336">
        <f>SUM(G130,G195)</f>
        <v/>
      </c>
      <c r="H65" s="1336">
        <f>SUM(H130,H195)</f>
        <v/>
      </c>
      <c r="I65" s="1336">
        <f>SUM(I130,I195)</f>
        <v/>
      </c>
      <c r="J65" s="1336">
        <f>SUM(J130,J195)</f>
        <v/>
      </c>
      <c r="K65" s="1336" t="n"/>
      <c r="L65" s="1336" t="n"/>
      <c r="M65" s="1336" t="n"/>
      <c r="N65" s="1336" t="n"/>
      <c r="O65" s="1336" t="n"/>
      <c r="P65" s="1336" t="n"/>
      <c r="Q65" s="1336" t="n"/>
      <c r="R65" s="1337" t="n"/>
      <c r="S65" s="630" t="n"/>
    </row>
    <row r="66" ht="16.5" customHeight="1" s="838">
      <c r="B66" s="756" t="n"/>
      <c r="C66" s="738" t="n"/>
      <c r="D66" s="738" t="n"/>
      <c r="E66" s="749" t="inlineStr">
        <is>
          <t>개선금액</t>
        </is>
      </c>
      <c r="F66" s="797" t="inlineStr">
        <is>
          <t>`26년 목표</t>
        </is>
      </c>
      <c r="G66" s="1338">
        <f>G63-G64</f>
        <v/>
      </c>
      <c r="H66" s="1338">
        <f>H63-H64</f>
        <v/>
      </c>
      <c r="I66" s="1338">
        <f>I63-I64</f>
        <v/>
      </c>
      <c r="J66" s="1338">
        <f>J63-J64</f>
        <v/>
      </c>
      <c r="K66" s="1338" t="n"/>
      <c r="L66" s="1338" t="n"/>
      <c r="M66" s="1338" t="n"/>
      <c r="N66" s="1338" t="n"/>
      <c r="O66" s="1338" t="n"/>
      <c r="P66" s="1338" t="n"/>
      <c r="Q66" s="1338" t="n"/>
      <c r="R66" s="1339" t="n"/>
      <c r="S66" s="630" t="n"/>
    </row>
    <row r="67" ht="17.25" customHeight="1" s="838">
      <c r="B67" s="757" t="n"/>
      <c r="C67" s="753" t="n"/>
      <c r="D67" s="753" t="n"/>
      <c r="E67" s="753" t="n"/>
      <c r="F67" s="626" t="inlineStr">
        <is>
          <t>`26년 실적</t>
        </is>
      </c>
      <c r="G67" s="1344">
        <f>G63-G65</f>
        <v/>
      </c>
      <c r="H67" s="1344">
        <f>H63-H65</f>
        <v/>
      </c>
      <c r="I67" s="1344">
        <f>I63-I65</f>
        <v/>
      </c>
      <c r="J67" s="1344">
        <f>J63-J65</f>
        <v/>
      </c>
      <c r="K67" s="1344" t="n"/>
      <c r="L67" s="1345" t="n"/>
      <c r="M67" s="1345" t="n"/>
      <c r="N67" s="1345" t="n"/>
      <c r="O67" s="1345" t="n"/>
      <c r="P67" s="1345" t="n"/>
      <c r="Q67" s="1345" t="n"/>
      <c r="R67" s="1346" t="n"/>
      <c r="S67" s="630" t="n"/>
    </row>
    <row r="68" outlineLevel="1" ht="16.5" customHeight="1" s="838">
      <c r="B68" s="758" t="inlineStr">
        <is>
          <t>제품1</t>
        </is>
      </c>
      <c r="C68" s="750" t="inlineStr">
        <is>
          <t>제품1 합계</t>
        </is>
      </c>
      <c r="D68" s="743" t="n"/>
      <c r="E68" s="750" t="inlineStr">
        <is>
          <t>고정비</t>
        </is>
      </c>
      <c r="F68" s="802" t="inlineStr">
        <is>
          <t>`25년 실적</t>
        </is>
      </c>
      <c r="G68" s="1332">
        <f>SUM(G73,G103)</f>
        <v/>
      </c>
      <c r="H68" s="1332">
        <f>SUM(H73,H103)</f>
        <v/>
      </c>
      <c r="I68" s="1332">
        <f>SUM(I73,I103)</f>
        <v/>
      </c>
      <c r="J68" s="1332">
        <f>SUM(J73,J103)</f>
        <v/>
      </c>
      <c r="K68" s="1332" t="n"/>
      <c r="L68" s="1332" t="n"/>
      <c r="M68" s="1332" t="n"/>
      <c r="N68" s="1332" t="n"/>
      <c r="O68" s="1332" t="n"/>
      <c r="P68" s="1332" t="n"/>
      <c r="Q68" s="1332" t="n"/>
      <c r="R68" s="1333" t="n"/>
      <c r="S68" s="630" t="n"/>
    </row>
    <row r="69" outlineLevel="1" ht="16.5" customHeight="1" s="838">
      <c r="B69" s="756" t="n"/>
      <c r="C69" s="800" t="n"/>
      <c r="D69" s="766" t="n"/>
      <c r="E69" s="738" t="n"/>
      <c r="F69" s="624" t="inlineStr">
        <is>
          <t>`26년 목표</t>
        </is>
      </c>
      <c r="G69" s="1334">
        <f>SUM(G74,G104)</f>
        <v/>
      </c>
      <c r="H69" s="1334">
        <f>SUM(H74,H104)</f>
        <v/>
      </c>
      <c r="I69" s="1334">
        <f>SUM(I74,I104)</f>
        <v/>
      </c>
      <c r="J69" s="1334">
        <f>SUM(J74,J104)</f>
        <v/>
      </c>
      <c r="K69" s="1334" t="n"/>
      <c r="L69" s="1334" t="n"/>
      <c r="M69" s="1334" t="n"/>
      <c r="N69" s="1334" t="n"/>
      <c r="O69" s="1334" t="n"/>
      <c r="P69" s="1334" t="n"/>
      <c r="Q69" s="1334" t="n"/>
      <c r="R69" s="1335" t="n"/>
      <c r="S69" s="630" t="n"/>
    </row>
    <row r="70" outlineLevel="1" ht="16.5" customHeight="1" s="838">
      <c r="B70" s="756" t="n"/>
      <c r="C70" s="800" t="n"/>
      <c r="D70" s="766" t="n"/>
      <c r="E70" s="739" t="n"/>
      <c r="F70" s="790" t="inlineStr">
        <is>
          <t>`26년 실적</t>
        </is>
      </c>
      <c r="G70" s="1336">
        <f>SUM(G75,G105)</f>
        <v/>
      </c>
      <c r="H70" s="1336">
        <f>SUM(H75,H105)</f>
        <v/>
      </c>
      <c r="I70" s="1336">
        <f>SUM(I75,I105)</f>
        <v/>
      </c>
      <c r="J70" s="1336">
        <f>SUM(J75,J105)</f>
        <v/>
      </c>
      <c r="K70" s="1336" t="n"/>
      <c r="L70" s="1336" t="n"/>
      <c r="M70" s="1336" t="n"/>
      <c r="N70" s="1336" t="n"/>
      <c r="O70" s="1336" t="n"/>
      <c r="P70" s="1336" t="n"/>
      <c r="Q70" s="1336" t="n"/>
      <c r="R70" s="1337" t="n"/>
      <c r="S70" s="630" t="n"/>
    </row>
    <row r="71" outlineLevel="1" ht="16.5" customHeight="1" s="838">
      <c r="B71" s="756" t="n"/>
      <c r="C71" s="800" t="n"/>
      <c r="D71" s="766" t="n"/>
      <c r="E71" s="737" t="inlineStr">
        <is>
          <t>개선금액</t>
        </is>
      </c>
      <c r="F71" s="797" t="inlineStr">
        <is>
          <t>`26년 목표</t>
        </is>
      </c>
      <c r="G71" s="1338">
        <f>SUM(G76,G106)</f>
        <v/>
      </c>
      <c r="H71" s="1338">
        <f>SUM(H76,H106)</f>
        <v/>
      </c>
      <c r="I71" s="1338">
        <f>SUM(I76,I106)</f>
        <v/>
      </c>
      <c r="J71" s="1338">
        <f>SUM(J76,J106)</f>
        <v/>
      </c>
      <c r="K71" s="1338" t="n"/>
      <c r="L71" s="1338" t="n"/>
      <c r="M71" s="1338" t="n"/>
      <c r="N71" s="1338" t="n"/>
      <c r="O71" s="1338" t="n"/>
      <c r="P71" s="1338" t="n"/>
      <c r="Q71" s="1338" t="n"/>
      <c r="R71" s="1339" t="n"/>
      <c r="S71" s="630" t="n"/>
    </row>
    <row r="72" outlineLevel="1" ht="16.5" customHeight="1" s="838">
      <c r="B72" s="756" t="n"/>
      <c r="C72" s="735" t="n"/>
      <c r="D72" s="736" t="n"/>
      <c r="E72" s="739" t="n"/>
      <c r="F72" s="790" t="inlineStr">
        <is>
          <t>`26년 실적</t>
        </is>
      </c>
      <c r="G72" s="1340">
        <f>SUM(G77,G107)</f>
        <v/>
      </c>
      <c r="H72" s="1340">
        <f>SUM(H77,H107)</f>
        <v/>
      </c>
      <c r="I72" s="1340">
        <f>SUM(I77,I107)</f>
        <v/>
      </c>
      <c r="J72" s="1340">
        <f>SUM(J77,J107)</f>
        <v/>
      </c>
      <c r="K72" s="1340" t="n"/>
      <c r="L72" s="1340" t="n"/>
      <c r="M72" s="1340" t="n"/>
      <c r="N72" s="1340" t="n"/>
      <c r="O72" s="1340" t="n"/>
      <c r="P72" s="1340" t="n"/>
      <c r="Q72" s="1340" t="n"/>
      <c r="R72" s="1343" t="n"/>
      <c r="S72" s="630" t="n"/>
    </row>
    <row r="73" outlineLevel="1" ht="16.5" customHeight="1" s="838">
      <c r="B73" s="756" t="n"/>
      <c r="C73" s="737" t="inlineStr">
        <is>
          <t>국내</t>
        </is>
      </c>
      <c r="D73" s="737" t="inlineStr">
        <is>
          <t>국내 합계</t>
        </is>
      </c>
      <c r="E73" s="737" t="inlineStr">
        <is>
          <t>고정비</t>
        </is>
      </c>
      <c r="F73" s="797" t="inlineStr">
        <is>
          <t>`25년 실적</t>
        </is>
      </c>
      <c r="G73" s="1341">
        <f>SUM(G78,G83,G88,G93,G98)</f>
        <v/>
      </c>
      <c r="H73" s="1341">
        <f>SUM(H78,H83,H88,H93,H98)</f>
        <v/>
      </c>
      <c r="I73" s="1341">
        <f>SUM(I78,I83,I88,I93,I98)</f>
        <v/>
      </c>
      <c r="J73" s="1341">
        <f>SUM(J78,J83,J88,J93,J98)</f>
        <v/>
      </c>
      <c r="K73" s="1341" t="n"/>
      <c r="L73" s="1341" t="n"/>
      <c r="M73" s="1341" t="n"/>
      <c r="N73" s="1341" t="n"/>
      <c r="O73" s="1341" t="n"/>
      <c r="P73" s="1341" t="n"/>
      <c r="Q73" s="1341" t="n"/>
      <c r="R73" s="1342" t="n"/>
      <c r="S73" s="630" t="n"/>
    </row>
    <row r="74" outlineLevel="1" ht="16.5" customHeight="1" s="838">
      <c r="B74" s="756" t="n"/>
      <c r="C74" s="738" t="n"/>
      <c r="D74" s="738" t="n"/>
      <c r="E74" s="738" t="n"/>
      <c r="F74" s="624" t="inlineStr">
        <is>
          <t>`26년 목표</t>
        </is>
      </c>
      <c r="G74" s="1334">
        <f>SUM(G79,G84,G89,G94,G99)</f>
        <v/>
      </c>
      <c r="H74" s="1334">
        <f>SUM(H79,H84,H89,H94,H99)</f>
        <v/>
      </c>
      <c r="I74" s="1334">
        <f>SUM(I79,I84,I89,I94,I99)</f>
        <v/>
      </c>
      <c r="J74" s="1334">
        <f>SUM(J79,J84,J89,J94,J99)</f>
        <v/>
      </c>
      <c r="K74" s="1334" t="n"/>
      <c r="L74" s="1334" t="n"/>
      <c r="M74" s="1334" t="n"/>
      <c r="N74" s="1334" t="n"/>
      <c r="O74" s="1334" t="n"/>
      <c r="P74" s="1334" t="n"/>
      <c r="Q74" s="1334" t="n"/>
      <c r="R74" s="1335" t="n"/>
      <c r="S74" s="630" t="n"/>
    </row>
    <row r="75" outlineLevel="1" ht="16.5" customHeight="1" s="838">
      <c r="B75" s="756" t="n"/>
      <c r="C75" s="738" t="n"/>
      <c r="D75" s="738" t="n"/>
      <c r="E75" s="739" t="n"/>
      <c r="F75" s="790" t="inlineStr">
        <is>
          <t>`26년 실적</t>
        </is>
      </c>
      <c r="G75" s="1336">
        <f>SUM(G80,G85,G90,G95,G100)</f>
        <v/>
      </c>
      <c r="H75" s="1336">
        <f>SUM(H80,H85,H90,H95,H100)</f>
        <v/>
      </c>
      <c r="I75" s="1336">
        <f>SUM(I80,I85,I90,I95,I100)</f>
        <v/>
      </c>
      <c r="J75" s="1336">
        <f>SUM(J80,J85,J90,J95,J100)</f>
        <v/>
      </c>
      <c r="K75" s="1336" t="n"/>
      <c r="L75" s="1336" t="n"/>
      <c r="M75" s="1336" t="n"/>
      <c r="N75" s="1336" t="n"/>
      <c r="O75" s="1336" t="n"/>
      <c r="P75" s="1336" t="n"/>
      <c r="Q75" s="1336" t="n"/>
      <c r="R75" s="1337" t="n"/>
      <c r="S75" s="630" t="n"/>
    </row>
    <row r="76" outlineLevel="1" ht="16.5" customHeight="1" s="838">
      <c r="B76" s="756" t="n"/>
      <c r="C76" s="738" t="n"/>
      <c r="D76" s="738" t="n"/>
      <c r="E76" s="737" t="inlineStr">
        <is>
          <t>개선금액</t>
        </is>
      </c>
      <c r="F76" s="797" t="inlineStr">
        <is>
          <t>`26년 목표</t>
        </is>
      </c>
      <c r="G76" s="1338">
        <f>SUM(G81,G86,G91,G96,G101)</f>
        <v/>
      </c>
      <c r="H76" s="1338">
        <f>SUM(H81,H86,H91,H96,H101)</f>
        <v/>
      </c>
      <c r="I76" s="1338">
        <f>SUM(I81,I86,I91,I96,I101)</f>
        <v/>
      </c>
      <c r="J76" s="1338">
        <f>SUM(J81,J86,J91,J96,J101)</f>
        <v/>
      </c>
      <c r="K76" s="1338" t="n"/>
      <c r="L76" s="1338" t="n"/>
      <c r="M76" s="1338" t="n"/>
      <c r="N76" s="1338" t="n"/>
      <c r="O76" s="1338" t="n"/>
      <c r="P76" s="1338" t="n"/>
      <c r="Q76" s="1338" t="n"/>
      <c r="R76" s="1339" t="n"/>
      <c r="S76" s="630" t="n"/>
    </row>
    <row r="77" outlineLevel="1" ht="16.5" customHeight="1" s="838">
      <c r="B77" s="756" t="n"/>
      <c r="C77" s="738" t="n"/>
      <c r="D77" s="739" t="n"/>
      <c r="E77" s="739" t="n"/>
      <c r="F77" s="790" t="inlineStr">
        <is>
          <t>`26년 실적</t>
        </is>
      </c>
      <c r="G77" s="1340">
        <f>SUM(G82,G87,G92,G97,G102)</f>
        <v/>
      </c>
      <c r="H77" s="1340">
        <f>SUM(H82,H87,H92,H97,H102)</f>
        <v/>
      </c>
      <c r="I77" s="1340">
        <f>SUM(I82,I87,I92,I97,I102)</f>
        <v/>
      </c>
      <c r="J77" s="1340">
        <f>SUM(J82,J87,J92,J97,J102)</f>
        <v/>
      </c>
      <c r="K77" s="1340" t="n"/>
      <c r="L77" s="1340" t="n"/>
      <c r="M77" s="1340" t="n"/>
      <c r="N77" s="1340" t="n"/>
      <c r="O77" s="1340" t="n"/>
      <c r="P77" s="1340" t="n"/>
      <c r="Q77" s="1340" t="n"/>
      <c r="R77" s="1343" t="n"/>
      <c r="S77" s="630" t="n"/>
    </row>
    <row r="78" outlineLevel="1" ht="16.5" customHeight="1" s="838">
      <c r="B78" s="756" t="n"/>
      <c r="C78" s="738" t="n"/>
      <c r="D78" s="737" t="inlineStr">
        <is>
          <t>자체</t>
        </is>
      </c>
      <c r="E78" s="737" t="inlineStr">
        <is>
          <t>고정비</t>
        </is>
      </c>
      <c r="F78" s="797" t="inlineStr">
        <is>
          <t>`25년 실적</t>
        </is>
      </c>
      <c r="G78" s="1341" t="n">
        <v>131.505934</v>
      </c>
      <c r="H78" s="1341" t="n">
        <v>129.118399</v>
      </c>
      <c r="I78" s="1341" t="n">
        <v>161.134438</v>
      </c>
      <c r="J78" s="1341" t="n">
        <v>103.772699</v>
      </c>
      <c r="K78" s="1341" t="n"/>
      <c r="L78" s="1341" t="n"/>
      <c r="M78" s="1341" t="n"/>
      <c r="N78" s="1341" t="n"/>
      <c r="O78" s="1341" t="n"/>
      <c r="P78" s="1341" t="n"/>
      <c r="Q78" s="1341" t="n"/>
      <c r="R78" s="1342" t="n"/>
      <c r="S78" s="630" t="n"/>
    </row>
    <row r="79" outlineLevel="1" ht="16.5" customHeight="1" s="838">
      <c r="B79" s="756" t="n"/>
      <c r="C79" s="738" t="n"/>
      <c r="D79" s="738" t="n"/>
      <c r="E79" s="738" t="n"/>
      <c r="F79" s="624" t="inlineStr">
        <is>
          <t>`26년 목표</t>
        </is>
      </c>
      <c r="G79" s="1334" t="n">
        <v>209.384892</v>
      </c>
      <c r="H79" s="1334" t="n">
        <v>150.298656</v>
      </c>
      <c r="I79" s="1334" t="n">
        <v>154.66349</v>
      </c>
      <c r="J79" s="1334" t="n">
        <v>93.890776</v>
      </c>
      <c r="K79" s="1334" t="n"/>
      <c r="L79" s="1334" t="n"/>
      <c r="M79" s="1334" t="n"/>
      <c r="N79" s="1334" t="n"/>
      <c r="O79" s="1334" t="n"/>
      <c r="P79" s="1334" t="n"/>
      <c r="Q79" s="1334" t="n"/>
      <c r="R79" s="1335" t="n"/>
      <c r="S79" s="630" t="n"/>
    </row>
    <row r="80" outlineLevel="1" ht="16.5" customHeight="1" s="838">
      <c r="B80" s="756" t="n"/>
      <c r="C80" s="738" t="n"/>
      <c r="D80" s="738" t="n"/>
      <c r="E80" s="739" t="n"/>
      <c r="F80" s="790" t="inlineStr">
        <is>
          <t>`26년 실적</t>
        </is>
      </c>
      <c r="G80" s="1336" t="n">
        <v>316.474806</v>
      </c>
      <c r="H80" s="1336" t="n">
        <v>218.354914</v>
      </c>
      <c r="I80" s="1336" t="n">
        <v>134.037701</v>
      </c>
      <c r="J80" s="1336" t="n">
        <v>211.696757</v>
      </c>
      <c r="K80" s="1336" t="n"/>
      <c r="L80" s="1336" t="n"/>
      <c r="M80" s="1336" t="n"/>
      <c r="N80" s="1336" t="n"/>
      <c r="O80" s="1336" t="n"/>
      <c r="P80" s="1336" t="n"/>
      <c r="Q80" s="1336" t="n"/>
      <c r="R80" s="1337" t="n"/>
      <c r="S80" s="630" t="n"/>
    </row>
    <row r="81" outlineLevel="1" ht="16.5" customHeight="1" s="838">
      <c r="B81" s="756" t="n"/>
      <c r="C81" s="738" t="n"/>
      <c r="D81" s="738" t="n"/>
      <c r="E81" s="737" t="inlineStr">
        <is>
          <t>개선금액</t>
        </is>
      </c>
      <c r="F81" s="797" t="inlineStr">
        <is>
          <t>`26년 목표</t>
        </is>
      </c>
      <c r="G81" s="1338">
        <f>G78-G79</f>
        <v/>
      </c>
      <c r="H81" s="1338">
        <f>H78-H79</f>
        <v/>
      </c>
      <c r="I81" s="1338">
        <f>I78-I79</f>
        <v/>
      </c>
      <c r="J81" s="1338">
        <f>J78-J79</f>
        <v/>
      </c>
      <c r="K81" s="1338" t="n"/>
      <c r="L81" s="1338" t="n"/>
      <c r="M81" s="1338" t="n"/>
      <c r="N81" s="1338" t="n"/>
      <c r="O81" s="1338" t="n"/>
      <c r="P81" s="1338" t="n"/>
      <c r="Q81" s="1338" t="n"/>
      <c r="R81" s="1339" t="n"/>
      <c r="S81" s="630" t="n"/>
    </row>
    <row r="82" outlineLevel="1" ht="16.5" customHeight="1" s="838">
      <c r="B82" s="756" t="n"/>
      <c r="C82" s="738" t="n"/>
      <c r="D82" s="739" t="n"/>
      <c r="E82" s="739" t="n"/>
      <c r="F82" s="790" t="inlineStr">
        <is>
          <t>`26년 실적</t>
        </is>
      </c>
      <c r="G82" s="1340">
        <f>G78-G80</f>
        <v/>
      </c>
      <c r="H82" s="1340">
        <f>H78-H80</f>
        <v/>
      </c>
      <c r="I82" s="1340">
        <f>I78-I80</f>
        <v/>
      </c>
      <c r="J82" s="1340">
        <f>J78-J80</f>
        <v/>
      </c>
      <c r="K82" s="1340" t="n"/>
      <c r="L82" s="1336" t="n"/>
      <c r="M82" s="1336" t="n"/>
      <c r="N82" s="1336" t="n"/>
      <c r="O82" s="1336" t="n"/>
      <c r="P82" s="1336" t="n"/>
      <c r="Q82" s="1336" t="n"/>
      <c r="R82" s="1337" t="n"/>
      <c r="S82" s="630" t="n"/>
    </row>
    <row r="83" outlineLevel="1" ht="16.5" customHeight="1" s="838">
      <c r="B83" s="756" t="n"/>
      <c r="C83" s="738" t="n"/>
      <c r="D83" s="737" t="inlineStr">
        <is>
          <t>부문1</t>
        </is>
      </c>
      <c r="E83" s="737" t="inlineStr">
        <is>
          <t>고정비</t>
        </is>
      </c>
      <c r="F83" s="797" t="inlineStr">
        <is>
          <t>`25년 실적</t>
        </is>
      </c>
      <c r="G83" s="1341" t="n">
        <v>51.352569</v>
      </c>
      <c r="H83" s="1341" t="n">
        <v>55.797937</v>
      </c>
      <c r="I83" s="1341" t="n">
        <v>49.483834</v>
      </c>
      <c r="J83" s="1341" t="n">
        <v>86.231621</v>
      </c>
      <c r="K83" s="1341" t="n"/>
      <c r="L83" s="1341" t="n"/>
      <c r="M83" s="1341" t="n"/>
      <c r="N83" s="1341" t="n"/>
      <c r="O83" s="1341" t="n"/>
      <c r="P83" s="1341" t="n"/>
      <c r="Q83" s="1341" t="n"/>
      <c r="R83" s="1342" t="n"/>
      <c r="S83" s="630" t="n"/>
    </row>
    <row r="84" outlineLevel="1" ht="16.5" customHeight="1" s="838">
      <c r="B84" s="756" t="n"/>
      <c r="C84" s="738" t="n"/>
      <c r="D84" s="738" t="n"/>
      <c r="E84" s="738" t="n"/>
      <c r="F84" s="624" t="inlineStr">
        <is>
          <t>`26년 목표</t>
        </is>
      </c>
      <c r="G84" s="1334" t="n">
        <v>99.404326</v>
      </c>
      <c r="H84" s="1334" t="n">
        <v>71.185129</v>
      </c>
      <c r="I84" s="1334" t="n">
        <v>60.635294</v>
      </c>
      <c r="J84" s="1334" t="n">
        <v>47.818235</v>
      </c>
      <c r="K84" s="1334" t="n"/>
      <c r="L84" s="1334" t="n"/>
      <c r="M84" s="1334" t="n"/>
      <c r="N84" s="1334" t="n"/>
      <c r="O84" s="1334" t="n"/>
      <c r="P84" s="1334" t="n"/>
      <c r="Q84" s="1334" t="n"/>
      <c r="R84" s="1335" t="n"/>
      <c r="S84" s="630" t="n"/>
    </row>
    <row r="85" outlineLevel="1" ht="16.5" customHeight="1" s="838">
      <c r="B85" s="756" t="n"/>
      <c r="C85" s="738" t="n"/>
      <c r="D85" s="738" t="n"/>
      <c r="E85" s="739" t="n"/>
      <c r="F85" s="790" t="inlineStr">
        <is>
          <t>`26년 실적</t>
        </is>
      </c>
      <c r="G85" s="1336" t="n">
        <v>58.16757</v>
      </c>
      <c r="H85" s="1336" t="n">
        <v>79.608823</v>
      </c>
      <c r="I85" s="1336" t="n">
        <v>67.927406</v>
      </c>
      <c r="J85" s="1336" t="n">
        <v>64.086631</v>
      </c>
      <c r="K85" s="1336" t="n"/>
      <c r="L85" s="1336" t="n"/>
      <c r="M85" s="1336" t="n"/>
      <c r="N85" s="1336" t="n"/>
      <c r="O85" s="1336" t="n"/>
      <c r="P85" s="1336" t="n"/>
      <c r="Q85" s="1336" t="n"/>
      <c r="R85" s="1337" t="n"/>
      <c r="S85" s="630" t="n"/>
    </row>
    <row r="86" outlineLevel="1" ht="16.5" customHeight="1" s="838">
      <c r="B86" s="756" t="n"/>
      <c r="C86" s="738" t="n"/>
      <c r="D86" s="738" t="n"/>
      <c r="E86" s="737" t="inlineStr">
        <is>
          <t>개선금액</t>
        </is>
      </c>
      <c r="F86" s="797" t="inlineStr">
        <is>
          <t>`26년 목표</t>
        </is>
      </c>
      <c r="G86" s="1338">
        <f>G83-G84</f>
        <v/>
      </c>
      <c r="H86" s="1338">
        <f>H83-H84</f>
        <v/>
      </c>
      <c r="I86" s="1338">
        <f>I83-I84</f>
        <v/>
      </c>
      <c r="J86" s="1338">
        <f>J83-J84</f>
        <v/>
      </c>
      <c r="K86" s="1338" t="n"/>
      <c r="L86" s="1338" t="n"/>
      <c r="M86" s="1338" t="n"/>
      <c r="N86" s="1338" t="n"/>
      <c r="O86" s="1338" t="n"/>
      <c r="P86" s="1338" t="n"/>
      <c r="Q86" s="1338" t="n"/>
      <c r="R86" s="1339" t="n"/>
      <c r="S86" s="630" t="n"/>
    </row>
    <row r="87" outlineLevel="1" ht="16.5" customHeight="1" s="838">
      <c r="B87" s="756" t="n"/>
      <c r="C87" s="738" t="n"/>
      <c r="D87" s="739" t="n"/>
      <c r="E87" s="739" t="n"/>
      <c r="F87" s="790" t="inlineStr">
        <is>
          <t>`26년 실적</t>
        </is>
      </c>
      <c r="G87" s="1340">
        <f>G83-G85</f>
        <v/>
      </c>
      <c r="H87" s="1340">
        <f>H83-H85</f>
        <v/>
      </c>
      <c r="I87" s="1340">
        <f>I83-I85</f>
        <v/>
      </c>
      <c r="J87" s="1340">
        <f>J83-J85</f>
        <v/>
      </c>
      <c r="K87" s="1340" t="n"/>
      <c r="L87" s="1336" t="n"/>
      <c r="M87" s="1336" t="n"/>
      <c r="N87" s="1336" t="n"/>
      <c r="O87" s="1336" t="n"/>
      <c r="P87" s="1336" t="n"/>
      <c r="Q87" s="1336" t="n"/>
      <c r="R87" s="1337" t="n"/>
      <c r="S87" s="630" t="n"/>
    </row>
    <row r="88" outlineLevel="1" ht="16.5" customHeight="1" s="838">
      <c r="B88" s="756" t="n"/>
      <c r="C88" s="738" t="n"/>
      <c r="D88" s="737" t="inlineStr">
        <is>
          <t>부문2</t>
        </is>
      </c>
      <c r="E88" s="737" t="inlineStr">
        <is>
          <t>고정비</t>
        </is>
      </c>
      <c r="F88" s="797" t="inlineStr">
        <is>
          <t>`25년 실적</t>
        </is>
      </c>
      <c r="G88" s="1341" t="n">
        <v>54.959285</v>
      </c>
      <c r="H88" s="1341" t="n">
        <v>89.586698</v>
      </c>
      <c r="I88" s="1341" t="n">
        <v>31.050021</v>
      </c>
      <c r="J88" s="1341" t="n">
        <v>104.85442</v>
      </c>
      <c r="K88" s="1341" t="n"/>
      <c r="L88" s="1341" t="n"/>
      <c r="M88" s="1341" t="n"/>
      <c r="N88" s="1341" t="n"/>
      <c r="O88" s="1341" t="n"/>
      <c r="P88" s="1341" t="n"/>
      <c r="Q88" s="1341" t="n"/>
      <c r="R88" s="1342" t="n"/>
      <c r="S88" s="630" t="n"/>
    </row>
    <row r="89" outlineLevel="1" ht="16.5" customHeight="1" s="838">
      <c r="B89" s="756" t="n"/>
      <c r="C89" s="738" t="n"/>
      <c r="D89" s="738" t="n"/>
      <c r="E89" s="738" t="n"/>
      <c r="F89" s="624" t="inlineStr">
        <is>
          <t>`26년 목표</t>
        </is>
      </c>
      <c r="G89" s="1334" t="n">
        <v>54.959285</v>
      </c>
      <c r="H89" s="1334" t="n">
        <v>89.586698</v>
      </c>
      <c r="I89" s="1334" t="n">
        <v>31.050021</v>
      </c>
      <c r="J89" s="1334" t="n">
        <v>104.85442</v>
      </c>
      <c r="K89" s="1334" t="n"/>
      <c r="L89" s="1334" t="n"/>
      <c r="M89" s="1334" t="n"/>
      <c r="N89" s="1334" t="n"/>
      <c r="O89" s="1334" t="n"/>
      <c r="P89" s="1334" t="n"/>
      <c r="Q89" s="1334" t="n"/>
      <c r="R89" s="1335" t="n"/>
      <c r="S89" s="630" t="n"/>
    </row>
    <row r="90" outlineLevel="1" ht="16.5" customHeight="1" s="838">
      <c r="B90" s="756" t="n"/>
      <c r="C90" s="738" t="n"/>
      <c r="D90" s="738" t="n"/>
      <c r="E90" s="739" t="n"/>
      <c r="F90" s="790" t="inlineStr">
        <is>
          <t>`26년 실적</t>
        </is>
      </c>
      <c r="G90" s="1336" t="n">
        <v>42.171408</v>
      </c>
      <c r="H90" s="1336" t="n">
        <v>65.496151</v>
      </c>
      <c r="I90" s="1336" t="n">
        <v>49.918341</v>
      </c>
      <c r="J90" s="1336" t="n">
        <v>46.488601</v>
      </c>
      <c r="K90" s="1336" t="n"/>
      <c r="L90" s="1336" t="n"/>
      <c r="M90" s="1336" t="n"/>
      <c r="N90" s="1336" t="n"/>
      <c r="O90" s="1336" t="n"/>
      <c r="P90" s="1336" t="n"/>
      <c r="Q90" s="1336" t="n"/>
      <c r="R90" s="1337" t="n"/>
      <c r="S90" s="630" t="n"/>
    </row>
    <row r="91" outlineLevel="1" ht="16.5" customHeight="1" s="838">
      <c r="B91" s="756" t="n"/>
      <c r="C91" s="738" t="n"/>
      <c r="D91" s="738" t="n"/>
      <c r="E91" s="737" t="inlineStr">
        <is>
          <t>개선금액</t>
        </is>
      </c>
      <c r="F91" s="797" t="inlineStr">
        <is>
          <t>`26년 목표</t>
        </is>
      </c>
      <c r="G91" s="1338">
        <f>G88-G89</f>
        <v/>
      </c>
      <c r="H91" s="1338">
        <f>H88-H89</f>
        <v/>
      </c>
      <c r="I91" s="1338">
        <f>I88-I89</f>
        <v/>
      </c>
      <c r="J91" s="1338">
        <f>J88-J89</f>
        <v/>
      </c>
      <c r="K91" s="1338" t="n"/>
      <c r="L91" s="1338" t="n"/>
      <c r="M91" s="1338" t="n"/>
      <c r="N91" s="1338" t="n"/>
      <c r="O91" s="1338" t="n"/>
      <c r="P91" s="1338" t="n"/>
      <c r="Q91" s="1338" t="n"/>
      <c r="R91" s="1339" t="n"/>
      <c r="S91" s="630" t="n"/>
    </row>
    <row r="92" outlineLevel="1" ht="16.5" customHeight="1" s="838">
      <c r="B92" s="756" t="n"/>
      <c r="C92" s="738" t="n"/>
      <c r="D92" s="739" t="n"/>
      <c r="E92" s="739" t="n"/>
      <c r="F92" s="790" t="inlineStr">
        <is>
          <t>`26년 실적</t>
        </is>
      </c>
      <c r="G92" s="1340">
        <f>G88-G90</f>
        <v/>
      </c>
      <c r="H92" s="1340">
        <f>H88-H90</f>
        <v/>
      </c>
      <c r="I92" s="1340">
        <f>I88-I90</f>
        <v/>
      </c>
      <c r="J92" s="1340">
        <f>J88-J90</f>
        <v/>
      </c>
      <c r="K92" s="1340" t="n"/>
      <c r="L92" s="1336" t="n"/>
      <c r="M92" s="1336" t="n"/>
      <c r="N92" s="1336" t="n"/>
      <c r="O92" s="1336" t="n"/>
      <c r="P92" s="1336" t="n"/>
      <c r="Q92" s="1336" t="n"/>
      <c r="R92" s="1337" t="n"/>
      <c r="S92" s="630" t="n"/>
    </row>
    <row r="93" outlineLevel="1" ht="16.5" customHeight="1" s="838">
      <c r="B93" s="756" t="n"/>
      <c r="C93" s="738" t="n"/>
      <c r="D93" s="737" t="inlineStr">
        <is>
          <t>부문3</t>
        </is>
      </c>
      <c r="E93" s="737" t="inlineStr">
        <is>
          <t>고정비</t>
        </is>
      </c>
      <c r="F93" s="797" t="inlineStr">
        <is>
          <t>`25년 실적</t>
        </is>
      </c>
      <c r="G93" s="1341" t="n">
        <v>149.520646</v>
      </c>
      <c r="H93" s="1341" t="n">
        <v>71.6074</v>
      </c>
      <c r="I93" s="1341" t="n">
        <v>85.565055</v>
      </c>
      <c r="J93" s="1341" t="n">
        <v>84.894385</v>
      </c>
      <c r="K93" s="1341" t="n"/>
      <c r="L93" s="1341" t="n"/>
      <c r="M93" s="1341" t="n"/>
      <c r="N93" s="1341" t="n"/>
      <c r="O93" s="1341" t="n"/>
      <c r="P93" s="1341" t="n"/>
      <c r="Q93" s="1341" t="n"/>
      <c r="R93" s="1342" t="n"/>
      <c r="S93" s="630" t="n"/>
    </row>
    <row r="94" outlineLevel="1" ht="16.5" customHeight="1" s="838">
      <c r="B94" s="756" t="n"/>
      <c r="C94" s="738" t="n"/>
      <c r="D94" s="738" t="n"/>
      <c r="E94" s="738" t="n"/>
      <c r="F94" s="624" t="inlineStr">
        <is>
          <t>`26년 목표</t>
        </is>
      </c>
      <c r="G94" s="1334" t="n">
        <v>116.289813</v>
      </c>
      <c r="H94" s="1334" t="n">
        <v>69.81782200000001</v>
      </c>
      <c r="I94" s="1334" t="n">
        <v>82.12578600000001</v>
      </c>
      <c r="J94" s="1334" t="n">
        <v>214.905446</v>
      </c>
      <c r="K94" s="1334" t="n"/>
      <c r="L94" s="1334" t="n"/>
      <c r="M94" s="1334" t="n"/>
      <c r="N94" s="1334" t="n"/>
      <c r="O94" s="1334" t="n"/>
      <c r="P94" s="1334" t="n"/>
      <c r="Q94" s="1334" t="n"/>
      <c r="R94" s="1335" t="n"/>
      <c r="S94" s="630" t="n"/>
    </row>
    <row r="95" outlineLevel="1" ht="16.5" customHeight="1" s="838">
      <c r="B95" s="756" t="n"/>
      <c r="C95" s="738" t="n"/>
      <c r="D95" s="738" t="n"/>
      <c r="E95" s="739" t="n"/>
      <c r="F95" s="790" t="inlineStr">
        <is>
          <t>`26년 실적</t>
        </is>
      </c>
      <c r="G95" s="1336" t="n">
        <v>39.108745</v>
      </c>
      <c r="H95" s="1336" t="n">
        <v>107.418753</v>
      </c>
      <c r="I95" s="1336" t="n">
        <v>63.690232</v>
      </c>
      <c r="J95" s="1336" t="n">
        <v>149.494301</v>
      </c>
      <c r="K95" s="1336" t="n"/>
      <c r="L95" s="1336" t="n"/>
      <c r="M95" s="1336" t="n"/>
      <c r="N95" s="1336" t="n"/>
      <c r="O95" s="1336" t="n"/>
      <c r="P95" s="1336" t="n"/>
      <c r="Q95" s="1336" t="n"/>
      <c r="R95" s="1337" t="n"/>
      <c r="S95" s="630" t="n"/>
    </row>
    <row r="96" outlineLevel="1" ht="16.5" customHeight="1" s="838">
      <c r="B96" s="756" t="n"/>
      <c r="C96" s="738" t="n"/>
      <c r="D96" s="738" t="n"/>
      <c r="E96" s="737" t="inlineStr">
        <is>
          <t>개선금액</t>
        </is>
      </c>
      <c r="F96" s="797" t="inlineStr">
        <is>
          <t>`26년 목표</t>
        </is>
      </c>
      <c r="G96" s="1338">
        <f>G93-G94</f>
        <v/>
      </c>
      <c r="H96" s="1338">
        <f>H93-H94</f>
        <v/>
      </c>
      <c r="I96" s="1338">
        <f>I93-I94</f>
        <v/>
      </c>
      <c r="J96" s="1338">
        <f>J93-J94</f>
        <v/>
      </c>
      <c r="K96" s="1338" t="n"/>
      <c r="L96" s="1338" t="n"/>
      <c r="M96" s="1338" t="n"/>
      <c r="N96" s="1338" t="n"/>
      <c r="O96" s="1338" t="n"/>
      <c r="P96" s="1338" t="n"/>
      <c r="Q96" s="1338" t="n"/>
      <c r="R96" s="1339" t="n"/>
      <c r="S96" s="630" t="n"/>
    </row>
    <row r="97" outlineLevel="1" ht="16.5" customHeight="1" s="838">
      <c r="B97" s="756" t="n"/>
      <c r="C97" s="738" t="n"/>
      <c r="D97" s="739" t="n"/>
      <c r="E97" s="739" t="n"/>
      <c r="F97" s="790" t="inlineStr">
        <is>
          <t>`26년 실적</t>
        </is>
      </c>
      <c r="G97" s="1340">
        <f>G93-G95</f>
        <v/>
      </c>
      <c r="H97" s="1340">
        <f>H93-H95</f>
        <v/>
      </c>
      <c r="I97" s="1340">
        <f>I93-I95</f>
        <v/>
      </c>
      <c r="J97" s="1340">
        <f>J93-J95</f>
        <v/>
      </c>
      <c r="K97" s="1340" t="n"/>
      <c r="L97" s="1336" t="n"/>
      <c r="M97" s="1336" t="n"/>
      <c r="N97" s="1336" t="n"/>
      <c r="O97" s="1336" t="n"/>
      <c r="P97" s="1336" t="n"/>
      <c r="Q97" s="1336" t="n"/>
      <c r="R97" s="1337" t="n"/>
      <c r="S97" s="630" t="n"/>
    </row>
    <row r="98" outlineLevel="1" ht="16.5" customHeight="1" s="838">
      <c r="B98" s="756" t="n"/>
      <c r="C98" s="738" t="n"/>
      <c r="D98" s="737" t="inlineStr">
        <is>
          <t>부문4</t>
        </is>
      </c>
      <c r="E98" s="737" t="inlineStr">
        <is>
          <t>고정비</t>
        </is>
      </c>
      <c r="F98" s="797" t="inlineStr">
        <is>
          <t>`25년 실적</t>
        </is>
      </c>
      <c r="G98" s="1341" t="n">
        <v>72.07570699999999</v>
      </c>
      <c r="H98" s="1341" t="n">
        <v>103.39018</v>
      </c>
      <c r="I98" s="1341" t="n">
        <v>93.937551</v>
      </c>
      <c r="J98" s="1341" t="n">
        <v>93.937551</v>
      </c>
      <c r="K98" s="1341" t="n"/>
      <c r="L98" s="1341" t="n"/>
      <c r="M98" s="1341" t="n"/>
      <c r="N98" s="1341" t="n"/>
      <c r="O98" s="1341" t="n"/>
      <c r="P98" s="1341" t="n"/>
      <c r="Q98" s="1341" t="n"/>
      <c r="R98" s="1342" t="n"/>
      <c r="S98" s="630" t="n"/>
    </row>
    <row r="99" outlineLevel="1" ht="16.5" customHeight="1" s="838">
      <c r="B99" s="756" t="n"/>
      <c r="C99" s="738" t="n"/>
      <c r="D99" s="738" t="n"/>
      <c r="E99" s="738" t="n"/>
      <c r="F99" s="624" t="inlineStr">
        <is>
          <t>`26년 목표</t>
        </is>
      </c>
      <c r="G99" s="1334" t="n">
        <v>152.167586</v>
      </c>
      <c r="H99" s="1334" t="n">
        <v>152.167586</v>
      </c>
      <c r="I99" s="1334" t="n">
        <v>152.167586</v>
      </c>
      <c r="J99" s="1334" t="n">
        <v>152.167586</v>
      </c>
      <c r="K99" s="1334" t="n"/>
      <c r="L99" s="1334" t="n"/>
      <c r="M99" s="1334" t="n"/>
      <c r="N99" s="1334" t="n"/>
      <c r="O99" s="1334" t="n"/>
      <c r="P99" s="1334" t="n"/>
      <c r="Q99" s="1334" t="n"/>
      <c r="R99" s="1335" t="n"/>
      <c r="S99" s="630" t="n"/>
    </row>
    <row r="100" outlineLevel="1" ht="16.5" customHeight="1" s="838">
      <c r="B100" s="756" t="n"/>
      <c r="C100" s="738" t="n"/>
      <c r="D100" s="738" t="n"/>
      <c r="E100" s="739" t="n"/>
      <c r="F100" s="790" t="inlineStr">
        <is>
          <t>`26년 실적</t>
        </is>
      </c>
      <c r="G100" s="1336" t="n">
        <v>89.44961499999999</v>
      </c>
      <c r="H100" s="1336" t="n">
        <v>132.884498</v>
      </c>
      <c r="I100" s="1336" t="n">
        <v>152.167586</v>
      </c>
      <c r="J100" s="1336" t="n">
        <v>152.167586</v>
      </c>
      <c r="K100" s="1336" t="n"/>
      <c r="L100" s="1336" t="n"/>
      <c r="M100" s="1336" t="n"/>
      <c r="N100" s="1336" t="n"/>
      <c r="O100" s="1336" t="n"/>
      <c r="P100" s="1336" t="n"/>
      <c r="Q100" s="1336" t="n"/>
      <c r="R100" s="1337" t="n"/>
      <c r="S100" s="630" t="n"/>
    </row>
    <row r="101" outlineLevel="1" ht="16.5" customHeight="1" s="838">
      <c r="B101" s="756" t="n"/>
      <c r="C101" s="738" t="n"/>
      <c r="D101" s="738" t="n"/>
      <c r="E101" s="737" t="inlineStr">
        <is>
          <t>개선금액</t>
        </is>
      </c>
      <c r="F101" s="797" t="inlineStr">
        <is>
          <t>`26년 목표</t>
        </is>
      </c>
      <c r="G101" s="1338">
        <f>G98-G99</f>
        <v/>
      </c>
      <c r="H101" s="1338">
        <f>H98-H99</f>
        <v/>
      </c>
      <c r="I101" s="1338">
        <f>I98-I99</f>
        <v/>
      </c>
      <c r="J101" s="1338">
        <f>J98-J99</f>
        <v/>
      </c>
      <c r="K101" s="1338" t="n"/>
      <c r="L101" s="1338" t="n"/>
      <c r="M101" s="1338" t="n"/>
      <c r="N101" s="1338" t="n"/>
      <c r="O101" s="1338" t="n"/>
      <c r="P101" s="1338" t="n"/>
      <c r="Q101" s="1338" t="n"/>
      <c r="R101" s="1339" t="n"/>
      <c r="S101" s="630" t="n"/>
    </row>
    <row r="102" outlineLevel="1" ht="16.5" customHeight="1" s="838">
      <c r="B102" s="756" t="n"/>
      <c r="C102" s="739" t="n"/>
      <c r="D102" s="739" t="n"/>
      <c r="E102" s="739" t="n"/>
      <c r="F102" s="790" t="inlineStr">
        <is>
          <t>`26년 실적</t>
        </is>
      </c>
      <c r="G102" s="1340">
        <f>G98-G100</f>
        <v/>
      </c>
      <c r="H102" s="1340">
        <f>H98-H100</f>
        <v/>
      </c>
      <c r="I102" s="1340">
        <f>I98-I100</f>
        <v/>
      </c>
      <c r="J102" s="1340">
        <f>J98-J100</f>
        <v/>
      </c>
      <c r="K102" s="1340" t="n"/>
      <c r="L102" s="1336" t="n"/>
      <c r="M102" s="1336" t="n"/>
      <c r="N102" s="1336" t="n"/>
      <c r="O102" s="1336" t="n"/>
      <c r="P102" s="1336" t="n"/>
      <c r="Q102" s="1336" t="n"/>
      <c r="R102" s="1337" t="n"/>
      <c r="S102" s="630" t="n"/>
    </row>
    <row r="103" outlineLevel="1" ht="16.5" customHeight="1" s="838">
      <c r="B103" s="756" t="n"/>
      <c r="C103" s="749" t="inlineStr">
        <is>
          <t>해외</t>
        </is>
      </c>
      <c r="D103" s="737" t="inlineStr">
        <is>
          <t>해외 합계</t>
        </is>
      </c>
      <c r="E103" s="737" t="inlineStr">
        <is>
          <t>고정비</t>
        </is>
      </c>
      <c r="F103" s="797" t="inlineStr">
        <is>
          <t>`25년 실적</t>
        </is>
      </c>
      <c r="G103" s="1341">
        <f>SUM(G108,G113,G118,G123,G128)</f>
        <v/>
      </c>
      <c r="H103" s="1341">
        <f>SUM(H108,H113,H118,H123,H128)</f>
        <v/>
      </c>
      <c r="I103" s="1341">
        <f>SUM(I108,I113,I118,I123,I128)</f>
        <v/>
      </c>
      <c r="J103" s="1341">
        <f>SUM(J108,J113,J118,J123,J128)</f>
        <v/>
      </c>
      <c r="K103" s="1341" t="n"/>
      <c r="L103" s="1341" t="n"/>
      <c r="M103" s="1341" t="n"/>
      <c r="N103" s="1341" t="n"/>
      <c r="O103" s="1341" t="n"/>
      <c r="P103" s="1341" t="n"/>
      <c r="Q103" s="1341" t="n"/>
      <c r="R103" s="1342" t="n"/>
      <c r="S103" s="630" t="n"/>
    </row>
    <row r="104" outlineLevel="1" ht="16.5" customHeight="1" s="838">
      <c r="B104" s="756" t="n"/>
      <c r="C104" s="738" t="n"/>
      <c r="D104" s="738" t="n"/>
      <c r="E104" s="738" t="n"/>
      <c r="F104" s="624" t="inlineStr">
        <is>
          <t>`26년 목표</t>
        </is>
      </c>
      <c r="G104" s="1334">
        <f>SUM(G109,G114,G119,G124,G129)</f>
        <v/>
      </c>
      <c r="H104" s="1334">
        <f>SUM(H109,H114,H119,H124,H129)</f>
        <v/>
      </c>
      <c r="I104" s="1334">
        <f>SUM(I109,I114,I119,I124,I129)</f>
        <v/>
      </c>
      <c r="J104" s="1334">
        <f>SUM(J109,J114,J119,J124,J129)</f>
        <v/>
      </c>
      <c r="K104" s="1334" t="n"/>
      <c r="L104" s="1334" t="n"/>
      <c r="M104" s="1334" t="n"/>
      <c r="N104" s="1334" t="n"/>
      <c r="O104" s="1334" t="n"/>
      <c r="P104" s="1334" t="n"/>
      <c r="Q104" s="1334" t="n"/>
      <c r="R104" s="1335" t="n"/>
      <c r="S104" s="630" t="n"/>
    </row>
    <row r="105" outlineLevel="1" ht="16.5" customHeight="1" s="838">
      <c r="B105" s="756" t="n"/>
      <c r="C105" s="738" t="n"/>
      <c r="D105" s="738" t="n"/>
      <c r="E105" s="739" t="n"/>
      <c r="F105" s="790" t="inlineStr">
        <is>
          <t>`26년 실적</t>
        </is>
      </c>
      <c r="G105" s="1336">
        <f>SUM(G110,G115,G120,G125,G130)</f>
        <v/>
      </c>
      <c r="H105" s="1336">
        <f>SUM(H110,H115,H120,H125,H130)</f>
        <v/>
      </c>
      <c r="I105" s="1336">
        <f>SUM(I110,I115,I120,I125,I130)</f>
        <v/>
      </c>
      <c r="J105" s="1336">
        <f>SUM(J110,J115,J120,J125,J130)</f>
        <v/>
      </c>
      <c r="K105" s="1336" t="n"/>
      <c r="L105" s="1336" t="n"/>
      <c r="M105" s="1336" t="n"/>
      <c r="N105" s="1336" t="n"/>
      <c r="O105" s="1336" t="n"/>
      <c r="P105" s="1336" t="n"/>
      <c r="Q105" s="1336" t="n"/>
      <c r="R105" s="1337" t="n"/>
      <c r="S105" s="630" t="n"/>
    </row>
    <row r="106" outlineLevel="1" ht="16.5" customHeight="1" s="838">
      <c r="B106" s="756" t="n"/>
      <c r="C106" s="738" t="n"/>
      <c r="D106" s="738" t="n"/>
      <c r="E106" s="737" t="inlineStr">
        <is>
          <t>개선금액</t>
        </is>
      </c>
      <c r="F106" s="797" t="inlineStr">
        <is>
          <t>`26년 목표</t>
        </is>
      </c>
      <c r="G106" s="1338">
        <f>SUM(G111,G116,G121,G126,G131)</f>
        <v/>
      </c>
      <c r="H106" s="1338">
        <f>SUM(H111,H116,H121,H126,H131)</f>
        <v/>
      </c>
      <c r="I106" s="1338">
        <f>SUM(I111,I116,I121,I126,I131)</f>
        <v/>
      </c>
      <c r="J106" s="1338">
        <f>SUM(J111,J116,J121,J126,J131)</f>
        <v/>
      </c>
      <c r="K106" s="1338" t="n"/>
      <c r="L106" s="1338" t="n"/>
      <c r="M106" s="1338" t="n"/>
      <c r="N106" s="1338" t="n"/>
      <c r="O106" s="1338" t="n"/>
      <c r="P106" s="1338" t="n"/>
      <c r="Q106" s="1338" t="n"/>
      <c r="R106" s="1339" t="n"/>
      <c r="S106" s="630" t="n"/>
    </row>
    <row r="107" outlineLevel="1" ht="16.5" customHeight="1" s="838">
      <c r="B107" s="756" t="n"/>
      <c r="C107" s="738" t="n"/>
      <c r="D107" s="739" t="n"/>
      <c r="E107" s="739" t="n"/>
      <c r="F107" s="790" t="inlineStr">
        <is>
          <t>`26년 실적</t>
        </is>
      </c>
      <c r="G107" s="1340">
        <f>SUM(G112,G117,G122,G127,G132)</f>
        <v/>
      </c>
      <c r="H107" s="1340">
        <f>SUM(H112,H117,H122,H127,H132)</f>
        <v/>
      </c>
      <c r="I107" s="1340">
        <f>SUM(I112,I117,I122,I127,I132)</f>
        <v/>
      </c>
      <c r="J107" s="1340">
        <f>SUM(J112,J117,J122,J127,J132)</f>
        <v/>
      </c>
      <c r="K107" s="1340" t="n"/>
      <c r="L107" s="1340" t="n"/>
      <c r="M107" s="1340" t="n"/>
      <c r="N107" s="1340" t="n"/>
      <c r="O107" s="1340" t="n"/>
      <c r="P107" s="1340" t="n"/>
      <c r="Q107" s="1340" t="n"/>
      <c r="R107" s="1343" t="n"/>
      <c r="S107" s="630" t="n"/>
    </row>
    <row r="108" outlineLevel="1" ht="16.5" customHeight="1" s="838">
      <c r="B108" s="756" t="n"/>
      <c r="C108" s="738" t="n"/>
      <c r="D108" s="737" t="inlineStr">
        <is>
          <t>부문5</t>
        </is>
      </c>
      <c r="E108" s="737" t="inlineStr">
        <is>
          <t>고정비</t>
        </is>
      </c>
      <c r="F108" s="797" t="inlineStr">
        <is>
          <t>`25년 실적</t>
        </is>
      </c>
      <c r="G108" s="1341" t="n">
        <v>68.51601100000001</v>
      </c>
      <c r="H108" s="1341" t="n">
        <v>145.753141</v>
      </c>
      <c r="I108" s="1341" t="n">
        <v>93.567307</v>
      </c>
      <c r="J108" s="1341" t="n">
        <v>134.976235</v>
      </c>
      <c r="K108" s="1341" t="n"/>
      <c r="L108" s="1341" t="n"/>
      <c r="M108" s="1341" t="n"/>
      <c r="N108" s="1341" t="n"/>
      <c r="O108" s="1341" t="n"/>
      <c r="P108" s="1341" t="n"/>
      <c r="Q108" s="1341" t="n"/>
      <c r="R108" s="1342" t="n"/>
      <c r="S108" s="630" t="n"/>
    </row>
    <row r="109" outlineLevel="1" ht="16.5" customHeight="1" s="838">
      <c r="B109" s="756" t="n"/>
      <c r="C109" s="738" t="n"/>
      <c r="D109" s="738" t="n"/>
      <c r="E109" s="738" t="n"/>
      <c r="F109" s="624" t="inlineStr">
        <is>
          <t>`26년 목표</t>
        </is>
      </c>
      <c r="G109" s="1334" t="n">
        <v>59.764518</v>
      </c>
      <c r="H109" s="1334" t="n">
        <v>152.662216</v>
      </c>
      <c r="I109" s="1334" t="n">
        <v>40.973568</v>
      </c>
      <c r="J109" s="1334" t="n">
        <v>122.436993</v>
      </c>
      <c r="K109" s="1334" t="n"/>
      <c r="L109" s="1334" t="n"/>
      <c r="M109" s="1334" t="n"/>
      <c r="N109" s="1334" t="n"/>
      <c r="O109" s="1334" t="n"/>
      <c r="P109" s="1334" t="n"/>
      <c r="Q109" s="1334" t="n"/>
      <c r="R109" s="1335" t="n"/>
      <c r="S109" s="630" t="n"/>
    </row>
    <row r="110" outlineLevel="1" ht="16.5" customHeight="1" s="838">
      <c r="B110" s="756" t="n"/>
      <c r="C110" s="738" t="n"/>
      <c r="D110" s="738" t="n"/>
      <c r="E110" s="739" t="n"/>
      <c r="F110" s="790" t="inlineStr">
        <is>
          <t>`26년 실적</t>
        </is>
      </c>
      <c r="G110" s="1336" t="n">
        <v>57.375319</v>
      </c>
      <c r="H110" s="1336" t="n">
        <v>95.20148</v>
      </c>
      <c r="I110" s="1336" t="n">
        <v>71.17642499999999</v>
      </c>
      <c r="J110" s="1336" t="n">
        <v>137.549516</v>
      </c>
      <c r="K110" s="1336" t="n"/>
      <c r="L110" s="1336" t="n"/>
      <c r="M110" s="1336" t="n"/>
      <c r="N110" s="1336" t="n"/>
      <c r="O110" s="1336" t="n"/>
      <c r="P110" s="1336" t="n"/>
      <c r="Q110" s="1336" t="n"/>
      <c r="R110" s="1337" t="n"/>
      <c r="S110" s="630" t="n"/>
    </row>
    <row r="111" outlineLevel="1" ht="16.5" customHeight="1" s="838">
      <c r="B111" s="756" t="n"/>
      <c r="C111" s="738" t="n"/>
      <c r="D111" s="738" t="n"/>
      <c r="E111" s="737" t="inlineStr">
        <is>
          <t>개선금액</t>
        </is>
      </c>
      <c r="F111" s="797" t="inlineStr">
        <is>
          <t>`26년 목표</t>
        </is>
      </c>
      <c r="G111" s="1338">
        <f>G108-G109</f>
        <v/>
      </c>
      <c r="H111" s="1338">
        <f>H108-H109</f>
        <v/>
      </c>
      <c r="I111" s="1338">
        <f>I108-I109</f>
        <v/>
      </c>
      <c r="J111" s="1338">
        <f>J108-J109</f>
        <v/>
      </c>
      <c r="K111" s="1338" t="n"/>
      <c r="L111" s="1338" t="n"/>
      <c r="M111" s="1338" t="n"/>
      <c r="N111" s="1338" t="n"/>
      <c r="O111" s="1338" t="n"/>
      <c r="P111" s="1338" t="n"/>
      <c r="Q111" s="1338" t="n"/>
      <c r="R111" s="1339" t="n"/>
      <c r="S111" s="630" t="n"/>
    </row>
    <row r="112" outlineLevel="1" ht="16.5" customHeight="1" s="838">
      <c r="B112" s="756" t="n"/>
      <c r="C112" s="738" t="n"/>
      <c r="D112" s="739" t="n"/>
      <c r="E112" s="739" t="n"/>
      <c r="F112" s="790" t="inlineStr">
        <is>
          <t>`26년 실적</t>
        </is>
      </c>
      <c r="G112" s="1340">
        <f>G108-G110</f>
        <v/>
      </c>
      <c r="H112" s="1340">
        <f>H108-H110</f>
        <v/>
      </c>
      <c r="I112" s="1340">
        <f>I108-I110</f>
        <v/>
      </c>
      <c r="J112" s="1340">
        <f>J108-J110</f>
        <v/>
      </c>
      <c r="K112" s="1340" t="n"/>
      <c r="L112" s="1336" t="n"/>
      <c r="M112" s="1336" t="n"/>
      <c r="N112" s="1336" t="n"/>
      <c r="O112" s="1336" t="n"/>
      <c r="P112" s="1336" t="n"/>
      <c r="Q112" s="1336" t="n"/>
      <c r="R112" s="1337" t="n"/>
      <c r="S112" s="630" t="n"/>
    </row>
    <row r="113" outlineLevel="1" ht="16.5" customHeight="1" s="838">
      <c r="B113" s="756" t="n"/>
      <c r="C113" s="738" t="n"/>
      <c r="D113" s="737" t="inlineStr">
        <is>
          <t>부문6</t>
        </is>
      </c>
      <c r="E113" s="737" t="inlineStr">
        <is>
          <t>고정비</t>
        </is>
      </c>
      <c r="F113" s="797" t="inlineStr">
        <is>
          <t>`25년 실적</t>
        </is>
      </c>
      <c r="G113" s="1341" t="n">
        <v>110.243306</v>
      </c>
      <c r="H113" s="1341" t="n">
        <v>88.165864</v>
      </c>
      <c r="I113" s="1341" t="n">
        <v>84.480467</v>
      </c>
      <c r="J113" s="1341" t="n">
        <v>80.935875</v>
      </c>
      <c r="K113" s="1341" t="n"/>
      <c r="L113" s="1341" t="n"/>
      <c r="M113" s="1341" t="n"/>
      <c r="N113" s="1341" t="n"/>
      <c r="O113" s="1341" t="n"/>
      <c r="P113" s="1341" t="n"/>
      <c r="Q113" s="1341" t="n"/>
      <c r="R113" s="1342" t="n"/>
      <c r="S113" s="630" t="n"/>
    </row>
    <row r="114" outlineLevel="1" ht="16.5" customHeight="1" s="838">
      <c r="B114" s="756" t="n"/>
      <c r="C114" s="738" t="n"/>
      <c r="D114" s="738" t="n"/>
      <c r="E114" s="738" t="n"/>
      <c r="F114" s="624" t="inlineStr">
        <is>
          <t>`26년 목표</t>
        </is>
      </c>
      <c r="G114" s="1334" t="n">
        <v>50.584974</v>
      </c>
      <c r="H114" s="1334" t="n">
        <v>55.261189</v>
      </c>
      <c r="I114" s="1334" t="n">
        <v>55.715993</v>
      </c>
      <c r="J114" s="1334" t="n">
        <v>53.916874</v>
      </c>
      <c r="K114" s="1334" t="n"/>
      <c r="L114" s="1334" t="n"/>
      <c r="M114" s="1334" t="n"/>
      <c r="N114" s="1334" t="n"/>
      <c r="O114" s="1334" t="n"/>
      <c r="P114" s="1334" t="n"/>
      <c r="Q114" s="1334" t="n"/>
      <c r="R114" s="1335" t="n"/>
      <c r="S114" s="630" t="n"/>
    </row>
    <row r="115" outlineLevel="1" ht="16.5" customHeight="1" s="838">
      <c r="B115" s="756" t="n"/>
      <c r="C115" s="738" t="n"/>
      <c r="D115" s="738" t="n"/>
      <c r="E115" s="739" t="n"/>
      <c r="F115" s="790" t="inlineStr">
        <is>
          <t>`26년 실적</t>
        </is>
      </c>
      <c r="G115" s="1336" t="n">
        <v>43.59824</v>
      </c>
      <c r="H115" s="1336" t="n">
        <v>164.598464</v>
      </c>
      <c r="I115" s="1336" t="n">
        <v>40.943144</v>
      </c>
      <c r="J115" s="1336" t="n">
        <v>86.217584</v>
      </c>
      <c r="K115" s="1336" t="n"/>
      <c r="L115" s="1336" t="n"/>
      <c r="M115" s="1336" t="n"/>
      <c r="N115" s="1336" t="n"/>
      <c r="O115" s="1336" t="n"/>
      <c r="P115" s="1336" t="n"/>
      <c r="Q115" s="1336" t="n"/>
      <c r="R115" s="1337" t="n"/>
      <c r="S115" s="630" t="n"/>
    </row>
    <row r="116" outlineLevel="1" ht="16.5" customHeight="1" s="838">
      <c r="B116" s="756" t="n"/>
      <c r="C116" s="738" t="n"/>
      <c r="D116" s="738" t="n"/>
      <c r="E116" s="737" t="inlineStr">
        <is>
          <t>개선금액</t>
        </is>
      </c>
      <c r="F116" s="797" t="inlineStr">
        <is>
          <t>`26년 목표</t>
        </is>
      </c>
      <c r="G116" s="1338">
        <f>G113-G114</f>
        <v/>
      </c>
      <c r="H116" s="1338">
        <f>H113-H114</f>
        <v/>
      </c>
      <c r="I116" s="1338">
        <f>I113-I114</f>
        <v/>
      </c>
      <c r="J116" s="1338">
        <f>J113-J114</f>
        <v/>
      </c>
      <c r="K116" s="1338" t="n"/>
      <c r="L116" s="1338" t="n"/>
      <c r="M116" s="1338" t="n"/>
      <c r="N116" s="1338" t="n"/>
      <c r="O116" s="1338" t="n"/>
      <c r="P116" s="1338" t="n"/>
      <c r="Q116" s="1338" t="n"/>
      <c r="R116" s="1339" t="n"/>
      <c r="S116" s="630" t="n"/>
    </row>
    <row r="117" outlineLevel="1" ht="16.5" customHeight="1" s="838">
      <c r="B117" s="756" t="n"/>
      <c r="C117" s="738" t="n"/>
      <c r="D117" s="739" t="n"/>
      <c r="E117" s="739" t="n"/>
      <c r="F117" s="790" t="inlineStr">
        <is>
          <t>`26년 실적</t>
        </is>
      </c>
      <c r="G117" s="1340">
        <f>G113-G115</f>
        <v/>
      </c>
      <c r="H117" s="1340">
        <f>H113-H115</f>
        <v/>
      </c>
      <c r="I117" s="1340">
        <f>I113-I115</f>
        <v/>
      </c>
      <c r="J117" s="1340">
        <f>J113-J115</f>
        <v/>
      </c>
      <c r="K117" s="1340" t="n"/>
      <c r="L117" s="1336" t="n"/>
      <c r="M117" s="1336" t="n"/>
      <c r="N117" s="1336" t="n"/>
      <c r="O117" s="1336" t="n"/>
      <c r="P117" s="1336" t="n"/>
      <c r="Q117" s="1336" t="n"/>
      <c r="R117" s="1337" t="n"/>
      <c r="S117" s="630" t="n"/>
    </row>
    <row r="118" outlineLevel="1" ht="16.5" customHeight="1" s="838">
      <c r="B118" s="756" t="n"/>
      <c r="C118" s="738" t="n"/>
      <c r="D118" s="737" t="inlineStr">
        <is>
          <t>부문7</t>
        </is>
      </c>
      <c r="E118" s="737" t="inlineStr">
        <is>
          <t>고정비</t>
        </is>
      </c>
      <c r="F118" s="797" t="inlineStr">
        <is>
          <t>`25년 실적</t>
        </is>
      </c>
      <c r="G118" s="1341" t="n">
        <v>109.090833</v>
      </c>
      <c r="H118" s="1341" t="n">
        <v>191.185316</v>
      </c>
      <c r="I118" s="1341" t="n">
        <v>215.177194</v>
      </c>
      <c r="J118" s="1341" t="n">
        <v>133.086522</v>
      </c>
      <c r="K118" s="1341" t="n"/>
      <c r="L118" s="1341" t="n"/>
      <c r="M118" s="1341" t="n"/>
      <c r="N118" s="1341" t="n"/>
      <c r="O118" s="1341" t="n"/>
      <c r="P118" s="1341" t="n"/>
      <c r="Q118" s="1341" t="n"/>
      <c r="R118" s="1342" t="n"/>
      <c r="S118" s="630" t="n"/>
    </row>
    <row r="119" outlineLevel="1" ht="16.5" customHeight="1" s="838">
      <c r="B119" s="756" t="n"/>
      <c r="C119" s="738" t="n"/>
      <c r="D119" s="738" t="n"/>
      <c r="E119" s="738" t="n"/>
      <c r="F119" s="624" t="inlineStr">
        <is>
          <t>`26년 목표</t>
        </is>
      </c>
      <c r="G119" s="1334" t="n">
        <v>44.856439</v>
      </c>
      <c r="H119" s="1334" t="n">
        <v>66.44690199999999</v>
      </c>
      <c r="I119" s="1334" t="n">
        <v>332.652506</v>
      </c>
      <c r="J119" s="1334" t="n">
        <v>86.528077</v>
      </c>
      <c r="K119" s="1334" t="n"/>
      <c r="L119" s="1334" t="n"/>
      <c r="M119" s="1334" t="n"/>
      <c r="N119" s="1334" t="n"/>
      <c r="O119" s="1334" t="n"/>
      <c r="P119" s="1334" t="n"/>
      <c r="Q119" s="1334" t="n"/>
      <c r="R119" s="1335" t="n"/>
      <c r="S119" s="630" t="n"/>
    </row>
    <row r="120" outlineLevel="1" ht="16.5" customHeight="1" s="838">
      <c r="B120" s="756" t="n"/>
      <c r="C120" s="738" t="n"/>
      <c r="D120" s="738" t="n"/>
      <c r="E120" s="739" t="n"/>
      <c r="F120" s="790" t="inlineStr">
        <is>
          <t>`26년 실적</t>
        </is>
      </c>
      <c r="G120" s="1336" t="n">
        <v>79.195108</v>
      </c>
      <c r="H120" s="1336" t="n">
        <v>225.295092</v>
      </c>
      <c r="I120" s="1336" t="n">
        <v>213.846064</v>
      </c>
      <c r="J120" s="1336" t="n">
        <v>263.978739</v>
      </c>
      <c r="K120" s="1336" t="n"/>
      <c r="L120" s="1336" t="n"/>
      <c r="M120" s="1336" t="n"/>
      <c r="N120" s="1336" t="n"/>
      <c r="O120" s="1336" t="n"/>
      <c r="P120" s="1336" t="n"/>
      <c r="Q120" s="1336" t="n"/>
      <c r="R120" s="1337" t="n"/>
      <c r="S120" s="630" t="n"/>
    </row>
    <row r="121" outlineLevel="1" ht="16.5" customHeight="1" s="838">
      <c r="B121" s="756" t="n"/>
      <c r="C121" s="738" t="n"/>
      <c r="D121" s="738" t="n"/>
      <c r="E121" s="737" t="inlineStr">
        <is>
          <t>개선금액</t>
        </is>
      </c>
      <c r="F121" s="797" t="inlineStr">
        <is>
          <t>`26년 목표</t>
        </is>
      </c>
      <c r="G121" s="1338">
        <f>G118-G119</f>
        <v/>
      </c>
      <c r="H121" s="1338">
        <f>H118-H119</f>
        <v/>
      </c>
      <c r="I121" s="1338">
        <f>I118-I119</f>
        <v/>
      </c>
      <c r="J121" s="1338">
        <f>J118-J119</f>
        <v/>
      </c>
      <c r="K121" s="1338" t="n"/>
      <c r="L121" s="1338" t="n"/>
      <c r="M121" s="1338" t="n"/>
      <c r="N121" s="1338" t="n"/>
      <c r="O121" s="1338" t="n"/>
      <c r="P121" s="1338" t="n"/>
      <c r="Q121" s="1338" t="n"/>
      <c r="R121" s="1339" t="n"/>
      <c r="S121" s="630" t="n"/>
    </row>
    <row r="122" outlineLevel="1" ht="16.5" customHeight="1" s="838">
      <c r="B122" s="756" t="n"/>
      <c r="C122" s="738" t="n"/>
      <c r="D122" s="739" t="n"/>
      <c r="E122" s="739" t="n"/>
      <c r="F122" s="790" t="inlineStr">
        <is>
          <t>`26년 실적</t>
        </is>
      </c>
      <c r="G122" s="1340">
        <f>G118-G120</f>
        <v/>
      </c>
      <c r="H122" s="1340">
        <f>H118-H120</f>
        <v/>
      </c>
      <c r="I122" s="1340">
        <f>I118-I120</f>
        <v/>
      </c>
      <c r="J122" s="1340">
        <f>J118-J120</f>
        <v/>
      </c>
      <c r="K122" s="1340" t="n"/>
      <c r="L122" s="1336" t="n"/>
      <c r="M122" s="1336" t="n"/>
      <c r="N122" s="1336" t="n"/>
      <c r="O122" s="1336" t="n"/>
      <c r="P122" s="1336" t="n"/>
      <c r="Q122" s="1336" t="n"/>
      <c r="R122" s="1337" t="n"/>
      <c r="S122" s="630" t="n"/>
    </row>
    <row r="123" outlineLevel="1" ht="16.5" customHeight="1" s="838">
      <c r="B123" s="756" t="n"/>
      <c r="C123" s="738" t="n"/>
      <c r="D123" s="737" t="inlineStr">
        <is>
          <t>부문8</t>
        </is>
      </c>
      <c r="E123" s="737" t="inlineStr">
        <is>
          <t>고정비</t>
        </is>
      </c>
      <c r="F123" s="797" t="inlineStr">
        <is>
          <t>`25년 실적</t>
        </is>
      </c>
      <c r="G123" s="1341" t="n">
        <v>26.740229</v>
      </c>
      <c r="H123" s="1341" t="n">
        <v>32.948961</v>
      </c>
      <c r="I123" s="1341" t="n">
        <v>33.332522</v>
      </c>
      <c r="J123" s="1341" t="n">
        <v>62.687288</v>
      </c>
      <c r="K123" s="1341" t="n"/>
      <c r="L123" s="1341" t="n"/>
      <c r="M123" s="1341" t="n"/>
      <c r="N123" s="1341" t="n"/>
      <c r="O123" s="1341" t="n"/>
      <c r="P123" s="1341" t="n"/>
      <c r="Q123" s="1341" t="n"/>
      <c r="R123" s="1342" t="n"/>
      <c r="S123" s="630" t="n"/>
    </row>
    <row r="124" outlineLevel="1" ht="16.5" customHeight="1" s="838">
      <c r="B124" s="756" t="n"/>
      <c r="C124" s="738" t="n"/>
      <c r="D124" s="738" t="n"/>
      <c r="E124" s="738" t="n"/>
      <c r="F124" s="624" t="inlineStr">
        <is>
          <t>`26년 목표</t>
        </is>
      </c>
      <c r="G124" s="1334" t="n">
        <v>64.655697</v>
      </c>
      <c r="H124" s="1334" t="n">
        <v>64.66664299999999</v>
      </c>
      <c r="I124" s="1334" t="n">
        <v>48.837323</v>
      </c>
      <c r="J124" s="1334" t="n">
        <v>44.907438</v>
      </c>
      <c r="K124" s="1334" t="n"/>
      <c r="L124" s="1334" t="n"/>
      <c r="M124" s="1334" t="n"/>
      <c r="N124" s="1334" t="n"/>
      <c r="O124" s="1334" t="n"/>
      <c r="P124" s="1334" t="n"/>
      <c r="Q124" s="1334" t="n"/>
      <c r="R124" s="1335" t="n"/>
      <c r="S124" s="630" t="n"/>
    </row>
    <row r="125" outlineLevel="1" ht="16.5" customHeight="1" s="838">
      <c r="B125" s="756" t="n"/>
      <c r="C125" s="738" t="n"/>
      <c r="D125" s="738" t="n"/>
      <c r="E125" s="739" t="n"/>
      <c r="F125" s="790" t="inlineStr">
        <is>
          <t>`26년 실적</t>
        </is>
      </c>
      <c r="G125" s="1336" t="n">
        <v>65.050543</v>
      </c>
      <c r="H125" s="1336" t="n">
        <v>60.655417</v>
      </c>
      <c r="I125" s="1336" t="n">
        <v>58.608123</v>
      </c>
      <c r="J125" s="1336" t="n">
        <v>74.34784399999999</v>
      </c>
      <c r="K125" s="1336" t="n"/>
      <c r="L125" s="1336" t="n"/>
      <c r="M125" s="1336" t="n"/>
      <c r="N125" s="1336" t="n"/>
      <c r="O125" s="1336" t="n"/>
      <c r="P125" s="1336" t="n"/>
      <c r="Q125" s="1336" t="n"/>
      <c r="R125" s="1337" t="n"/>
      <c r="S125" s="630" t="n"/>
    </row>
    <row r="126" outlineLevel="1" ht="16.5" customHeight="1" s="838">
      <c r="B126" s="756" t="n"/>
      <c r="C126" s="738" t="n"/>
      <c r="D126" s="738" t="n"/>
      <c r="E126" s="737" t="inlineStr">
        <is>
          <t>개선금액</t>
        </is>
      </c>
      <c r="F126" s="797" t="inlineStr">
        <is>
          <t>`26년 목표</t>
        </is>
      </c>
      <c r="G126" s="1338">
        <f>G123-G124</f>
        <v/>
      </c>
      <c r="H126" s="1338">
        <f>H123-H124</f>
        <v/>
      </c>
      <c r="I126" s="1338">
        <f>I123-I124</f>
        <v/>
      </c>
      <c r="J126" s="1338">
        <f>J123-J124</f>
        <v/>
      </c>
      <c r="K126" s="1338" t="n"/>
      <c r="L126" s="1338" t="n"/>
      <c r="M126" s="1338" t="n"/>
      <c r="N126" s="1338" t="n"/>
      <c r="O126" s="1338" t="n"/>
      <c r="P126" s="1338" t="n"/>
      <c r="Q126" s="1338" t="n"/>
      <c r="R126" s="1339" t="n"/>
      <c r="S126" s="630" t="n"/>
    </row>
    <row r="127" outlineLevel="1" ht="16.5" customHeight="1" s="838">
      <c r="B127" s="756" t="n"/>
      <c r="C127" s="738" t="n"/>
      <c r="D127" s="739" t="n"/>
      <c r="E127" s="739" t="n"/>
      <c r="F127" s="790" t="inlineStr">
        <is>
          <t>`26년 실적</t>
        </is>
      </c>
      <c r="G127" s="1340">
        <f>G123-G125</f>
        <v/>
      </c>
      <c r="H127" s="1340">
        <f>H123-H125</f>
        <v/>
      </c>
      <c r="I127" s="1340">
        <f>I123-I125</f>
        <v/>
      </c>
      <c r="J127" s="1340">
        <f>J123-J125</f>
        <v/>
      </c>
      <c r="K127" s="1340" t="n"/>
      <c r="L127" s="1336" t="n"/>
      <c r="M127" s="1336" t="n"/>
      <c r="N127" s="1336" t="n"/>
      <c r="O127" s="1336" t="n"/>
      <c r="P127" s="1336" t="n"/>
      <c r="Q127" s="1336" t="n"/>
      <c r="R127" s="1337" t="n"/>
      <c r="S127" s="630" t="n"/>
    </row>
    <row r="128" outlineLevel="1" ht="16.5" customHeight="1" s="838">
      <c r="B128" s="756" t="n"/>
      <c r="C128" s="738" t="n"/>
      <c r="D128" s="749" t="inlineStr">
        <is>
          <t>부문9</t>
        </is>
      </c>
      <c r="E128" s="737" t="inlineStr">
        <is>
          <t>고정비</t>
        </is>
      </c>
      <c r="F128" s="797" t="inlineStr">
        <is>
          <t>`25년 실적</t>
        </is>
      </c>
      <c r="G128" s="1341" t="n">
        <v>8.902526999999999</v>
      </c>
      <c r="H128" s="1341" t="n">
        <v>21.281313</v>
      </c>
      <c r="I128" s="1341" t="n">
        <v>8.583247</v>
      </c>
      <c r="J128" s="1341" t="n">
        <v>15.464783</v>
      </c>
      <c r="K128" s="1341" t="n"/>
      <c r="L128" s="1341" t="n"/>
      <c r="M128" s="1341" t="n"/>
      <c r="N128" s="1341" t="n"/>
      <c r="O128" s="1341" t="n"/>
      <c r="P128" s="1341" t="n"/>
      <c r="Q128" s="1341" t="n"/>
      <c r="R128" s="1342" t="n"/>
      <c r="S128" s="630" t="n"/>
    </row>
    <row r="129" outlineLevel="1" ht="16.5" customHeight="1" s="838">
      <c r="B129" s="756" t="n"/>
      <c r="C129" s="738" t="n"/>
      <c r="D129" s="738" t="n"/>
      <c r="E129" s="738" t="n"/>
      <c r="F129" s="624" t="inlineStr">
        <is>
          <t>`26년 목표</t>
        </is>
      </c>
      <c r="G129" s="1334" t="n">
        <v>4.088799</v>
      </c>
      <c r="H129" s="1334" t="n">
        <v>13.89192</v>
      </c>
      <c r="I129" s="1334" t="n">
        <v>13.773719</v>
      </c>
      <c r="J129" s="1334" t="n">
        <v>12.277991</v>
      </c>
      <c r="K129" s="1334" t="n"/>
      <c r="L129" s="1334" t="n"/>
      <c r="M129" s="1334" t="n"/>
      <c r="N129" s="1334" t="n"/>
      <c r="O129" s="1334" t="n"/>
      <c r="P129" s="1334" t="n"/>
      <c r="Q129" s="1334" t="n"/>
      <c r="R129" s="1335" t="n"/>
      <c r="S129" s="630" t="n"/>
    </row>
    <row r="130" outlineLevel="1" ht="16.5" customHeight="1" s="838">
      <c r="B130" s="756" t="n"/>
      <c r="C130" s="738" t="n"/>
      <c r="D130" s="738" t="n"/>
      <c r="E130" s="739" t="n"/>
      <c r="F130" s="790" t="inlineStr">
        <is>
          <t>`26년 실적</t>
        </is>
      </c>
      <c r="G130" s="1336" t="n">
        <v>10.092306</v>
      </c>
      <c r="H130" s="1336" t="n">
        <v>7.57002</v>
      </c>
      <c r="I130" s="1336" t="n">
        <v>12.011824</v>
      </c>
      <c r="J130" s="1336" t="n">
        <v>7.186887</v>
      </c>
      <c r="K130" s="1336" t="n"/>
      <c r="L130" s="1336" t="n"/>
      <c r="M130" s="1336" t="n"/>
      <c r="N130" s="1336" t="n"/>
      <c r="O130" s="1336" t="n"/>
      <c r="P130" s="1336" t="n"/>
      <c r="Q130" s="1336" t="n"/>
      <c r="R130" s="1337" t="n"/>
      <c r="S130" s="630" t="n"/>
    </row>
    <row r="131" outlineLevel="1" ht="16.5" customHeight="1" s="838">
      <c r="B131" s="756" t="n"/>
      <c r="C131" s="738" t="n"/>
      <c r="D131" s="738" t="n"/>
      <c r="E131" s="749" t="inlineStr">
        <is>
          <t>개선금액</t>
        </is>
      </c>
      <c r="F131" s="797" t="inlineStr">
        <is>
          <t>`26년 목표</t>
        </is>
      </c>
      <c r="G131" s="1338">
        <f>G128-G129</f>
        <v/>
      </c>
      <c r="H131" s="1338">
        <f>H128-H129</f>
        <v/>
      </c>
      <c r="I131" s="1338">
        <f>I128-I129</f>
        <v/>
      </c>
      <c r="J131" s="1338">
        <f>J128-J129</f>
        <v/>
      </c>
      <c r="K131" s="1338" t="n"/>
      <c r="L131" s="1338" t="n"/>
      <c r="M131" s="1338" t="n"/>
      <c r="N131" s="1338" t="n"/>
      <c r="O131" s="1338" t="n"/>
      <c r="P131" s="1338" t="n"/>
      <c r="Q131" s="1338" t="n"/>
      <c r="R131" s="1339" t="n"/>
      <c r="S131" s="630" t="n"/>
    </row>
    <row r="132" outlineLevel="1" ht="17.25" customHeight="1" s="838">
      <c r="B132" s="757" t="n"/>
      <c r="C132" s="753" t="n"/>
      <c r="D132" s="753" t="n"/>
      <c r="E132" s="753" t="n"/>
      <c r="F132" s="626" t="inlineStr">
        <is>
          <t>`26년 실적</t>
        </is>
      </c>
      <c r="G132" s="1344">
        <f>G128-G130</f>
        <v/>
      </c>
      <c r="H132" s="1344">
        <f>H128-H130</f>
        <v/>
      </c>
      <c r="I132" s="1344">
        <f>I128-I130</f>
        <v/>
      </c>
      <c r="J132" s="1344">
        <f>J128-J130</f>
        <v/>
      </c>
      <c r="K132" s="1344" t="n"/>
      <c r="L132" s="1345" t="n"/>
      <c r="M132" s="1345" t="n"/>
      <c r="N132" s="1345" t="n"/>
      <c r="O132" s="1345" t="n"/>
      <c r="P132" s="1345" t="n"/>
      <c r="Q132" s="1345" t="n"/>
      <c r="R132" s="1346" t="n"/>
      <c r="S132" s="630" t="n"/>
    </row>
    <row r="133" outlineLevel="1" ht="16.5" customHeight="1" s="838">
      <c r="B133" s="814" t="inlineStr">
        <is>
          <t>제품2</t>
        </is>
      </c>
      <c r="C133" s="750" t="inlineStr">
        <is>
          <t>제품2 합계</t>
        </is>
      </c>
      <c r="D133" s="743" t="n"/>
      <c r="E133" s="750" t="inlineStr">
        <is>
          <t>고정비</t>
        </is>
      </c>
      <c r="F133" s="802" t="inlineStr">
        <is>
          <t>`25년 실적</t>
        </is>
      </c>
      <c r="G133" s="1332">
        <f>SUM(G138,G168)</f>
        <v/>
      </c>
      <c r="H133" s="1332">
        <f>SUM(H138,H168)</f>
        <v/>
      </c>
      <c r="I133" s="1332">
        <f>SUM(I138,I168)</f>
        <v/>
      </c>
      <c r="J133" s="1332">
        <f>SUM(J138,J168)</f>
        <v/>
      </c>
      <c r="K133" s="1332" t="n"/>
      <c r="L133" s="1332" t="n"/>
      <c r="M133" s="1332" t="n"/>
      <c r="N133" s="1332" t="n"/>
      <c r="O133" s="1332" t="n"/>
      <c r="P133" s="1332" t="n"/>
      <c r="Q133" s="1332" t="n"/>
      <c r="R133" s="1333" t="n"/>
      <c r="S133" s="630" t="n"/>
    </row>
    <row r="134" outlineLevel="1" ht="16.5" customHeight="1" s="838">
      <c r="B134" s="765" t="n"/>
      <c r="C134" s="800" t="n"/>
      <c r="D134" s="766" t="n"/>
      <c r="E134" s="738" t="n"/>
      <c r="F134" s="624" t="inlineStr">
        <is>
          <t>`26년 목표</t>
        </is>
      </c>
      <c r="G134" s="1334">
        <f>SUM(G139,G169)</f>
        <v/>
      </c>
      <c r="H134" s="1334">
        <f>SUM(H139,H169)</f>
        <v/>
      </c>
      <c r="I134" s="1334">
        <f>SUM(I139,I169)</f>
        <v/>
      </c>
      <c r="J134" s="1334">
        <f>SUM(J139,J169)</f>
        <v/>
      </c>
      <c r="K134" s="1334" t="n"/>
      <c r="L134" s="1334" t="n"/>
      <c r="M134" s="1334" t="n"/>
      <c r="N134" s="1334" t="n"/>
      <c r="O134" s="1334" t="n"/>
      <c r="P134" s="1334" t="n"/>
      <c r="Q134" s="1334" t="n"/>
      <c r="R134" s="1335" t="n"/>
      <c r="S134" s="630" t="n"/>
    </row>
    <row r="135" outlineLevel="1" ht="16.5" customHeight="1" s="838">
      <c r="B135" s="765" t="n"/>
      <c r="C135" s="800" t="n"/>
      <c r="D135" s="766" t="n"/>
      <c r="E135" s="739" t="n"/>
      <c r="F135" s="790" t="inlineStr">
        <is>
          <t>`26년 실적</t>
        </is>
      </c>
      <c r="G135" s="1336">
        <f>SUM(G140,G170)</f>
        <v/>
      </c>
      <c r="H135" s="1336">
        <f>SUM(H140,H170)</f>
        <v/>
      </c>
      <c r="I135" s="1336">
        <f>SUM(I140,I170)</f>
        <v/>
      </c>
      <c r="J135" s="1336">
        <f>SUM(J140,J170)</f>
        <v/>
      </c>
      <c r="K135" s="1336" t="n"/>
      <c r="L135" s="1336" t="n"/>
      <c r="M135" s="1336" t="n"/>
      <c r="N135" s="1336" t="n"/>
      <c r="O135" s="1336" t="n"/>
      <c r="P135" s="1336" t="n"/>
      <c r="Q135" s="1336" t="n"/>
      <c r="R135" s="1337" t="n"/>
      <c r="S135" s="630" t="n"/>
    </row>
    <row r="136" outlineLevel="1" ht="16.5" customHeight="1" s="838">
      <c r="B136" s="765" t="n"/>
      <c r="C136" s="800" t="n"/>
      <c r="D136" s="766" t="n"/>
      <c r="E136" s="737" t="inlineStr">
        <is>
          <t>개선금액</t>
        </is>
      </c>
      <c r="F136" s="797" t="inlineStr">
        <is>
          <t>`26년 목표</t>
        </is>
      </c>
      <c r="G136" s="1338">
        <f>SUM(G141,G171)</f>
        <v/>
      </c>
      <c r="H136" s="1338">
        <f>SUM(H141,H171)</f>
        <v/>
      </c>
      <c r="I136" s="1338">
        <f>SUM(I141,I171)</f>
        <v/>
      </c>
      <c r="J136" s="1338">
        <f>SUM(J141,J171)</f>
        <v/>
      </c>
      <c r="K136" s="1338" t="n"/>
      <c r="L136" s="1338" t="n"/>
      <c r="M136" s="1338" t="n"/>
      <c r="N136" s="1338" t="n"/>
      <c r="O136" s="1338" t="n"/>
      <c r="P136" s="1338" t="n"/>
      <c r="Q136" s="1338" t="n"/>
      <c r="R136" s="1339" t="n"/>
      <c r="S136" s="630" t="n"/>
    </row>
    <row r="137" outlineLevel="1" ht="16.5" customHeight="1" s="838">
      <c r="B137" s="765" t="n"/>
      <c r="C137" s="735" t="n"/>
      <c r="D137" s="736" t="n"/>
      <c r="E137" s="739" t="n"/>
      <c r="F137" s="790" t="inlineStr">
        <is>
          <t>`26년 실적</t>
        </is>
      </c>
      <c r="G137" s="1340">
        <f>SUM(G142,G172)</f>
        <v/>
      </c>
      <c r="H137" s="1340">
        <f>SUM(H142,H172)</f>
        <v/>
      </c>
      <c r="I137" s="1340">
        <f>SUM(I142,I172)</f>
        <v/>
      </c>
      <c r="J137" s="1340">
        <f>SUM(J142,J172)</f>
        <v/>
      </c>
      <c r="K137" s="1340" t="n"/>
      <c r="L137" s="1340" t="n"/>
      <c r="M137" s="1340" t="n"/>
      <c r="N137" s="1340" t="n"/>
      <c r="O137" s="1340" t="n"/>
      <c r="P137" s="1340" t="n"/>
      <c r="Q137" s="1340" t="n"/>
      <c r="R137" s="1343" t="n"/>
      <c r="S137" s="630" t="n"/>
    </row>
    <row r="138" outlineLevel="1" ht="16.5" customHeight="1" s="838">
      <c r="B138" s="765" t="n"/>
      <c r="C138" s="737" t="inlineStr">
        <is>
          <t>국내</t>
        </is>
      </c>
      <c r="D138" s="737" t="inlineStr">
        <is>
          <t>국내 합계</t>
        </is>
      </c>
      <c r="E138" s="737" t="inlineStr">
        <is>
          <t>고정비</t>
        </is>
      </c>
      <c r="F138" s="797" t="inlineStr">
        <is>
          <t>`25년 실적</t>
        </is>
      </c>
      <c r="G138" s="1341">
        <f>SUM(G143,G148,G153,G158,G163)</f>
        <v/>
      </c>
      <c r="H138" s="1341">
        <f>SUM(H143,H148,H153,H158,H163)</f>
        <v/>
      </c>
      <c r="I138" s="1341">
        <f>SUM(I143,I148,I153,I158,I163)</f>
        <v/>
      </c>
      <c r="J138" s="1341">
        <f>SUM(J143,J148,J153,J158,J163)</f>
        <v/>
      </c>
      <c r="K138" s="1341" t="n"/>
      <c r="L138" s="1341" t="n"/>
      <c r="M138" s="1341" t="n"/>
      <c r="N138" s="1341" t="n"/>
      <c r="O138" s="1341" t="n"/>
      <c r="P138" s="1341" t="n"/>
      <c r="Q138" s="1341" t="n"/>
      <c r="R138" s="1342" t="n"/>
      <c r="S138" s="630" t="n"/>
    </row>
    <row r="139" outlineLevel="1" ht="16.5" customHeight="1" s="838">
      <c r="B139" s="765" t="n"/>
      <c r="C139" s="738" t="n"/>
      <c r="D139" s="738" t="n"/>
      <c r="E139" s="738" t="n"/>
      <c r="F139" s="624" t="inlineStr">
        <is>
          <t>`26년 목표</t>
        </is>
      </c>
      <c r="G139" s="1334">
        <f>SUM(G144,G149,G154,G159,G164)</f>
        <v/>
      </c>
      <c r="H139" s="1334">
        <f>SUM(H144,H149,H154,H159,H164)</f>
        <v/>
      </c>
      <c r="I139" s="1334">
        <f>SUM(I144,I149,I154,I159,I164)</f>
        <v/>
      </c>
      <c r="J139" s="1334">
        <f>SUM(J144,J149,J154,J159,J164)</f>
        <v/>
      </c>
      <c r="K139" s="1334" t="n"/>
      <c r="L139" s="1334" t="n"/>
      <c r="M139" s="1334" t="n"/>
      <c r="N139" s="1334" t="n"/>
      <c r="O139" s="1334" t="n"/>
      <c r="P139" s="1334" t="n"/>
      <c r="Q139" s="1334" t="n"/>
      <c r="R139" s="1335" t="n"/>
      <c r="S139" s="630" t="n"/>
    </row>
    <row r="140" outlineLevel="1" ht="16.5" customHeight="1" s="838">
      <c r="B140" s="765" t="n"/>
      <c r="C140" s="738" t="n"/>
      <c r="D140" s="738" t="n"/>
      <c r="E140" s="739" t="n"/>
      <c r="F140" s="790" t="inlineStr">
        <is>
          <t>`26년 실적</t>
        </is>
      </c>
      <c r="G140" s="1336">
        <f>SUM(G145,G150,G155,G160,G165)</f>
        <v/>
      </c>
      <c r="H140" s="1336">
        <f>SUM(H145,H150,H155,H160,H165)</f>
        <v/>
      </c>
      <c r="I140" s="1336">
        <f>SUM(I145,I150,I155,I160,I165)</f>
        <v/>
      </c>
      <c r="J140" s="1336">
        <f>SUM(J145,J150,J155,J160,J165)</f>
        <v/>
      </c>
      <c r="K140" s="1336" t="n"/>
      <c r="L140" s="1336" t="n"/>
      <c r="M140" s="1336" t="n"/>
      <c r="N140" s="1336" t="n"/>
      <c r="O140" s="1336" t="n"/>
      <c r="P140" s="1336" t="n"/>
      <c r="Q140" s="1336" t="n"/>
      <c r="R140" s="1337" t="n"/>
      <c r="S140" s="630" t="n"/>
    </row>
    <row r="141" outlineLevel="1" ht="16.5" customHeight="1" s="838">
      <c r="B141" s="765" t="n"/>
      <c r="C141" s="738" t="n"/>
      <c r="D141" s="738" t="n"/>
      <c r="E141" s="737" t="inlineStr">
        <is>
          <t>개선금액</t>
        </is>
      </c>
      <c r="F141" s="797" t="inlineStr">
        <is>
          <t>`26년 목표</t>
        </is>
      </c>
      <c r="G141" s="1338">
        <f>SUM(G146,G151,G156,G161,G166)</f>
        <v/>
      </c>
      <c r="H141" s="1338">
        <f>SUM(H146,H151,H156,H161,H166)</f>
        <v/>
      </c>
      <c r="I141" s="1338">
        <f>SUM(I146,I151,I156,I161,I166)</f>
        <v/>
      </c>
      <c r="J141" s="1338">
        <f>SUM(J146,J151,J156,J161,J166)</f>
        <v/>
      </c>
      <c r="K141" s="1338" t="n"/>
      <c r="L141" s="1338" t="n"/>
      <c r="M141" s="1338" t="n"/>
      <c r="N141" s="1338" t="n"/>
      <c r="O141" s="1338" t="n"/>
      <c r="P141" s="1338" t="n"/>
      <c r="Q141" s="1338" t="n"/>
      <c r="R141" s="1339" t="n"/>
      <c r="S141" s="630" t="n"/>
    </row>
    <row r="142" outlineLevel="1" ht="16.5" customHeight="1" s="838">
      <c r="B142" s="765" t="n"/>
      <c r="C142" s="738" t="n"/>
      <c r="D142" s="739" t="n"/>
      <c r="E142" s="739" t="n"/>
      <c r="F142" s="790" t="inlineStr">
        <is>
          <t>`26년 실적</t>
        </is>
      </c>
      <c r="G142" s="1340">
        <f>SUM(G147,G152,G157,G162,G167)</f>
        <v/>
      </c>
      <c r="H142" s="1340">
        <f>SUM(H147,H152,H157,H162,H167)</f>
        <v/>
      </c>
      <c r="I142" s="1340">
        <f>SUM(I147,I152,I157,I162,I167)</f>
        <v/>
      </c>
      <c r="J142" s="1340">
        <f>SUM(J147,J152,J157,J162,J167)</f>
        <v/>
      </c>
      <c r="K142" s="1340" t="n"/>
      <c r="L142" s="1340" t="n"/>
      <c r="M142" s="1340" t="n"/>
      <c r="N142" s="1340" t="n"/>
      <c r="O142" s="1340" t="n"/>
      <c r="P142" s="1340" t="n"/>
      <c r="Q142" s="1340" t="n"/>
      <c r="R142" s="1343" t="n"/>
      <c r="S142" s="630" t="n"/>
    </row>
    <row r="143" outlineLevel="1" ht="16.5" customHeight="1" s="838">
      <c r="B143" s="765" t="n"/>
      <c r="C143" s="738" t="n"/>
      <c r="D143" s="737" t="inlineStr">
        <is>
          <t>자체</t>
        </is>
      </c>
      <c r="E143" s="737" t="inlineStr">
        <is>
          <t>고정비</t>
        </is>
      </c>
      <c r="F143" s="797" t="inlineStr">
        <is>
          <t>`25년 실적</t>
        </is>
      </c>
      <c r="G143" s="1341" t="n">
        <v>25.834205</v>
      </c>
      <c r="H143" s="1341" t="n">
        <v>36.603671</v>
      </c>
      <c r="I143" s="1341" t="n">
        <v>22.070585</v>
      </c>
      <c r="J143" s="1341" t="n">
        <v>29.370375</v>
      </c>
      <c r="K143" s="1341" t="n"/>
      <c r="L143" s="1341" t="n"/>
      <c r="M143" s="1341" t="n"/>
      <c r="N143" s="1341" t="n"/>
      <c r="O143" s="1341" t="n"/>
      <c r="P143" s="1341" t="n"/>
      <c r="Q143" s="1341" t="n"/>
      <c r="R143" s="1342" t="n"/>
      <c r="S143" s="630" t="n"/>
    </row>
    <row r="144" outlineLevel="1" ht="16.5" customHeight="1" s="838">
      <c r="B144" s="765" t="n"/>
      <c r="C144" s="738" t="n"/>
      <c r="D144" s="738" t="n"/>
      <c r="E144" s="738" t="n"/>
      <c r="F144" s="624" t="inlineStr">
        <is>
          <t>`26년 목표</t>
        </is>
      </c>
      <c r="G144" s="1334" t="n">
        <v>27.498128</v>
      </c>
      <c r="H144" s="1334" t="n">
        <v>36.503076</v>
      </c>
      <c r="I144" s="1334" t="n">
        <v>39.824538</v>
      </c>
      <c r="J144" s="1334" t="n">
        <v>35.401509</v>
      </c>
      <c r="K144" s="1334" t="n"/>
      <c r="L144" s="1334" t="n"/>
      <c r="M144" s="1334" t="n"/>
      <c r="N144" s="1334" t="n"/>
      <c r="O144" s="1334" t="n"/>
      <c r="P144" s="1334" t="n"/>
      <c r="Q144" s="1334" t="n"/>
      <c r="R144" s="1335" t="n"/>
      <c r="S144" s="630" t="n"/>
    </row>
    <row r="145" outlineLevel="1" ht="16.5" customHeight="1" s="838">
      <c r="B145" s="765" t="n"/>
      <c r="C145" s="738" t="n"/>
      <c r="D145" s="738" t="n"/>
      <c r="E145" s="739" t="n"/>
      <c r="F145" s="790" t="inlineStr">
        <is>
          <t>`26년 실적</t>
        </is>
      </c>
      <c r="G145" s="1336" t="n">
        <v>27.415711</v>
      </c>
      <c r="H145" s="1336" t="n">
        <v>31.37687</v>
      </c>
      <c r="I145" s="1336" t="n">
        <v>16.869023</v>
      </c>
      <c r="J145" s="1336" t="n">
        <v>49.627719</v>
      </c>
      <c r="K145" s="1336" t="n"/>
      <c r="L145" s="1336" t="n"/>
      <c r="M145" s="1336" t="n"/>
      <c r="N145" s="1336" t="n"/>
      <c r="O145" s="1336" t="n"/>
      <c r="P145" s="1336" t="n"/>
      <c r="Q145" s="1336" t="n"/>
      <c r="R145" s="1337" t="n"/>
      <c r="S145" s="630" t="n"/>
    </row>
    <row r="146" outlineLevel="1" ht="16.5" customHeight="1" s="838">
      <c r="B146" s="765" t="n"/>
      <c r="C146" s="738" t="n"/>
      <c r="D146" s="738" t="n"/>
      <c r="E146" s="737" t="inlineStr">
        <is>
          <t>개선금액</t>
        </is>
      </c>
      <c r="F146" s="797" t="inlineStr">
        <is>
          <t>`26년 목표</t>
        </is>
      </c>
      <c r="G146" s="1338">
        <f>G143-G144</f>
        <v/>
      </c>
      <c r="H146" s="1338">
        <f>H143-H144</f>
        <v/>
      </c>
      <c r="I146" s="1338">
        <f>I143-I144</f>
        <v/>
      </c>
      <c r="J146" s="1338">
        <f>J143-J144</f>
        <v/>
      </c>
      <c r="K146" s="1338" t="n"/>
      <c r="L146" s="1338" t="n"/>
      <c r="M146" s="1338" t="n"/>
      <c r="N146" s="1338" t="n"/>
      <c r="O146" s="1338" t="n"/>
      <c r="P146" s="1338" t="n"/>
      <c r="Q146" s="1338" t="n"/>
      <c r="R146" s="1339" t="n"/>
      <c r="S146" s="630" t="n"/>
    </row>
    <row r="147" outlineLevel="1" ht="16.5" customHeight="1" s="838">
      <c r="B147" s="765" t="n"/>
      <c r="C147" s="738" t="n"/>
      <c r="D147" s="739" t="n"/>
      <c r="E147" s="739" t="n"/>
      <c r="F147" s="790" t="inlineStr">
        <is>
          <t>`26년 실적</t>
        </is>
      </c>
      <c r="G147" s="1340">
        <f>G143-G145</f>
        <v/>
      </c>
      <c r="H147" s="1340">
        <f>H143-H145</f>
        <v/>
      </c>
      <c r="I147" s="1340">
        <f>I143-I145</f>
        <v/>
      </c>
      <c r="J147" s="1340">
        <f>J143-J145</f>
        <v/>
      </c>
      <c r="K147" s="1340" t="n"/>
      <c r="L147" s="1336" t="n"/>
      <c r="M147" s="1336" t="n"/>
      <c r="N147" s="1336" t="n"/>
      <c r="O147" s="1336" t="n"/>
      <c r="P147" s="1336" t="n"/>
      <c r="Q147" s="1336" t="n"/>
      <c r="R147" s="1337" t="n"/>
      <c r="S147" s="630" t="n"/>
    </row>
    <row r="148" outlineLevel="1" ht="16.5" customHeight="1" s="838">
      <c r="B148" s="765" t="n"/>
      <c r="C148" s="738" t="n"/>
      <c r="D148" s="737" t="inlineStr">
        <is>
          <t>부문1</t>
        </is>
      </c>
      <c r="E148" s="737" t="inlineStr">
        <is>
          <t>고정비</t>
        </is>
      </c>
      <c r="F148" s="797" t="inlineStr">
        <is>
          <t>`25년 실적</t>
        </is>
      </c>
      <c r="G148" s="1341" t="n">
        <v>54.649154</v>
      </c>
      <c r="H148" s="1341" t="n">
        <v>46.610066</v>
      </c>
      <c r="I148" s="1341" t="n">
        <v>15.947259</v>
      </c>
      <c r="J148" s="1341" t="n">
        <v>25.361134</v>
      </c>
      <c r="K148" s="1341" t="n"/>
      <c r="L148" s="1341" t="n"/>
      <c r="M148" s="1341" t="n"/>
      <c r="N148" s="1341" t="n"/>
      <c r="O148" s="1341" t="n"/>
      <c r="P148" s="1341" t="n"/>
      <c r="Q148" s="1341" t="n"/>
      <c r="R148" s="1342" t="n"/>
      <c r="S148" s="630" t="n"/>
    </row>
    <row r="149" outlineLevel="1" ht="16.5" customHeight="1" s="838">
      <c r="B149" s="765" t="n"/>
      <c r="C149" s="738" t="n"/>
      <c r="D149" s="738" t="n"/>
      <c r="E149" s="738" t="n"/>
      <c r="F149" s="624" t="inlineStr">
        <is>
          <t>`26년 목표</t>
        </is>
      </c>
      <c r="G149" s="1334" t="n">
        <v>40.705964</v>
      </c>
      <c r="H149" s="1334" t="n">
        <v>43.350489</v>
      </c>
      <c r="I149" s="1334" t="n">
        <v>20.900249</v>
      </c>
      <c r="J149" s="1334" t="n">
        <v>44.612619</v>
      </c>
      <c r="K149" s="1334" t="n"/>
      <c r="L149" s="1334" t="n"/>
      <c r="M149" s="1334" t="n"/>
      <c r="N149" s="1334" t="n"/>
      <c r="O149" s="1334" t="n"/>
      <c r="P149" s="1334" t="n"/>
      <c r="Q149" s="1334" t="n"/>
      <c r="R149" s="1335" t="n"/>
      <c r="S149" s="630" t="n"/>
    </row>
    <row r="150" outlineLevel="1" ht="16.5" customHeight="1" s="838">
      <c r="B150" s="765" t="n"/>
      <c r="C150" s="738" t="n"/>
      <c r="D150" s="738" t="n"/>
      <c r="E150" s="739" t="n"/>
      <c r="F150" s="790" t="inlineStr">
        <is>
          <t>`26년 실적</t>
        </is>
      </c>
      <c r="G150" s="1336" t="n">
        <v>14.831606</v>
      </c>
      <c r="H150" s="1336" t="n">
        <v>39.25607</v>
      </c>
      <c r="I150" s="1336" t="n">
        <v>56.315514</v>
      </c>
      <c r="J150" s="1336" t="n">
        <v>33.525805</v>
      </c>
      <c r="K150" s="1336" t="n"/>
      <c r="L150" s="1336" t="n"/>
      <c r="M150" s="1336" t="n"/>
      <c r="N150" s="1336" t="n"/>
      <c r="O150" s="1336" t="n"/>
      <c r="P150" s="1336" t="n"/>
      <c r="Q150" s="1336" t="n"/>
      <c r="R150" s="1337" t="n"/>
      <c r="S150" s="630" t="n"/>
    </row>
    <row r="151" outlineLevel="1" ht="16.5" customHeight="1" s="838">
      <c r="B151" s="765" t="n"/>
      <c r="C151" s="738" t="n"/>
      <c r="D151" s="738" t="n"/>
      <c r="E151" s="737" t="inlineStr">
        <is>
          <t>개선금액</t>
        </is>
      </c>
      <c r="F151" s="797" t="inlineStr">
        <is>
          <t>`26년 목표</t>
        </is>
      </c>
      <c r="G151" s="1338">
        <f>G148-G149</f>
        <v/>
      </c>
      <c r="H151" s="1338">
        <f>H148-H149</f>
        <v/>
      </c>
      <c r="I151" s="1338">
        <f>I148-I149</f>
        <v/>
      </c>
      <c r="J151" s="1338">
        <f>J148-J149</f>
        <v/>
      </c>
      <c r="K151" s="1338" t="n"/>
      <c r="L151" s="1338" t="n"/>
      <c r="M151" s="1338" t="n"/>
      <c r="N151" s="1338" t="n"/>
      <c r="O151" s="1338" t="n"/>
      <c r="P151" s="1338" t="n"/>
      <c r="Q151" s="1338" t="n"/>
      <c r="R151" s="1339" t="n"/>
      <c r="S151" s="630" t="n"/>
    </row>
    <row r="152" outlineLevel="1" ht="16.5" customHeight="1" s="838">
      <c r="B152" s="765" t="n"/>
      <c r="C152" s="738" t="n"/>
      <c r="D152" s="739" t="n"/>
      <c r="E152" s="739" t="n"/>
      <c r="F152" s="790" t="inlineStr">
        <is>
          <t>`26년 실적</t>
        </is>
      </c>
      <c r="G152" s="1340">
        <f>G148-G150</f>
        <v/>
      </c>
      <c r="H152" s="1340">
        <f>H148-H150</f>
        <v/>
      </c>
      <c r="I152" s="1340">
        <f>I148-I150</f>
        <v/>
      </c>
      <c r="J152" s="1340">
        <f>J148-J150</f>
        <v/>
      </c>
      <c r="K152" s="1340" t="n"/>
      <c r="L152" s="1336" t="n"/>
      <c r="M152" s="1336" t="n"/>
      <c r="N152" s="1336" t="n"/>
      <c r="O152" s="1336" t="n"/>
      <c r="P152" s="1336" t="n"/>
      <c r="Q152" s="1336" t="n"/>
      <c r="R152" s="1337" t="n"/>
      <c r="S152" s="630" t="n"/>
    </row>
    <row r="153" outlineLevel="1" ht="16.5" customHeight="1" s="838">
      <c r="B153" s="765" t="n"/>
      <c r="C153" s="738" t="n"/>
      <c r="D153" s="737" t="inlineStr">
        <is>
          <t>부문2</t>
        </is>
      </c>
      <c r="E153" s="737" t="inlineStr">
        <is>
          <t>고정비</t>
        </is>
      </c>
      <c r="F153" s="797" t="inlineStr">
        <is>
          <t>`25년 실적</t>
        </is>
      </c>
      <c r="G153" s="1341" t="n">
        <v>12.966523</v>
      </c>
      <c r="H153" s="1341" t="n">
        <v>16.001994</v>
      </c>
      <c r="I153" s="1341" t="n">
        <v>12.324557</v>
      </c>
      <c r="J153" s="1341" t="n">
        <v>32.231582</v>
      </c>
      <c r="K153" s="1341" t="n"/>
      <c r="L153" s="1341" t="n"/>
      <c r="M153" s="1341" t="n"/>
      <c r="N153" s="1341" t="n"/>
      <c r="O153" s="1341" t="n"/>
      <c r="P153" s="1341" t="n"/>
      <c r="Q153" s="1341" t="n"/>
      <c r="R153" s="1342" t="n"/>
      <c r="S153" s="630" t="n"/>
    </row>
    <row r="154" outlineLevel="1" ht="16.5" customHeight="1" s="838">
      <c r="B154" s="765" t="n"/>
      <c r="C154" s="738" t="n"/>
      <c r="D154" s="738" t="n"/>
      <c r="E154" s="738" t="n"/>
      <c r="F154" s="624" t="inlineStr">
        <is>
          <t>`26년 목표</t>
        </is>
      </c>
      <c r="G154" s="1334" t="n">
        <v>12.966523</v>
      </c>
      <c r="H154" s="1334" t="n">
        <v>16.001994</v>
      </c>
      <c r="I154" s="1334" t="n">
        <v>12.324557</v>
      </c>
      <c r="J154" s="1334" t="n">
        <v>32.231582</v>
      </c>
      <c r="K154" s="1334" t="n"/>
      <c r="L154" s="1334" t="n"/>
      <c r="M154" s="1334" t="n"/>
      <c r="N154" s="1334" t="n"/>
      <c r="O154" s="1334" t="n"/>
      <c r="P154" s="1334" t="n"/>
      <c r="Q154" s="1334" t="n"/>
      <c r="R154" s="1335" t="n"/>
      <c r="S154" s="630" t="n"/>
    </row>
    <row r="155" outlineLevel="1" ht="16.5" customHeight="1" s="838">
      <c r="B155" s="765" t="n"/>
      <c r="C155" s="738" t="n"/>
      <c r="D155" s="738" t="n"/>
      <c r="E155" s="739" t="n"/>
      <c r="F155" s="790" t="inlineStr">
        <is>
          <t>`26년 실적</t>
        </is>
      </c>
      <c r="G155" s="1336" t="n">
        <v>20.477758</v>
      </c>
      <c r="H155" s="1336" t="n">
        <v>21.706333</v>
      </c>
      <c r="I155" s="1336" t="n">
        <v>48.818419</v>
      </c>
      <c r="J155" s="1336" t="n">
        <v>19.089466</v>
      </c>
      <c r="K155" s="1336" t="n"/>
      <c r="L155" s="1336" t="n"/>
      <c r="M155" s="1336" t="n"/>
      <c r="N155" s="1336" t="n"/>
      <c r="O155" s="1336" t="n"/>
      <c r="P155" s="1336" t="n"/>
      <c r="Q155" s="1336" t="n"/>
      <c r="R155" s="1337" t="n"/>
      <c r="S155" s="630" t="n"/>
    </row>
    <row r="156" outlineLevel="1" ht="16.5" customHeight="1" s="838">
      <c r="B156" s="765" t="n"/>
      <c r="C156" s="738" t="n"/>
      <c r="D156" s="738" t="n"/>
      <c r="E156" s="737" t="inlineStr">
        <is>
          <t>개선금액</t>
        </is>
      </c>
      <c r="F156" s="797" t="inlineStr">
        <is>
          <t>`26년 목표</t>
        </is>
      </c>
      <c r="G156" s="1338">
        <f>G153-G154</f>
        <v/>
      </c>
      <c r="H156" s="1338">
        <f>H153-H154</f>
        <v/>
      </c>
      <c r="I156" s="1338">
        <f>I153-I154</f>
        <v/>
      </c>
      <c r="J156" s="1338">
        <f>J153-J154</f>
        <v/>
      </c>
      <c r="K156" s="1338" t="n"/>
      <c r="L156" s="1338" t="n"/>
      <c r="M156" s="1338" t="n"/>
      <c r="N156" s="1338" t="n"/>
      <c r="O156" s="1338" t="n"/>
      <c r="P156" s="1338" t="n"/>
      <c r="Q156" s="1338" t="n"/>
      <c r="R156" s="1339" t="n"/>
      <c r="S156" s="630" t="n"/>
    </row>
    <row r="157" outlineLevel="1" ht="16.5" customHeight="1" s="838">
      <c r="B157" s="765" t="n"/>
      <c r="C157" s="738" t="n"/>
      <c r="D157" s="739" t="n"/>
      <c r="E157" s="739" t="n"/>
      <c r="F157" s="790" t="inlineStr">
        <is>
          <t>`26년 실적</t>
        </is>
      </c>
      <c r="G157" s="1340">
        <f>G153-G155</f>
        <v/>
      </c>
      <c r="H157" s="1340">
        <f>H153-H155</f>
        <v/>
      </c>
      <c r="I157" s="1340">
        <f>I153-I155</f>
        <v/>
      </c>
      <c r="J157" s="1340">
        <f>J153-J155</f>
        <v/>
      </c>
      <c r="K157" s="1340" t="n"/>
      <c r="L157" s="1336" t="n"/>
      <c r="M157" s="1336" t="n"/>
      <c r="N157" s="1336" t="n"/>
      <c r="O157" s="1336" t="n"/>
      <c r="P157" s="1336" t="n"/>
      <c r="Q157" s="1336" t="n"/>
      <c r="R157" s="1337" t="n"/>
      <c r="S157" s="630" t="n"/>
    </row>
    <row r="158" outlineLevel="1" ht="16.5" customHeight="1" s="838">
      <c r="B158" s="765" t="n"/>
      <c r="C158" s="738" t="n"/>
      <c r="D158" s="737" t="inlineStr">
        <is>
          <t>부문3</t>
        </is>
      </c>
      <c r="E158" s="737" t="inlineStr">
        <is>
          <t>고정비</t>
        </is>
      </c>
      <c r="F158" s="797" t="inlineStr">
        <is>
          <t>`25년 실적</t>
        </is>
      </c>
      <c r="G158" s="1341" t="n">
        <v>17.082206</v>
      </c>
      <c r="H158" s="1341" t="n">
        <v>9.062379</v>
      </c>
      <c r="I158" s="1341" t="n">
        <v>37.492223</v>
      </c>
      <c r="J158" s="1341" t="n">
        <v>27.18354</v>
      </c>
      <c r="K158" s="1341" t="n"/>
      <c r="L158" s="1341" t="n"/>
      <c r="M158" s="1341" t="n"/>
      <c r="N158" s="1341" t="n"/>
      <c r="O158" s="1341" t="n"/>
      <c r="P158" s="1341" t="n"/>
      <c r="Q158" s="1341" t="n"/>
      <c r="R158" s="1342" t="n"/>
      <c r="S158" s="630" t="n"/>
    </row>
    <row r="159" outlineLevel="1" ht="16.5" customHeight="1" s="838">
      <c r="B159" s="765" t="n"/>
      <c r="C159" s="738" t="n"/>
      <c r="D159" s="738" t="n"/>
      <c r="E159" s="738" t="n"/>
      <c r="F159" s="624" t="inlineStr">
        <is>
          <t>`26년 목표</t>
        </is>
      </c>
      <c r="G159" s="1334" t="n">
        <v>24.089316</v>
      </c>
      <c r="H159" s="1334" t="n">
        <v>20.124641</v>
      </c>
      <c r="I159" s="1334" t="n">
        <v>15.812479</v>
      </c>
      <c r="J159" s="1334" t="n">
        <v>46.332944</v>
      </c>
      <c r="K159" s="1334" t="n"/>
      <c r="L159" s="1334" t="n"/>
      <c r="M159" s="1334" t="n"/>
      <c r="N159" s="1334" t="n"/>
      <c r="O159" s="1334" t="n"/>
      <c r="P159" s="1334" t="n"/>
      <c r="Q159" s="1334" t="n"/>
      <c r="R159" s="1335" t="n"/>
      <c r="S159" s="630" t="n"/>
    </row>
    <row r="160" outlineLevel="1" ht="16.5" customHeight="1" s="838">
      <c r="B160" s="765" t="n"/>
      <c r="C160" s="738" t="n"/>
      <c r="D160" s="738" t="n"/>
      <c r="E160" s="739" t="n"/>
      <c r="F160" s="790" t="inlineStr">
        <is>
          <t>`26년 실적</t>
        </is>
      </c>
      <c r="G160" s="1336" t="n">
        <v>34.624192</v>
      </c>
      <c r="H160" s="1336" t="n">
        <v>35.77318</v>
      </c>
      <c r="I160" s="1336" t="n">
        <v>27.232093</v>
      </c>
      <c r="J160" s="1336" t="n">
        <v>37.30332</v>
      </c>
      <c r="K160" s="1336" t="n"/>
      <c r="L160" s="1336" t="n"/>
      <c r="M160" s="1336" t="n"/>
      <c r="N160" s="1336" t="n"/>
      <c r="O160" s="1336" t="n"/>
      <c r="P160" s="1336" t="n"/>
      <c r="Q160" s="1336" t="n"/>
      <c r="R160" s="1337" t="n"/>
      <c r="S160" s="630" t="n"/>
    </row>
    <row r="161" outlineLevel="1" ht="16.5" customHeight="1" s="838">
      <c r="B161" s="765" t="n"/>
      <c r="C161" s="738" t="n"/>
      <c r="D161" s="738" t="n"/>
      <c r="E161" s="737" t="inlineStr">
        <is>
          <t>개선금액</t>
        </is>
      </c>
      <c r="F161" s="797" t="inlineStr">
        <is>
          <t>`26년 목표</t>
        </is>
      </c>
      <c r="G161" s="1338">
        <f>G158-G159</f>
        <v/>
      </c>
      <c r="H161" s="1338">
        <f>H158-H159</f>
        <v/>
      </c>
      <c r="I161" s="1338">
        <f>I158-I159</f>
        <v/>
      </c>
      <c r="J161" s="1338">
        <f>J158-J159</f>
        <v/>
      </c>
      <c r="K161" s="1338" t="n"/>
      <c r="L161" s="1338" t="n"/>
      <c r="M161" s="1338" t="n"/>
      <c r="N161" s="1338" t="n"/>
      <c r="O161" s="1338" t="n"/>
      <c r="P161" s="1338" t="n"/>
      <c r="Q161" s="1338" t="n"/>
      <c r="R161" s="1339" t="n"/>
      <c r="S161" s="630" t="n"/>
    </row>
    <row r="162" outlineLevel="1" ht="16.5" customHeight="1" s="838">
      <c r="B162" s="765" t="n"/>
      <c r="C162" s="738" t="n"/>
      <c r="D162" s="739" t="n"/>
      <c r="E162" s="739" t="n"/>
      <c r="F162" s="790" t="inlineStr">
        <is>
          <t>`26년 실적</t>
        </is>
      </c>
      <c r="G162" s="1340">
        <f>G158-G160</f>
        <v/>
      </c>
      <c r="H162" s="1340">
        <f>H158-H160</f>
        <v/>
      </c>
      <c r="I162" s="1340">
        <f>I158-I160</f>
        <v/>
      </c>
      <c r="J162" s="1340">
        <f>J158-J160</f>
        <v/>
      </c>
      <c r="K162" s="1340" t="n"/>
      <c r="L162" s="1336" t="n"/>
      <c r="M162" s="1336" t="n"/>
      <c r="N162" s="1336" t="n"/>
      <c r="O162" s="1336" t="n"/>
      <c r="P162" s="1336" t="n"/>
      <c r="Q162" s="1336" t="n"/>
      <c r="R162" s="1337" t="n"/>
      <c r="S162" s="630" t="n"/>
    </row>
    <row r="163" outlineLevel="1" ht="16.5" customHeight="1" s="838">
      <c r="B163" s="765" t="n"/>
      <c r="C163" s="738" t="n"/>
      <c r="D163" s="737" t="inlineStr">
        <is>
          <t>부문4</t>
        </is>
      </c>
      <c r="E163" s="737" t="inlineStr">
        <is>
          <t>고정비</t>
        </is>
      </c>
      <c r="F163" s="797" t="inlineStr">
        <is>
          <t>`25년 실적</t>
        </is>
      </c>
      <c r="G163" s="1341" t="n">
        <v>29.151428</v>
      </c>
      <c r="H163" s="1341" t="n">
        <v>16.925088</v>
      </c>
      <c r="I163" s="1341" t="n">
        <v>27.509939</v>
      </c>
      <c r="J163" s="1341" t="n">
        <v>27.509939</v>
      </c>
      <c r="K163" s="1341" t="n"/>
      <c r="L163" s="1341" t="n"/>
      <c r="M163" s="1341" t="n"/>
      <c r="N163" s="1341" t="n"/>
      <c r="O163" s="1341" t="n"/>
      <c r="P163" s="1341" t="n"/>
      <c r="Q163" s="1341" t="n"/>
      <c r="R163" s="1342" t="n"/>
      <c r="S163" s="630" t="n"/>
    </row>
    <row r="164" outlineLevel="1" ht="16.5" customHeight="1" s="838">
      <c r="B164" s="765" t="n"/>
      <c r="C164" s="738" t="n"/>
      <c r="D164" s="738" t="n"/>
      <c r="E164" s="738" t="n"/>
      <c r="F164" s="624" t="inlineStr">
        <is>
          <t>`26년 목표</t>
        </is>
      </c>
      <c r="G164" s="1334" t="n">
        <v>12.341329</v>
      </c>
      <c r="H164" s="1334" t="n">
        <v>12.341329</v>
      </c>
      <c r="I164" s="1334" t="n">
        <v>12.341329</v>
      </c>
      <c r="J164" s="1334" t="n">
        <v>12.341329</v>
      </c>
      <c r="K164" s="1334" t="n"/>
      <c r="L164" s="1334" t="n"/>
      <c r="M164" s="1334" t="n"/>
      <c r="N164" s="1334" t="n"/>
      <c r="O164" s="1334" t="n"/>
      <c r="P164" s="1334" t="n"/>
      <c r="Q164" s="1334" t="n"/>
      <c r="R164" s="1335" t="n"/>
      <c r="S164" s="630" t="n"/>
    </row>
    <row r="165" outlineLevel="1" ht="16.5" customHeight="1" s="838">
      <c r="B165" s="765" t="n"/>
      <c r="C165" s="738" t="n"/>
      <c r="D165" s="738" t="n"/>
      <c r="E165" s="739" t="n"/>
      <c r="F165" s="790" t="inlineStr">
        <is>
          <t>`26년 실적</t>
        </is>
      </c>
      <c r="G165" s="1336" t="n">
        <v>26.367787</v>
      </c>
      <c r="H165" s="1336" t="n">
        <v>6.985105</v>
      </c>
      <c r="I165" s="1336" t="n">
        <v>12.341329</v>
      </c>
      <c r="J165" s="1336" t="n">
        <v>12.341329</v>
      </c>
      <c r="K165" s="1336" t="n"/>
      <c r="L165" s="1336" t="n"/>
      <c r="M165" s="1336" t="n"/>
      <c r="N165" s="1336" t="n"/>
      <c r="O165" s="1336" t="n"/>
      <c r="P165" s="1336" t="n"/>
      <c r="Q165" s="1336" t="n"/>
      <c r="R165" s="1337" t="n"/>
      <c r="S165" s="630" t="n"/>
    </row>
    <row r="166" outlineLevel="1" ht="16.5" customHeight="1" s="838">
      <c r="B166" s="765" t="n"/>
      <c r="C166" s="738" t="n"/>
      <c r="D166" s="738" t="n"/>
      <c r="E166" s="737" t="inlineStr">
        <is>
          <t>개선금액</t>
        </is>
      </c>
      <c r="F166" s="797" t="inlineStr">
        <is>
          <t>`26년 목표</t>
        </is>
      </c>
      <c r="G166" s="1338">
        <f>G163-G164</f>
        <v/>
      </c>
      <c r="H166" s="1338">
        <f>H163-H164</f>
        <v/>
      </c>
      <c r="I166" s="1338">
        <f>I163-I164</f>
        <v/>
      </c>
      <c r="J166" s="1338">
        <f>J163-J164</f>
        <v/>
      </c>
      <c r="K166" s="1338" t="n"/>
      <c r="L166" s="1338" t="n"/>
      <c r="M166" s="1338" t="n"/>
      <c r="N166" s="1338" t="n"/>
      <c r="O166" s="1338" t="n"/>
      <c r="P166" s="1338" t="n"/>
      <c r="Q166" s="1338" t="n"/>
      <c r="R166" s="1339" t="n"/>
      <c r="S166" s="630" t="n"/>
    </row>
    <row r="167" outlineLevel="1" ht="16.5" customHeight="1" s="838">
      <c r="B167" s="765" t="n"/>
      <c r="C167" s="739" t="n"/>
      <c r="D167" s="739" t="n"/>
      <c r="E167" s="739" t="n"/>
      <c r="F167" s="790" t="inlineStr">
        <is>
          <t>`26년 실적</t>
        </is>
      </c>
      <c r="G167" s="1340">
        <f>G163-G165</f>
        <v/>
      </c>
      <c r="H167" s="1340">
        <f>H163-H165</f>
        <v/>
      </c>
      <c r="I167" s="1340">
        <f>I163-I165</f>
        <v/>
      </c>
      <c r="J167" s="1340">
        <f>J163-J165</f>
        <v/>
      </c>
      <c r="K167" s="1340" t="n"/>
      <c r="L167" s="1336" t="n"/>
      <c r="M167" s="1336" t="n"/>
      <c r="N167" s="1336" t="n"/>
      <c r="O167" s="1336" t="n"/>
      <c r="P167" s="1336" t="n"/>
      <c r="Q167" s="1336" t="n"/>
      <c r="R167" s="1337" t="n"/>
      <c r="S167" s="630" t="n"/>
    </row>
    <row r="168" outlineLevel="1" ht="16.5" customHeight="1" s="838">
      <c r="B168" s="765" t="n"/>
      <c r="C168" s="749" t="inlineStr">
        <is>
          <t>해외</t>
        </is>
      </c>
      <c r="D168" s="737" t="inlineStr">
        <is>
          <t>해외 합계</t>
        </is>
      </c>
      <c r="E168" s="737" t="inlineStr">
        <is>
          <t>고정비</t>
        </is>
      </c>
      <c r="F168" s="797" t="inlineStr">
        <is>
          <t>`25년 실적</t>
        </is>
      </c>
      <c r="G168" s="1341">
        <f>SUM(G173,G178,G183,G188,G193)</f>
        <v/>
      </c>
      <c r="H168" s="1341">
        <f>SUM(H173,H178,H183,H188,H193)</f>
        <v/>
      </c>
      <c r="I168" s="1341">
        <f>SUM(I173,I178,I183,I188,I193)</f>
        <v/>
      </c>
      <c r="J168" s="1341">
        <f>SUM(J173,J178,J183,J188,J193)</f>
        <v/>
      </c>
      <c r="K168" s="1341" t="n"/>
      <c r="L168" s="1341" t="n"/>
      <c r="M168" s="1341" t="n"/>
      <c r="N168" s="1341" t="n"/>
      <c r="O168" s="1341" t="n"/>
      <c r="P168" s="1341" t="n"/>
      <c r="Q168" s="1341" t="n"/>
      <c r="R168" s="1342" t="n"/>
      <c r="S168" s="630" t="n"/>
    </row>
    <row r="169" outlineLevel="1" ht="16.5" customHeight="1" s="838">
      <c r="B169" s="765" t="n"/>
      <c r="C169" s="738" t="n"/>
      <c r="D169" s="738" t="n"/>
      <c r="E169" s="738" t="n"/>
      <c r="F169" s="624" t="inlineStr">
        <is>
          <t>`26년 목표</t>
        </is>
      </c>
      <c r="G169" s="1334">
        <f>SUM(G174,G179,G184,G189,G194)</f>
        <v/>
      </c>
      <c r="H169" s="1334">
        <f>SUM(H174,H179,H184,H189,H194)</f>
        <v/>
      </c>
      <c r="I169" s="1334">
        <f>SUM(I174,I179,I184,I189,I194)</f>
        <v/>
      </c>
      <c r="J169" s="1334">
        <f>SUM(J174,J179,J184,J189,J194)</f>
        <v/>
      </c>
      <c r="K169" s="1334" t="n"/>
      <c r="L169" s="1334" t="n"/>
      <c r="M169" s="1334" t="n"/>
      <c r="N169" s="1334" t="n"/>
      <c r="O169" s="1334" t="n"/>
      <c r="P169" s="1334" t="n"/>
      <c r="Q169" s="1334" t="n"/>
      <c r="R169" s="1335" t="n"/>
      <c r="S169" s="630" t="n"/>
    </row>
    <row r="170" outlineLevel="1" ht="16.5" customHeight="1" s="838">
      <c r="B170" s="765" t="n"/>
      <c r="C170" s="738" t="n"/>
      <c r="D170" s="738" t="n"/>
      <c r="E170" s="739" t="n"/>
      <c r="F170" s="790" t="inlineStr">
        <is>
          <t>`26년 실적</t>
        </is>
      </c>
      <c r="G170" s="1336">
        <f>SUM(G175,G180,G185,G190,G195)</f>
        <v/>
      </c>
      <c r="H170" s="1336">
        <f>SUM(H175,H180,H185,H190,H195)</f>
        <v/>
      </c>
      <c r="I170" s="1336">
        <f>SUM(I175,I180,I185,I190,I195)</f>
        <v/>
      </c>
      <c r="J170" s="1336">
        <f>SUM(J175,J180,J185,J190,J195)</f>
        <v/>
      </c>
      <c r="K170" s="1336" t="n"/>
      <c r="L170" s="1336" t="n"/>
      <c r="M170" s="1336" t="n"/>
      <c r="N170" s="1336" t="n"/>
      <c r="O170" s="1336" t="n"/>
      <c r="P170" s="1336" t="n"/>
      <c r="Q170" s="1336" t="n"/>
      <c r="R170" s="1337" t="n"/>
      <c r="S170" s="630" t="n"/>
    </row>
    <row r="171" outlineLevel="1" ht="16.5" customHeight="1" s="838">
      <c r="B171" s="765" t="n"/>
      <c r="C171" s="738" t="n"/>
      <c r="D171" s="738" t="n"/>
      <c r="E171" s="737" t="inlineStr">
        <is>
          <t>개선금액</t>
        </is>
      </c>
      <c r="F171" s="797" t="inlineStr">
        <is>
          <t>`26년 목표</t>
        </is>
      </c>
      <c r="G171" s="1338">
        <f>SUM(G176,G181,G186,G191,G196)</f>
        <v/>
      </c>
      <c r="H171" s="1338">
        <f>SUM(H176,H181,H186,H191,H196)</f>
        <v/>
      </c>
      <c r="I171" s="1338">
        <f>SUM(I176,I181,I186,I191,I196)</f>
        <v/>
      </c>
      <c r="J171" s="1338">
        <f>SUM(J176,J181,J186,J191,J196)</f>
        <v/>
      </c>
      <c r="K171" s="1338" t="n"/>
      <c r="L171" s="1338" t="n"/>
      <c r="M171" s="1338" t="n"/>
      <c r="N171" s="1338" t="n"/>
      <c r="O171" s="1338" t="n"/>
      <c r="P171" s="1338" t="n"/>
      <c r="Q171" s="1338" t="n"/>
      <c r="R171" s="1339" t="n"/>
      <c r="S171" s="630" t="n"/>
    </row>
    <row r="172" outlineLevel="1" ht="16.5" customHeight="1" s="838">
      <c r="B172" s="765" t="n"/>
      <c r="C172" s="738" t="n"/>
      <c r="D172" s="739" t="n"/>
      <c r="E172" s="739" t="n"/>
      <c r="F172" s="790" t="inlineStr">
        <is>
          <t>`26년 실적</t>
        </is>
      </c>
      <c r="G172" s="1340">
        <f>SUM(G177,G182,G187,G192,G197)</f>
        <v/>
      </c>
      <c r="H172" s="1340">
        <f>SUM(H177,H182,H187,H192,H197)</f>
        <v/>
      </c>
      <c r="I172" s="1340">
        <f>SUM(I177,I182,I187,I192,I197)</f>
        <v/>
      </c>
      <c r="J172" s="1340">
        <f>SUM(J177,J182,J187,J192,J197)</f>
        <v/>
      </c>
      <c r="K172" s="1340" t="n"/>
      <c r="L172" s="1340" t="n"/>
      <c r="M172" s="1340" t="n"/>
      <c r="N172" s="1340" t="n"/>
      <c r="O172" s="1340" t="n"/>
      <c r="P172" s="1340" t="n"/>
      <c r="Q172" s="1340" t="n"/>
      <c r="R172" s="1343" t="n"/>
      <c r="S172" s="630" t="n"/>
    </row>
    <row r="173" outlineLevel="1" ht="16.5" customHeight="1" s="838">
      <c r="B173" s="765" t="n"/>
      <c r="C173" s="738" t="n"/>
      <c r="D173" s="737" t="inlineStr">
        <is>
          <t>부문5</t>
        </is>
      </c>
      <c r="E173" s="737" t="inlineStr">
        <is>
          <t>고정비</t>
        </is>
      </c>
      <c r="F173" s="797" t="inlineStr">
        <is>
          <t>`25년 실적</t>
        </is>
      </c>
      <c r="G173" s="1341" t="n">
        <v>0.864076</v>
      </c>
      <c r="H173" s="1341" t="n">
        <v>0.770831</v>
      </c>
      <c r="I173" s="1341" t="n">
        <v>0.558307</v>
      </c>
      <c r="J173" s="1341" t="n">
        <v>2.170576</v>
      </c>
      <c r="K173" s="1341" t="n"/>
      <c r="L173" s="1341" t="n"/>
      <c r="M173" s="1341" t="n"/>
      <c r="N173" s="1341" t="n"/>
      <c r="O173" s="1341" t="n"/>
      <c r="P173" s="1341" t="n"/>
      <c r="Q173" s="1341" t="n"/>
      <c r="R173" s="1342" t="n"/>
      <c r="S173" s="630" t="n"/>
    </row>
    <row r="174" outlineLevel="1" ht="16.5" customHeight="1" s="838">
      <c r="B174" s="765" t="n"/>
      <c r="C174" s="738" t="n"/>
      <c r="D174" s="738" t="n"/>
      <c r="E174" s="738" t="n"/>
      <c r="F174" s="624" t="inlineStr">
        <is>
          <t>`26년 목표</t>
        </is>
      </c>
      <c r="G174" s="1334" t="n">
        <v>1.605679</v>
      </c>
      <c r="H174" s="1334" t="n">
        <v>3.974094</v>
      </c>
      <c r="I174" s="1334" t="n">
        <v>0.221605</v>
      </c>
      <c r="J174" s="1334" t="n">
        <v>2.008922</v>
      </c>
      <c r="K174" s="1334" t="n"/>
      <c r="L174" s="1334" t="n"/>
      <c r="M174" s="1334" t="n"/>
      <c r="N174" s="1334" t="n"/>
      <c r="O174" s="1334" t="n"/>
      <c r="P174" s="1334" t="n"/>
      <c r="Q174" s="1334" t="n"/>
      <c r="R174" s="1335" t="n"/>
      <c r="S174" s="630" t="n"/>
    </row>
    <row r="175" outlineLevel="1" ht="16.5" customHeight="1" s="838">
      <c r="B175" s="765" t="n"/>
      <c r="C175" s="738" t="n"/>
      <c r="D175" s="738" t="n"/>
      <c r="E175" s="739" t="n"/>
      <c r="F175" s="790" t="inlineStr">
        <is>
          <t>`26년 실적</t>
        </is>
      </c>
      <c r="G175" s="1336" t="n">
        <v>2.381665</v>
      </c>
      <c r="H175" s="1336" t="n">
        <v>1.441779</v>
      </c>
      <c r="I175" s="1336" t="n">
        <v>0.284528</v>
      </c>
      <c r="J175" s="1336" t="n">
        <v>0.529297</v>
      </c>
      <c r="K175" s="1336" t="n"/>
      <c r="L175" s="1336" t="n"/>
      <c r="M175" s="1336" t="n"/>
      <c r="N175" s="1336" t="n"/>
      <c r="O175" s="1336" t="n"/>
      <c r="P175" s="1336" t="n"/>
      <c r="Q175" s="1336" t="n"/>
      <c r="R175" s="1337" t="n"/>
      <c r="S175" s="630" t="n"/>
    </row>
    <row r="176" outlineLevel="1" ht="16.5" customHeight="1" s="838">
      <c r="B176" s="765" t="n"/>
      <c r="C176" s="738" t="n"/>
      <c r="D176" s="738" t="n"/>
      <c r="E176" s="737" t="inlineStr">
        <is>
          <t>개선금액</t>
        </is>
      </c>
      <c r="F176" s="797" t="inlineStr">
        <is>
          <t>`26년 목표</t>
        </is>
      </c>
      <c r="G176" s="1338">
        <f>G173-G174</f>
        <v/>
      </c>
      <c r="H176" s="1338">
        <f>H173-H174</f>
        <v/>
      </c>
      <c r="I176" s="1338">
        <f>I173-I174</f>
        <v/>
      </c>
      <c r="J176" s="1338">
        <f>J173-J174</f>
        <v/>
      </c>
      <c r="K176" s="1338" t="n"/>
      <c r="L176" s="1338" t="n"/>
      <c r="M176" s="1338" t="n"/>
      <c r="N176" s="1338" t="n"/>
      <c r="O176" s="1338" t="n"/>
      <c r="P176" s="1338" t="n"/>
      <c r="Q176" s="1338" t="n"/>
      <c r="R176" s="1339" t="n"/>
      <c r="S176" s="630" t="n"/>
    </row>
    <row r="177" outlineLevel="1" ht="16.5" customHeight="1" s="838">
      <c r="B177" s="765" t="n"/>
      <c r="C177" s="738" t="n"/>
      <c r="D177" s="739" t="n"/>
      <c r="E177" s="739" t="n"/>
      <c r="F177" s="790" t="inlineStr">
        <is>
          <t>`26년 실적</t>
        </is>
      </c>
      <c r="G177" s="1340">
        <f>G173-G175</f>
        <v/>
      </c>
      <c r="H177" s="1340">
        <f>H173-H175</f>
        <v/>
      </c>
      <c r="I177" s="1340">
        <f>I173-I175</f>
        <v/>
      </c>
      <c r="J177" s="1340">
        <f>J173-J175</f>
        <v/>
      </c>
      <c r="K177" s="1340" t="n"/>
      <c r="L177" s="1336" t="n"/>
      <c r="M177" s="1336" t="n"/>
      <c r="N177" s="1336" t="n"/>
      <c r="O177" s="1336" t="n"/>
      <c r="P177" s="1336" t="n"/>
      <c r="Q177" s="1336" t="n"/>
      <c r="R177" s="1337" t="n"/>
      <c r="S177" s="630" t="n"/>
    </row>
    <row r="178" outlineLevel="1" ht="16.5" customHeight="1" s="838">
      <c r="B178" s="765" t="n"/>
      <c r="C178" s="738" t="n"/>
      <c r="D178" s="737" t="inlineStr">
        <is>
          <t>부문6</t>
        </is>
      </c>
      <c r="E178" s="737" t="inlineStr">
        <is>
          <t>고정비</t>
        </is>
      </c>
      <c r="F178" s="797" t="inlineStr">
        <is>
          <t>`25년 실적</t>
        </is>
      </c>
      <c r="G178" s="1341" t="n">
        <v>3.734632</v>
      </c>
      <c r="H178" s="1341" t="n">
        <v>10.118296</v>
      </c>
      <c r="I178" s="1341" t="n">
        <v>0.954448</v>
      </c>
      <c r="J178" s="1341" t="n">
        <v>5.743047</v>
      </c>
      <c r="K178" s="1341" t="n"/>
      <c r="L178" s="1341" t="n"/>
      <c r="M178" s="1341" t="n"/>
      <c r="N178" s="1341" t="n"/>
      <c r="O178" s="1341" t="n"/>
      <c r="P178" s="1341" t="n"/>
      <c r="Q178" s="1341" t="n"/>
      <c r="R178" s="1342" t="n"/>
      <c r="S178" s="630" t="n"/>
    </row>
    <row r="179" outlineLevel="1" ht="16.5" customHeight="1" s="838">
      <c r="B179" s="765" t="n"/>
      <c r="C179" s="738" t="n"/>
      <c r="D179" s="738" t="n"/>
      <c r="E179" s="738" t="n"/>
      <c r="F179" s="624" t="inlineStr">
        <is>
          <t>`26년 목표</t>
        </is>
      </c>
      <c r="G179" s="1334" t="n">
        <v>5.684696</v>
      </c>
      <c r="H179" s="1334" t="n">
        <v>6.434068</v>
      </c>
      <c r="I179" s="1334" t="n">
        <v>8.70407</v>
      </c>
      <c r="J179" s="1334" t="n">
        <v>14.037219</v>
      </c>
      <c r="K179" s="1334" t="n"/>
      <c r="L179" s="1334" t="n"/>
      <c r="M179" s="1334" t="n"/>
      <c r="N179" s="1334" t="n"/>
      <c r="O179" s="1334" t="n"/>
      <c r="P179" s="1334" t="n"/>
      <c r="Q179" s="1334" t="n"/>
      <c r="R179" s="1335" t="n"/>
      <c r="S179" s="630" t="n"/>
    </row>
    <row r="180" outlineLevel="1" ht="16.5" customHeight="1" s="838">
      <c r="B180" s="765" t="n"/>
      <c r="C180" s="738" t="n"/>
      <c r="D180" s="738" t="n"/>
      <c r="E180" s="739" t="n"/>
      <c r="F180" s="790" t="inlineStr">
        <is>
          <t>`26년 실적</t>
        </is>
      </c>
      <c r="G180" s="1336" t="n">
        <v>2.183692</v>
      </c>
      <c r="H180" s="1336" t="n">
        <v>10.118296</v>
      </c>
      <c r="I180" s="1336" t="n">
        <v>5.441595</v>
      </c>
      <c r="J180" s="1336" t="n">
        <v>15.628637</v>
      </c>
      <c r="K180" s="1336" t="n"/>
      <c r="L180" s="1336" t="n"/>
      <c r="M180" s="1336" t="n"/>
      <c r="N180" s="1336" t="n"/>
      <c r="O180" s="1336" t="n"/>
      <c r="P180" s="1336" t="n"/>
      <c r="Q180" s="1336" t="n"/>
      <c r="R180" s="1337" t="n"/>
      <c r="S180" s="630" t="n"/>
    </row>
    <row r="181" outlineLevel="1" ht="16.5" customHeight="1" s="838">
      <c r="B181" s="765" t="n"/>
      <c r="C181" s="738" t="n"/>
      <c r="D181" s="738" t="n"/>
      <c r="E181" s="737" t="inlineStr">
        <is>
          <t>개선금액</t>
        </is>
      </c>
      <c r="F181" s="797" t="inlineStr">
        <is>
          <t>`26년 목표</t>
        </is>
      </c>
      <c r="G181" s="1338">
        <f>G178-G179</f>
        <v/>
      </c>
      <c r="H181" s="1338">
        <f>H178-H179</f>
        <v/>
      </c>
      <c r="I181" s="1338">
        <f>I178-I179</f>
        <v/>
      </c>
      <c r="J181" s="1338">
        <f>J178-J179</f>
        <v/>
      </c>
      <c r="K181" s="1338" t="n"/>
      <c r="L181" s="1338" t="n"/>
      <c r="M181" s="1338" t="n"/>
      <c r="N181" s="1338" t="n"/>
      <c r="O181" s="1338" t="n"/>
      <c r="P181" s="1338" t="n"/>
      <c r="Q181" s="1338" t="n"/>
      <c r="R181" s="1339" t="n"/>
      <c r="S181" s="630" t="n"/>
    </row>
    <row r="182" outlineLevel="1" ht="16.5" customHeight="1" s="838">
      <c r="B182" s="765" t="n"/>
      <c r="C182" s="738" t="n"/>
      <c r="D182" s="739" t="n"/>
      <c r="E182" s="739" t="n"/>
      <c r="F182" s="790" t="inlineStr">
        <is>
          <t>`26년 실적</t>
        </is>
      </c>
      <c r="G182" s="1340">
        <f>G178-G180</f>
        <v/>
      </c>
      <c r="H182" s="1340">
        <f>H178-H180</f>
        <v/>
      </c>
      <c r="I182" s="1340">
        <f>I178-I180</f>
        <v/>
      </c>
      <c r="J182" s="1340">
        <f>J178-J180</f>
        <v/>
      </c>
      <c r="K182" s="1340" t="n"/>
      <c r="L182" s="1336" t="n"/>
      <c r="M182" s="1336" t="n"/>
      <c r="N182" s="1336" t="n"/>
      <c r="O182" s="1336" t="n"/>
      <c r="P182" s="1336" t="n"/>
      <c r="Q182" s="1336" t="n"/>
      <c r="R182" s="1337" t="n"/>
      <c r="S182" s="630" t="n"/>
    </row>
    <row r="183" outlineLevel="1" ht="16.5" customHeight="1" s="838">
      <c r="B183" s="765" t="n"/>
      <c r="C183" s="738" t="n"/>
      <c r="D183" s="737" t="inlineStr">
        <is>
          <t>부문7</t>
        </is>
      </c>
      <c r="E183" s="737" t="inlineStr">
        <is>
          <t>고정비</t>
        </is>
      </c>
      <c r="F183" s="797" t="inlineStr">
        <is>
          <t>`25년 실적</t>
        </is>
      </c>
      <c r="G183" s="1341" t="n">
        <v>20.607003</v>
      </c>
      <c r="H183" s="1341" t="n">
        <v>25.324775</v>
      </c>
      <c r="I183" s="1341" t="n">
        <v>11.247126</v>
      </c>
      <c r="J183" s="1341" t="n">
        <v>48.580116</v>
      </c>
      <c r="K183" s="1341" t="n"/>
      <c r="L183" s="1341" t="n"/>
      <c r="M183" s="1341" t="n"/>
      <c r="N183" s="1341" t="n"/>
      <c r="O183" s="1341" t="n"/>
      <c r="P183" s="1341" t="n"/>
      <c r="Q183" s="1341" t="n"/>
      <c r="R183" s="1342" t="n"/>
      <c r="S183" s="630" t="n"/>
    </row>
    <row r="184" outlineLevel="1" ht="16.5" customHeight="1" s="838">
      <c r="B184" s="765" t="n"/>
      <c r="C184" s="738" t="n"/>
      <c r="D184" s="738" t="n"/>
      <c r="E184" s="738" t="n"/>
      <c r="F184" s="624" t="inlineStr">
        <is>
          <t>`26년 목표</t>
        </is>
      </c>
      <c r="G184" s="1334" t="n">
        <v>38.85935</v>
      </c>
      <c r="H184" s="1334" t="n">
        <v>22.654022</v>
      </c>
      <c r="I184" s="1334" t="n">
        <v>22.211982</v>
      </c>
      <c r="J184" s="1334" t="n">
        <v>29.21759</v>
      </c>
      <c r="K184" s="1334" t="n"/>
      <c r="L184" s="1334" t="n"/>
      <c r="M184" s="1334" t="n"/>
      <c r="N184" s="1334" t="n"/>
      <c r="O184" s="1334" t="n"/>
      <c r="P184" s="1334" t="n"/>
      <c r="Q184" s="1334" t="n"/>
      <c r="R184" s="1335" t="n"/>
      <c r="S184" s="630" t="n"/>
    </row>
    <row r="185" outlineLevel="1" ht="16.5" customHeight="1" s="838">
      <c r="B185" s="765" t="n"/>
      <c r="C185" s="738" t="n"/>
      <c r="D185" s="738" t="n"/>
      <c r="E185" s="739" t="n"/>
      <c r="F185" s="790" t="inlineStr">
        <is>
          <t>`26년 실적</t>
        </is>
      </c>
      <c r="G185" s="1336" t="n">
        <v>14.418264</v>
      </c>
      <c r="H185" s="1336" t="n">
        <v>31.301761</v>
      </c>
      <c r="I185" s="1336" t="n">
        <v>24.260629</v>
      </c>
      <c r="J185" s="1336" t="n">
        <v>21.592348</v>
      </c>
      <c r="K185" s="1336" t="n"/>
      <c r="L185" s="1336" t="n"/>
      <c r="M185" s="1336" t="n"/>
      <c r="N185" s="1336" t="n"/>
      <c r="O185" s="1336" t="n"/>
      <c r="P185" s="1336" t="n"/>
      <c r="Q185" s="1336" t="n"/>
      <c r="R185" s="1337" t="n"/>
      <c r="S185" s="630" t="n"/>
    </row>
    <row r="186" outlineLevel="1" ht="16.5" customHeight="1" s="838">
      <c r="B186" s="765" t="n"/>
      <c r="C186" s="738" t="n"/>
      <c r="D186" s="738" t="n"/>
      <c r="E186" s="737" t="inlineStr">
        <is>
          <t>개선금액</t>
        </is>
      </c>
      <c r="F186" s="797" t="inlineStr">
        <is>
          <t>`26년 목표</t>
        </is>
      </c>
      <c r="G186" s="1338">
        <f>G183-G184</f>
        <v/>
      </c>
      <c r="H186" s="1338">
        <f>H183-H184</f>
        <v/>
      </c>
      <c r="I186" s="1338">
        <f>I183-I184</f>
        <v/>
      </c>
      <c r="J186" s="1338">
        <f>J183-J184</f>
        <v/>
      </c>
      <c r="K186" s="1338" t="n"/>
      <c r="L186" s="1338" t="n"/>
      <c r="M186" s="1338" t="n"/>
      <c r="N186" s="1338" t="n"/>
      <c r="O186" s="1338" t="n"/>
      <c r="P186" s="1338" t="n"/>
      <c r="Q186" s="1338" t="n"/>
      <c r="R186" s="1339" t="n"/>
      <c r="S186" s="630" t="n"/>
    </row>
    <row r="187" outlineLevel="1" ht="16.5" customHeight="1" s="838">
      <c r="B187" s="765" t="n"/>
      <c r="C187" s="738" t="n"/>
      <c r="D187" s="739" t="n"/>
      <c r="E187" s="739" t="n"/>
      <c r="F187" s="790" t="inlineStr">
        <is>
          <t>`26년 실적</t>
        </is>
      </c>
      <c r="G187" s="1340">
        <f>G183-G185</f>
        <v/>
      </c>
      <c r="H187" s="1340">
        <f>H183-H185</f>
        <v/>
      </c>
      <c r="I187" s="1340">
        <f>I183-I185</f>
        <v/>
      </c>
      <c r="J187" s="1340">
        <f>J183-J185</f>
        <v/>
      </c>
      <c r="K187" s="1340" t="n"/>
      <c r="L187" s="1336" t="n"/>
      <c r="M187" s="1336" t="n"/>
      <c r="N187" s="1336" t="n"/>
      <c r="O187" s="1336" t="n"/>
      <c r="P187" s="1336" t="n"/>
      <c r="Q187" s="1336" t="n"/>
      <c r="R187" s="1337" t="n"/>
      <c r="S187" s="630" t="n"/>
    </row>
    <row r="188" outlineLevel="1" ht="16.5" customHeight="1" s="838">
      <c r="B188" s="765" t="n"/>
      <c r="C188" s="738" t="n"/>
      <c r="D188" s="737" t="inlineStr">
        <is>
          <t>부문8</t>
        </is>
      </c>
      <c r="E188" s="737" t="inlineStr">
        <is>
          <t>고정비</t>
        </is>
      </c>
      <c r="F188" s="797" t="inlineStr">
        <is>
          <t>`25년 실적</t>
        </is>
      </c>
      <c r="G188" s="1341" t="n">
        <v>10.118296</v>
      </c>
      <c r="H188" s="1341" t="n">
        <v>0.975389</v>
      </c>
      <c r="I188" s="1341" t="n">
        <v>7.1823</v>
      </c>
      <c r="J188" s="1341" t="n">
        <v>4.446956</v>
      </c>
      <c r="K188" s="1341" t="n"/>
      <c r="L188" s="1341" t="n"/>
      <c r="M188" s="1341" t="n"/>
      <c r="N188" s="1341" t="n"/>
      <c r="O188" s="1341" t="n"/>
      <c r="P188" s="1341" t="n"/>
      <c r="Q188" s="1341" t="n"/>
      <c r="R188" s="1342" t="n"/>
      <c r="S188" s="630" t="n"/>
    </row>
    <row r="189" outlineLevel="1" ht="16.5" customHeight="1" s="838">
      <c r="B189" s="765" t="n"/>
      <c r="C189" s="738" t="n"/>
      <c r="D189" s="738" t="n"/>
      <c r="E189" s="738" t="n"/>
      <c r="F189" s="624" t="inlineStr">
        <is>
          <t>`26년 목표</t>
        </is>
      </c>
      <c r="G189" s="1334" t="n">
        <v>4.154351</v>
      </c>
      <c r="H189" s="1334" t="n">
        <v>3.842647</v>
      </c>
      <c r="I189" s="1334" t="n">
        <v>10.118296</v>
      </c>
      <c r="J189" s="1334" t="n">
        <v>8.252152000000001</v>
      </c>
      <c r="K189" s="1334" t="n"/>
      <c r="L189" s="1334" t="n"/>
      <c r="M189" s="1334" t="n"/>
      <c r="N189" s="1334" t="n"/>
      <c r="O189" s="1334" t="n"/>
      <c r="P189" s="1334" t="n"/>
      <c r="Q189" s="1334" t="n"/>
      <c r="R189" s="1335" t="n"/>
      <c r="S189" s="630" t="n"/>
    </row>
    <row r="190" outlineLevel="1" ht="16.5" customHeight="1" s="838">
      <c r="B190" s="765" t="n"/>
      <c r="C190" s="738" t="n"/>
      <c r="D190" s="738" t="n"/>
      <c r="E190" s="739" t="n"/>
      <c r="F190" s="790" t="inlineStr">
        <is>
          <t>`26년 실적</t>
        </is>
      </c>
      <c r="G190" s="1336" t="n">
        <v>2.040119</v>
      </c>
      <c r="H190" s="1336" t="n">
        <v>5.347245</v>
      </c>
      <c r="I190" s="1336" t="n">
        <v>8.386619</v>
      </c>
      <c r="J190" s="1336" t="n">
        <v>10.118296</v>
      </c>
      <c r="K190" s="1336" t="n"/>
      <c r="L190" s="1336" t="n"/>
      <c r="M190" s="1336" t="n"/>
      <c r="N190" s="1336" t="n"/>
      <c r="O190" s="1336" t="n"/>
      <c r="P190" s="1336" t="n"/>
      <c r="Q190" s="1336" t="n"/>
      <c r="R190" s="1337" t="n"/>
      <c r="S190" s="630" t="n"/>
    </row>
    <row r="191" outlineLevel="1" ht="16.5" customHeight="1" s="838">
      <c r="B191" s="765" t="n"/>
      <c r="C191" s="738" t="n"/>
      <c r="D191" s="738" t="n"/>
      <c r="E191" s="737" t="inlineStr">
        <is>
          <t>개선금액</t>
        </is>
      </c>
      <c r="F191" s="797" t="inlineStr">
        <is>
          <t>`26년 목표</t>
        </is>
      </c>
      <c r="G191" s="1338">
        <f>G188-G189</f>
        <v/>
      </c>
      <c r="H191" s="1338">
        <f>H188-H189</f>
        <v/>
      </c>
      <c r="I191" s="1338">
        <f>I188-I189</f>
        <v/>
      </c>
      <c r="J191" s="1338">
        <f>J188-J189</f>
        <v/>
      </c>
      <c r="K191" s="1338" t="n"/>
      <c r="L191" s="1338" t="n"/>
      <c r="M191" s="1338" t="n"/>
      <c r="N191" s="1338" t="n"/>
      <c r="O191" s="1338" t="n"/>
      <c r="P191" s="1338" t="n"/>
      <c r="Q191" s="1338" t="n"/>
      <c r="R191" s="1339" t="n"/>
      <c r="S191" s="630" t="n"/>
    </row>
    <row r="192" outlineLevel="1" ht="16.5" customHeight="1" s="838">
      <c r="B192" s="765" t="n"/>
      <c r="C192" s="738" t="n"/>
      <c r="D192" s="739" t="n"/>
      <c r="E192" s="739" t="n"/>
      <c r="F192" s="790" t="inlineStr">
        <is>
          <t>`26년 실적</t>
        </is>
      </c>
      <c r="G192" s="1340">
        <f>G188-G190</f>
        <v/>
      </c>
      <c r="H192" s="1340">
        <f>H188-H190</f>
        <v/>
      </c>
      <c r="I192" s="1340">
        <f>I188-I190</f>
        <v/>
      </c>
      <c r="J192" s="1340">
        <f>J188-J190</f>
        <v/>
      </c>
      <c r="K192" s="1340" t="n"/>
      <c r="L192" s="1336" t="n"/>
      <c r="M192" s="1336" t="n"/>
      <c r="N192" s="1336" t="n"/>
      <c r="O192" s="1336" t="n"/>
      <c r="P192" s="1336" t="n"/>
      <c r="Q192" s="1336" t="n"/>
      <c r="R192" s="1337" t="n"/>
      <c r="S192" s="630" t="n"/>
    </row>
    <row r="193" outlineLevel="1" ht="16.5" customHeight="1" s="838">
      <c r="B193" s="765" t="n"/>
      <c r="C193" s="738" t="n"/>
      <c r="D193" s="749" t="inlineStr">
        <is>
          <t>부문9</t>
        </is>
      </c>
      <c r="E193" s="737" t="inlineStr">
        <is>
          <t>고정비</t>
        </is>
      </c>
      <c r="F193" s="797" t="inlineStr">
        <is>
          <t>`25년 실적</t>
        </is>
      </c>
      <c r="G193" s="1341" t="n">
        <v>11.876306</v>
      </c>
      <c r="H193" s="1341" t="n">
        <v>36.223368</v>
      </c>
      <c r="I193" s="1341" t="n">
        <v>27.149981</v>
      </c>
      <c r="J193" s="1341" t="n">
        <v>17.916641</v>
      </c>
      <c r="K193" s="1341" t="n"/>
      <c r="L193" s="1341" t="n"/>
      <c r="M193" s="1341" t="n"/>
      <c r="N193" s="1341" t="n"/>
      <c r="O193" s="1341" t="n"/>
      <c r="P193" s="1341" t="n"/>
      <c r="Q193" s="1341" t="n"/>
      <c r="R193" s="1342" t="n"/>
      <c r="S193" s="630" t="n"/>
    </row>
    <row r="194" outlineLevel="1" ht="16.5" customHeight="1" s="838">
      <c r="B194" s="765" t="n"/>
      <c r="C194" s="738" t="n"/>
      <c r="D194" s="738" t="n"/>
      <c r="E194" s="738" t="n"/>
      <c r="F194" s="624" t="inlineStr">
        <is>
          <t>`26년 목표</t>
        </is>
      </c>
      <c r="G194" s="1334" t="n">
        <v>31.744719</v>
      </c>
      <c r="H194" s="1334" t="n">
        <v>8.844986</v>
      </c>
      <c r="I194" s="1334" t="n">
        <v>31.221994</v>
      </c>
      <c r="J194" s="1334" t="n">
        <v>8.830475</v>
      </c>
      <c r="K194" s="1334" t="n"/>
      <c r="L194" s="1334" t="n"/>
      <c r="M194" s="1334" t="n"/>
      <c r="N194" s="1334" t="n"/>
      <c r="O194" s="1334" t="n"/>
      <c r="P194" s="1334" t="n"/>
      <c r="Q194" s="1334" t="n"/>
      <c r="R194" s="1335" t="n"/>
      <c r="S194" s="630" t="n"/>
    </row>
    <row r="195" outlineLevel="1" ht="16.5" customHeight="1" s="838">
      <c r="B195" s="765" t="n"/>
      <c r="C195" s="738" t="n"/>
      <c r="D195" s="738" t="n"/>
      <c r="E195" s="739" t="n"/>
      <c r="F195" s="790" t="inlineStr">
        <is>
          <t>`26년 실적</t>
        </is>
      </c>
      <c r="G195" s="1336" t="n">
        <v>22.184246</v>
      </c>
      <c r="H195" s="1336" t="n">
        <v>19.120082</v>
      </c>
      <c r="I195" s="1336" t="n">
        <v>38.279982</v>
      </c>
      <c r="J195" s="1336" t="n">
        <v>19.483898</v>
      </c>
      <c r="K195" s="1336" t="n"/>
      <c r="L195" s="1336" t="n"/>
      <c r="M195" s="1336" t="n"/>
      <c r="N195" s="1336" t="n"/>
      <c r="O195" s="1336" t="n"/>
      <c r="P195" s="1336" t="n"/>
      <c r="Q195" s="1336" t="n"/>
      <c r="R195" s="1337" t="n"/>
      <c r="S195" s="630" t="n"/>
    </row>
    <row r="196" outlineLevel="1" ht="16.5" customHeight="1" s="838">
      <c r="B196" s="765" t="n"/>
      <c r="C196" s="738" t="n"/>
      <c r="D196" s="738" t="n"/>
      <c r="E196" s="749" t="inlineStr">
        <is>
          <t>개선금액</t>
        </is>
      </c>
      <c r="F196" s="797" t="inlineStr">
        <is>
          <t>`26년 목표</t>
        </is>
      </c>
      <c r="G196" s="1338">
        <f>G193-G194</f>
        <v/>
      </c>
      <c r="H196" s="1338">
        <f>H193-H194</f>
        <v/>
      </c>
      <c r="I196" s="1338">
        <f>I193-I194</f>
        <v/>
      </c>
      <c r="J196" s="1338">
        <f>J193-J194</f>
        <v/>
      </c>
      <c r="K196" s="1338" t="n"/>
      <c r="L196" s="1338" t="n"/>
      <c r="M196" s="1338" t="n"/>
      <c r="N196" s="1338" t="n"/>
      <c r="O196" s="1338" t="n"/>
      <c r="P196" s="1338" t="n"/>
      <c r="Q196" s="1338" t="n"/>
      <c r="R196" s="1339" t="n"/>
      <c r="S196" s="630" t="n"/>
    </row>
    <row r="197" outlineLevel="1" ht="17.25" customHeight="1" s="838">
      <c r="B197" s="760" t="n"/>
      <c r="C197" s="753" t="n"/>
      <c r="D197" s="753" t="n"/>
      <c r="E197" s="753" t="n"/>
      <c r="F197" s="626" t="inlineStr">
        <is>
          <t>`26년 실적</t>
        </is>
      </c>
      <c r="G197" s="1344">
        <f>G193-G195</f>
        <v/>
      </c>
      <c r="H197" s="1344">
        <f>H193-H195</f>
        <v/>
      </c>
      <c r="I197" s="1344">
        <f>I193-I195</f>
        <v/>
      </c>
      <c r="J197" s="1344">
        <f>J193-J195</f>
        <v/>
      </c>
      <c r="K197" s="1344" t="n"/>
      <c r="L197" s="1345" t="n"/>
      <c r="M197" s="1345" t="n"/>
      <c r="N197" s="1345" t="n"/>
      <c r="O197" s="1345" t="n"/>
      <c r="P197" s="1345" t="n"/>
      <c r="Q197" s="1345" t="n"/>
      <c r="R197" s="1346" t="n"/>
      <c r="S197" s="630" t="n"/>
    </row>
  </sheetData>
  <mergeCells count="128">
    <mergeCell ref="E131:E132"/>
    <mergeCell ref="E181:E182"/>
    <mergeCell ref="D93:D97"/>
    <mergeCell ref="D163:D167"/>
    <mergeCell ref="E171:E172"/>
    <mergeCell ref="B2:F2"/>
    <mergeCell ref="C73:C102"/>
    <mergeCell ref="D83:D87"/>
    <mergeCell ref="D188:D192"/>
    <mergeCell ref="E3:E5"/>
    <mergeCell ref="E188:E190"/>
    <mergeCell ref="E58:E60"/>
    <mergeCell ref="E76:E77"/>
    <mergeCell ref="E18:E20"/>
    <mergeCell ref="E8:E10"/>
    <mergeCell ref="E73:E75"/>
    <mergeCell ref="D183:D187"/>
    <mergeCell ref="E41:E42"/>
    <mergeCell ref="E101:E102"/>
    <mergeCell ref="E123:E125"/>
    <mergeCell ref="D158:D162"/>
    <mergeCell ref="E143:E145"/>
    <mergeCell ref="E21:E22"/>
    <mergeCell ref="B68:B132"/>
    <mergeCell ref="E108:E110"/>
    <mergeCell ref="E163:E165"/>
    <mergeCell ref="C3:D7"/>
    <mergeCell ref="E178:E180"/>
    <mergeCell ref="D43:D47"/>
    <mergeCell ref="D58:D62"/>
    <mergeCell ref="C68:D72"/>
    <mergeCell ref="E193:E195"/>
    <mergeCell ref="D18:D22"/>
    <mergeCell ref="D123:D127"/>
    <mergeCell ref="E161:E162"/>
    <mergeCell ref="D33:D37"/>
    <mergeCell ref="D73:D77"/>
    <mergeCell ref="D113:D117"/>
    <mergeCell ref="D173:D177"/>
    <mergeCell ref="E31:E32"/>
    <mergeCell ref="E46:E47"/>
    <mergeCell ref="D148:D152"/>
    <mergeCell ref="E48:E50"/>
    <mergeCell ref="G1:R1"/>
    <mergeCell ref="E63:E65"/>
    <mergeCell ref="E111:E112"/>
    <mergeCell ref="E38:E40"/>
    <mergeCell ref="E91:E92"/>
    <mergeCell ref="E196:E197"/>
    <mergeCell ref="E98:E100"/>
    <mergeCell ref="D108:D112"/>
    <mergeCell ref="E26:E27"/>
    <mergeCell ref="C138:C167"/>
    <mergeCell ref="E66:E67"/>
    <mergeCell ref="E88:E90"/>
    <mergeCell ref="E106:E107"/>
    <mergeCell ref="E146:E147"/>
    <mergeCell ref="E153:E155"/>
    <mergeCell ref="C8:C37"/>
    <mergeCell ref="E81:E82"/>
    <mergeCell ref="E121:E122"/>
    <mergeCell ref="E126:E127"/>
    <mergeCell ref="E173:E175"/>
    <mergeCell ref="D78:D82"/>
    <mergeCell ref="D48:D52"/>
    <mergeCell ref="D193:D197"/>
    <mergeCell ref="E51:E52"/>
    <mergeCell ref="D103:D107"/>
    <mergeCell ref="D168:D172"/>
    <mergeCell ref="E168:E170"/>
    <mergeCell ref="E183:E185"/>
    <mergeCell ref="E113:E115"/>
    <mergeCell ref="E53:E55"/>
    <mergeCell ref="E186:E187"/>
    <mergeCell ref="D38:D42"/>
    <mergeCell ref="E86:E87"/>
    <mergeCell ref="D98:D102"/>
    <mergeCell ref="D138:D142"/>
    <mergeCell ref="D178:D182"/>
    <mergeCell ref="E176:E177"/>
    <mergeCell ref="D88:D92"/>
    <mergeCell ref="D153:D157"/>
    <mergeCell ref="C168:C197"/>
    <mergeCell ref="E23:E25"/>
    <mergeCell ref="E16:E17"/>
    <mergeCell ref="E13:E15"/>
    <mergeCell ref="E56:E57"/>
    <mergeCell ref="E71:E72"/>
    <mergeCell ref="E78:E80"/>
    <mergeCell ref="E128:E130"/>
    <mergeCell ref="E96:E97"/>
    <mergeCell ref="E151:E152"/>
    <mergeCell ref="E141:E142"/>
    <mergeCell ref="D13:D17"/>
    <mergeCell ref="E148:E150"/>
    <mergeCell ref="D53:D57"/>
    <mergeCell ref="D118:D122"/>
    <mergeCell ref="E156:E157"/>
    <mergeCell ref="D28:D32"/>
    <mergeCell ref="D143:D147"/>
    <mergeCell ref="D8:D12"/>
    <mergeCell ref="E43:E45"/>
    <mergeCell ref="B3:B67"/>
    <mergeCell ref="E6:E7"/>
    <mergeCell ref="C103:C132"/>
    <mergeCell ref="E11:E12"/>
    <mergeCell ref="D23:D27"/>
    <mergeCell ref="E33:E35"/>
    <mergeCell ref="E93:E95"/>
    <mergeCell ref="E191:E192"/>
    <mergeCell ref="D63:D67"/>
    <mergeCell ref="D128:D132"/>
    <mergeCell ref="E166:E167"/>
    <mergeCell ref="E61:E62"/>
    <mergeCell ref="E68:E70"/>
    <mergeCell ref="E83:E85"/>
    <mergeCell ref="E118:E120"/>
    <mergeCell ref="E36:E37"/>
    <mergeCell ref="C133:D137"/>
    <mergeCell ref="E116:E117"/>
    <mergeCell ref="E138:E140"/>
    <mergeCell ref="E28:E30"/>
    <mergeCell ref="E136:E137"/>
    <mergeCell ref="E103:E105"/>
    <mergeCell ref="C38:C67"/>
    <mergeCell ref="E133:E135"/>
    <mergeCell ref="E158:E160"/>
    <mergeCell ref="B133:B197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FF275417"/>
    <outlinePr summaryBelow="1" summaryRight="1"/>
    <pageSetUpPr/>
  </sheetPr>
  <dimension ref="B2:CX81"/>
  <sheetViews>
    <sheetView zoomScale="70" zoomScaleNormal="7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P18" sqref="AP18"/>
    </sheetView>
  </sheetViews>
  <sheetFormatPr baseColWidth="8" defaultColWidth="9" defaultRowHeight="16.5" customHeight="1"/>
  <cols>
    <col width="4.5" customWidth="1" style="647" min="1" max="1"/>
    <col width="17" customWidth="1" style="647" min="2" max="2"/>
    <col width="10.25" customWidth="1" style="647" min="3" max="3"/>
    <col width="6.125" customWidth="1" style="647" min="4" max="5"/>
    <col width="5.875" customWidth="1" style="647" min="6" max="15"/>
    <col width="6.75" customWidth="1" style="647" min="16" max="16"/>
    <col width="5.875" customWidth="1" style="647" min="17" max="28"/>
    <col width="6.75" customWidth="1" style="647" min="29" max="29"/>
    <col width="5.75" customWidth="1" style="647" min="30" max="30"/>
    <col outlineLevel="1" width="5.75" customWidth="1" style="647" min="31" max="35"/>
    <col width="5.75" customWidth="1" style="647" min="36" max="36"/>
    <col outlineLevel="1" width="5.75" customWidth="1" style="647" min="37" max="40"/>
    <col width="5.75" customWidth="1" style="647" min="41" max="41"/>
    <col outlineLevel="1" width="5.75" customWidth="1" style="647" min="42" max="46"/>
    <col width="5.75" customWidth="1" style="647" min="47" max="47"/>
    <col outlineLevel="1" width="5.75" customWidth="1" style="647" min="48" max="49"/>
    <col outlineLevel="1" width="5.125" customWidth="1" style="647" min="50" max="52"/>
    <col width="5.125" customWidth="1" style="647" min="53" max="53"/>
    <col outlineLevel="1" width="6.375" customWidth="1" style="647" min="54" max="59"/>
    <col width="6.375" customWidth="1" style="647" min="60" max="60"/>
    <col outlineLevel="1" width="6.375" customWidth="1" style="647" min="61" max="65"/>
    <col width="5.25" customWidth="1" style="647" min="66" max="66"/>
    <col outlineLevel="1" width="5.25" customWidth="1" style="647" min="67" max="71"/>
    <col width="5.25" customWidth="1" style="647" min="72" max="72"/>
    <col outlineLevel="1" width="5.25" customWidth="1" style="647" min="73" max="78"/>
    <col width="5.25" customWidth="1" style="647" min="79" max="79"/>
    <col outlineLevel="1" width="5.25" customWidth="1" style="647" min="80" max="84"/>
    <col width="5.25" customWidth="1" style="647" min="85" max="85"/>
    <col outlineLevel="1" width="5.25" customWidth="1" style="647" min="86" max="90"/>
    <col width="5.25" customWidth="1" style="647" min="91" max="91"/>
    <col outlineLevel="1" width="5.25" customWidth="1" style="647" min="92" max="96"/>
    <col width="5.25" customWidth="1" style="647" min="97" max="97"/>
    <col outlineLevel="1" width="5.25" customWidth="1" style="647" min="98" max="102"/>
    <col width="9" customWidth="1" style="647" min="103" max="103"/>
    <col width="9" customWidth="1" style="647" min="104" max="16384"/>
  </cols>
  <sheetData>
    <row r="1" ht="17.25" customHeight="1" s="838"/>
    <row r="2" ht="16.5" customHeight="1" s="838">
      <c r="B2" s="821" t="inlineStr">
        <is>
          <t>구분</t>
        </is>
      </c>
      <c r="C2" s="734" t="n"/>
      <c r="D2" s="819" t="inlineStr">
        <is>
          <t>25년 실적</t>
        </is>
      </c>
      <c r="E2" s="740" t="n"/>
      <c r="F2" s="740" t="n"/>
      <c r="G2" s="740" t="n"/>
      <c r="H2" s="740" t="n"/>
      <c r="I2" s="740" t="n"/>
      <c r="J2" s="740" t="n"/>
      <c r="K2" s="740" t="n"/>
      <c r="L2" s="740" t="n"/>
      <c r="M2" s="740" t="n"/>
      <c r="N2" s="740" t="n"/>
      <c r="O2" s="740" t="n"/>
      <c r="P2" s="741" t="n"/>
      <c r="Q2" s="819" t="inlineStr">
        <is>
          <t>26년 목표</t>
        </is>
      </c>
      <c r="R2" s="740" t="n"/>
      <c r="S2" s="740" t="n"/>
      <c r="T2" s="740" t="n"/>
      <c r="U2" s="740" t="n"/>
      <c r="V2" s="740" t="n"/>
      <c r="W2" s="740" t="n"/>
      <c r="X2" s="740" t="n"/>
      <c r="Y2" s="740" t="n"/>
      <c r="Z2" s="740" t="n"/>
      <c r="AA2" s="740" t="n"/>
      <c r="AB2" s="740" t="n"/>
      <c r="AC2" s="741" t="n"/>
      <c r="AD2" s="819" t="inlineStr">
        <is>
          <t>26년 실적</t>
        </is>
      </c>
      <c r="AE2" s="740" t="n"/>
      <c r="AF2" s="740" t="n"/>
      <c r="AG2" s="740" t="n"/>
      <c r="AH2" s="740" t="n"/>
      <c r="AI2" s="740" t="n"/>
      <c r="AJ2" s="740" t="n"/>
      <c r="AK2" s="740" t="n"/>
      <c r="AL2" s="740" t="n"/>
      <c r="AM2" s="740" t="n"/>
      <c r="AN2" s="740" t="n"/>
      <c r="AO2" s="740" t="n"/>
      <c r="AP2" s="740" t="n"/>
      <c r="AQ2" s="740" t="n"/>
      <c r="AR2" s="740" t="n"/>
      <c r="AS2" s="740" t="n"/>
      <c r="AT2" s="740" t="n"/>
      <c r="AU2" s="740" t="n"/>
      <c r="AV2" s="740" t="n"/>
      <c r="AW2" s="740" t="n"/>
      <c r="AX2" s="740" t="n"/>
      <c r="AY2" s="740" t="n"/>
      <c r="AZ2" s="740" t="n"/>
      <c r="BA2" s="740" t="n"/>
      <c r="BB2" s="740" t="n"/>
      <c r="BC2" s="740" t="n"/>
      <c r="BD2" s="740" t="n"/>
      <c r="BE2" s="740" t="n"/>
      <c r="BF2" s="740" t="n"/>
      <c r="BG2" s="740" t="n"/>
      <c r="BH2" s="740" t="n"/>
      <c r="BI2" s="740" t="n"/>
      <c r="BJ2" s="740" t="n"/>
      <c r="BK2" s="740" t="n"/>
      <c r="BL2" s="740" t="n"/>
      <c r="BM2" s="740" t="n"/>
      <c r="BN2" s="740" t="n"/>
      <c r="BO2" s="740" t="n"/>
      <c r="BP2" s="740" t="n"/>
      <c r="BQ2" s="740" t="n"/>
      <c r="BR2" s="740" t="n"/>
      <c r="BS2" s="740" t="n"/>
      <c r="BT2" s="740" t="n"/>
      <c r="BU2" s="740" t="n"/>
      <c r="BV2" s="740" t="n"/>
      <c r="BW2" s="740" t="n"/>
      <c r="BX2" s="740" t="n"/>
      <c r="BY2" s="740" t="n"/>
      <c r="BZ2" s="740" t="n"/>
      <c r="CA2" s="740" t="n"/>
      <c r="CB2" s="740" t="n"/>
      <c r="CC2" s="740" t="n"/>
      <c r="CD2" s="740" t="n"/>
      <c r="CE2" s="740" t="n"/>
      <c r="CF2" s="740" t="n"/>
      <c r="CG2" s="740" t="n"/>
      <c r="CH2" s="740" t="n"/>
      <c r="CI2" s="740" t="n"/>
      <c r="CJ2" s="740" t="n"/>
      <c r="CK2" s="740" t="n"/>
      <c r="CL2" s="740" t="n"/>
      <c r="CM2" s="740" t="n"/>
      <c r="CN2" s="740" t="n"/>
      <c r="CO2" s="740" t="n"/>
      <c r="CP2" s="740" t="n"/>
      <c r="CQ2" s="740" t="n"/>
      <c r="CR2" s="740" t="n"/>
      <c r="CS2" s="740" t="n"/>
      <c r="CT2" s="740" t="n"/>
      <c r="CU2" s="740" t="n"/>
      <c r="CV2" s="740" t="n"/>
      <c r="CW2" s="740" t="n"/>
      <c r="CX2" s="741" t="n"/>
    </row>
    <row r="3" ht="16.5" customHeight="1" s="838">
      <c r="B3" s="800" t="n"/>
      <c r="C3" s="766" t="n"/>
      <c r="D3" s="819" t="inlineStr">
        <is>
          <t>1월</t>
        </is>
      </c>
      <c r="E3" s="819" t="inlineStr">
        <is>
          <t>2월</t>
        </is>
      </c>
      <c r="F3" s="819" t="inlineStr">
        <is>
          <t>3월</t>
        </is>
      </c>
      <c r="G3" s="819" t="inlineStr">
        <is>
          <t>4월</t>
        </is>
      </c>
      <c r="H3" s="819" t="inlineStr">
        <is>
          <t>5월</t>
        </is>
      </c>
      <c r="I3" s="819" t="inlineStr">
        <is>
          <t>6월</t>
        </is>
      </c>
      <c r="J3" s="819" t="inlineStr">
        <is>
          <t>7월</t>
        </is>
      </c>
      <c r="K3" s="819" t="inlineStr">
        <is>
          <t>8월</t>
        </is>
      </c>
      <c r="L3" s="819" t="inlineStr">
        <is>
          <t>9월</t>
        </is>
      </c>
      <c r="M3" s="819" t="inlineStr">
        <is>
          <t>10월</t>
        </is>
      </c>
      <c r="N3" s="819" t="inlineStr">
        <is>
          <t>11월</t>
        </is>
      </c>
      <c r="O3" s="819" t="inlineStr">
        <is>
          <t>12월</t>
        </is>
      </c>
      <c r="P3" s="819" t="inlineStr">
        <is>
          <t>Total</t>
        </is>
      </c>
      <c r="Q3" s="819" t="inlineStr">
        <is>
          <t>1월</t>
        </is>
      </c>
      <c r="R3" s="819" t="inlineStr">
        <is>
          <t>2월</t>
        </is>
      </c>
      <c r="S3" s="819" t="inlineStr">
        <is>
          <t>3월</t>
        </is>
      </c>
      <c r="T3" s="819" t="inlineStr">
        <is>
          <t>4월</t>
        </is>
      </c>
      <c r="U3" s="819" t="inlineStr">
        <is>
          <t>5월</t>
        </is>
      </c>
      <c r="V3" s="819" t="inlineStr">
        <is>
          <t>6월</t>
        </is>
      </c>
      <c r="W3" s="819" t="inlineStr">
        <is>
          <t>7월</t>
        </is>
      </c>
      <c r="X3" s="819" t="inlineStr">
        <is>
          <t>8월</t>
        </is>
      </c>
      <c r="Y3" s="819" t="inlineStr">
        <is>
          <t>9월</t>
        </is>
      </c>
      <c r="Z3" s="819" t="inlineStr">
        <is>
          <t>10월</t>
        </is>
      </c>
      <c r="AA3" s="819" t="inlineStr">
        <is>
          <t>11월</t>
        </is>
      </c>
      <c r="AB3" s="819" t="inlineStr">
        <is>
          <t>12월</t>
        </is>
      </c>
      <c r="AC3" s="819" t="inlineStr">
        <is>
          <t>Total</t>
        </is>
      </c>
      <c r="AD3" s="822" t="inlineStr">
        <is>
          <t>1월</t>
        </is>
      </c>
      <c r="AE3" s="740" t="n"/>
      <c r="AF3" s="740" t="n"/>
      <c r="AG3" s="740" t="n"/>
      <c r="AH3" s="740" t="n"/>
      <c r="AI3" s="741" t="n"/>
      <c r="AJ3" s="822" t="inlineStr">
        <is>
          <t>2월</t>
        </is>
      </c>
      <c r="AK3" s="740" t="n"/>
      <c r="AL3" s="740" t="n"/>
      <c r="AM3" s="740" t="n"/>
      <c r="AN3" s="741" t="n"/>
      <c r="AO3" s="822" t="inlineStr">
        <is>
          <t>3월</t>
        </is>
      </c>
      <c r="AP3" s="740" t="n"/>
      <c r="AQ3" s="740" t="n"/>
      <c r="AR3" s="740" t="n"/>
      <c r="AS3" s="740" t="n"/>
      <c r="AT3" s="741" t="n"/>
      <c r="AU3" s="822" t="inlineStr">
        <is>
          <t>4월</t>
        </is>
      </c>
      <c r="AV3" s="740" t="n"/>
      <c r="AW3" s="740" t="n"/>
      <c r="AX3" s="740" t="n"/>
      <c r="AY3" s="740" t="n"/>
      <c r="AZ3" s="741" t="n"/>
      <c r="BA3" s="822" t="inlineStr">
        <is>
          <t>5월</t>
        </is>
      </c>
      <c r="BB3" s="740" t="n"/>
      <c r="BC3" s="740" t="n"/>
      <c r="BD3" s="740" t="n"/>
      <c r="BE3" s="740" t="n"/>
      <c r="BF3" s="740" t="n"/>
      <c r="BG3" s="741" t="n"/>
      <c r="BH3" s="822" t="inlineStr">
        <is>
          <t>6월</t>
        </is>
      </c>
      <c r="BI3" s="740" t="n"/>
      <c r="BJ3" s="740" t="n"/>
      <c r="BK3" s="740" t="n"/>
      <c r="BL3" s="740" t="n"/>
      <c r="BM3" s="741" t="n"/>
      <c r="BN3" s="822" t="inlineStr">
        <is>
          <t>7월</t>
        </is>
      </c>
      <c r="BO3" s="740" t="n"/>
      <c r="BP3" s="740" t="n"/>
      <c r="BQ3" s="740" t="n"/>
      <c r="BR3" s="740" t="n"/>
      <c r="BS3" s="741" t="n"/>
      <c r="BT3" s="822" t="inlineStr">
        <is>
          <t>8월</t>
        </is>
      </c>
      <c r="BU3" s="740" t="n"/>
      <c r="BV3" s="740" t="n"/>
      <c r="BW3" s="740" t="n"/>
      <c r="BX3" s="740" t="n"/>
      <c r="BY3" s="740" t="n"/>
      <c r="BZ3" s="741" t="n"/>
      <c r="CA3" s="822" t="inlineStr">
        <is>
          <t>9월</t>
        </is>
      </c>
      <c r="CB3" s="740" t="n"/>
      <c r="CC3" s="740" t="n"/>
      <c r="CD3" s="740" t="n"/>
      <c r="CE3" s="740" t="n"/>
      <c r="CF3" s="741" t="n"/>
      <c r="CG3" s="822" t="inlineStr">
        <is>
          <t>10월</t>
        </is>
      </c>
      <c r="CH3" s="740" t="n"/>
      <c r="CI3" s="740" t="n"/>
      <c r="CJ3" s="740" t="n"/>
      <c r="CK3" s="740" t="n"/>
      <c r="CL3" s="741" t="n"/>
      <c r="CM3" s="822" t="inlineStr">
        <is>
          <t>11월</t>
        </is>
      </c>
      <c r="CN3" s="740" t="n"/>
      <c r="CO3" s="740" t="n"/>
      <c r="CP3" s="740" t="n"/>
      <c r="CQ3" s="740" t="n"/>
      <c r="CR3" s="741" t="n"/>
      <c r="CS3" s="822" t="inlineStr">
        <is>
          <t>12월</t>
        </is>
      </c>
      <c r="CT3" s="740" t="n"/>
      <c r="CU3" s="740" t="n"/>
      <c r="CV3" s="740" t="n"/>
      <c r="CW3" s="740" t="n"/>
      <c r="CX3" s="741" t="n"/>
    </row>
    <row r="4" ht="17.25" customHeight="1" s="838">
      <c r="B4" s="735" t="n"/>
      <c r="C4" s="736" t="n"/>
      <c r="D4" s="649" t="inlineStr">
        <is>
          <t>Total</t>
        </is>
      </c>
      <c r="E4" s="649" t="inlineStr">
        <is>
          <t>Total</t>
        </is>
      </c>
      <c r="F4" s="649" t="inlineStr">
        <is>
          <t>Total</t>
        </is>
      </c>
      <c r="G4" s="649" t="inlineStr">
        <is>
          <t>Total</t>
        </is>
      </c>
      <c r="H4" s="649" t="inlineStr">
        <is>
          <t>Total</t>
        </is>
      </c>
      <c r="I4" s="649" t="inlineStr">
        <is>
          <t>Total</t>
        </is>
      </c>
      <c r="J4" s="649" t="inlineStr">
        <is>
          <t>Total</t>
        </is>
      </c>
      <c r="K4" s="649" t="inlineStr">
        <is>
          <t>Total</t>
        </is>
      </c>
      <c r="L4" s="649" t="inlineStr">
        <is>
          <t>Total</t>
        </is>
      </c>
      <c r="M4" s="649" t="inlineStr">
        <is>
          <t>Total</t>
        </is>
      </c>
      <c r="N4" s="649" t="inlineStr">
        <is>
          <t>Total</t>
        </is>
      </c>
      <c r="O4" s="649" t="inlineStr">
        <is>
          <t>Total</t>
        </is>
      </c>
      <c r="P4" s="739" t="n"/>
      <c r="Q4" s="649" t="inlineStr">
        <is>
          <t>Total</t>
        </is>
      </c>
      <c r="R4" s="649" t="inlineStr">
        <is>
          <t>Total</t>
        </is>
      </c>
      <c r="S4" s="649" t="inlineStr">
        <is>
          <t>Total</t>
        </is>
      </c>
      <c r="T4" s="649" t="inlineStr">
        <is>
          <t>Total</t>
        </is>
      </c>
      <c r="U4" s="649" t="inlineStr">
        <is>
          <t>Total</t>
        </is>
      </c>
      <c r="V4" s="649" t="inlineStr">
        <is>
          <t>Total</t>
        </is>
      </c>
      <c r="W4" s="649" t="inlineStr">
        <is>
          <t>Total</t>
        </is>
      </c>
      <c r="X4" s="649" t="inlineStr">
        <is>
          <t>Total</t>
        </is>
      </c>
      <c r="Y4" s="649" t="inlineStr">
        <is>
          <t>Total</t>
        </is>
      </c>
      <c r="Z4" s="649" t="inlineStr">
        <is>
          <t>Total</t>
        </is>
      </c>
      <c r="AA4" s="649" t="inlineStr">
        <is>
          <t>Total</t>
        </is>
      </c>
      <c r="AB4" s="649" t="inlineStr">
        <is>
          <t>Total</t>
        </is>
      </c>
      <c r="AC4" s="739" t="n"/>
      <c r="AD4" s="650" t="inlineStr">
        <is>
          <t>실적</t>
        </is>
      </c>
      <c r="AE4" s="651" t="inlineStr">
        <is>
          <t>W1</t>
        </is>
      </c>
      <c r="AF4" s="651" t="inlineStr">
        <is>
          <t>W2</t>
        </is>
      </c>
      <c r="AG4" s="651" t="inlineStr">
        <is>
          <t>W3</t>
        </is>
      </c>
      <c r="AH4" s="651" t="inlineStr">
        <is>
          <t>W4</t>
        </is>
      </c>
      <c r="AI4" s="651" t="inlineStr">
        <is>
          <t>W5</t>
        </is>
      </c>
      <c r="AJ4" s="650" t="inlineStr">
        <is>
          <t>실적</t>
        </is>
      </c>
      <c r="AK4" s="651" t="inlineStr">
        <is>
          <t>W6</t>
        </is>
      </c>
      <c r="AL4" s="651" t="inlineStr">
        <is>
          <t>W7</t>
        </is>
      </c>
      <c r="AM4" s="651" t="inlineStr">
        <is>
          <t>W8</t>
        </is>
      </c>
      <c r="AN4" s="651" t="inlineStr">
        <is>
          <t>W9</t>
        </is>
      </c>
      <c r="AO4" s="650" t="inlineStr">
        <is>
          <t>실적</t>
        </is>
      </c>
      <c r="AP4" s="651" t="inlineStr">
        <is>
          <t>W10</t>
        </is>
      </c>
      <c r="AQ4" s="651" t="inlineStr">
        <is>
          <t>W11</t>
        </is>
      </c>
      <c r="AR4" s="651" t="inlineStr">
        <is>
          <t>W12</t>
        </is>
      </c>
      <c r="AS4" s="651" t="inlineStr">
        <is>
          <t>W13</t>
        </is>
      </c>
      <c r="AT4" s="651" t="inlineStr">
        <is>
          <t>W14</t>
        </is>
      </c>
      <c r="AU4" s="650" t="inlineStr">
        <is>
          <t>실적</t>
        </is>
      </c>
      <c r="AV4" s="651" t="inlineStr">
        <is>
          <t>W14</t>
        </is>
      </c>
      <c r="AW4" s="651" t="inlineStr">
        <is>
          <t>W15</t>
        </is>
      </c>
      <c r="AX4" s="651" t="inlineStr">
        <is>
          <t>W16</t>
        </is>
      </c>
      <c r="AY4" s="651" t="inlineStr">
        <is>
          <t>W17</t>
        </is>
      </c>
      <c r="AZ4" s="651" t="inlineStr">
        <is>
          <t>W18</t>
        </is>
      </c>
      <c r="BA4" s="650" t="inlineStr">
        <is>
          <t>실적</t>
        </is>
      </c>
      <c r="BB4" s="651" t="inlineStr">
        <is>
          <t>W18</t>
        </is>
      </c>
      <c r="BC4" s="651" t="inlineStr">
        <is>
          <t>W19</t>
        </is>
      </c>
      <c r="BD4" s="651" t="inlineStr">
        <is>
          <t>W20</t>
        </is>
      </c>
      <c r="BE4" s="651" t="inlineStr">
        <is>
          <t>W21</t>
        </is>
      </c>
      <c r="BF4" s="651" t="inlineStr">
        <is>
          <t>W22</t>
        </is>
      </c>
      <c r="BG4" s="651" t="inlineStr">
        <is>
          <t>W23</t>
        </is>
      </c>
      <c r="BH4" s="650" t="inlineStr">
        <is>
          <t>실적</t>
        </is>
      </c>
      <c r="BI4" s="651" t="inlineStr">
        <is>
          <t>W23</t>
        </is>
      </c>
      <c r="BJ4" s="651" t="inlineStr">
        <is>
          <t>W24</t>
        </is>
      </c>
      <c r="BK4" s="651" t="inlineStr">
        <is>
          <t>W25</t>
        </is>
      </c>
      <c r="BL4" s="651" t="inlineStr">
        <is>
          <t>W26</t>
        </is>
      </c>
      <c r="BM4" s="651" t="inlineStr">
        <is>
          <t>W27</t>
        </is>
      </c>
      <c r="BN4" s="650" t="inlineStr">
        <is>
          <t>실적</t>
        </is>
      </c>
      <c r="BO4" s="651" t="inlineStr">
        <is>
          <t>W27</t>
        </is>
      </c>
      <c r="BP4" s="651" t="inlineStr">
        <is>
          <t>W28</t>
        </is>
      </c>
      <c r="BQ4" s="651" t="inlineStr">
        <is>
          <t>W29</t>
        </is>
      </c>
      <c r="BR4" s="651" t="inlineStr">
        <is>
          <t>W30</t>
        </is>
      </c>
      <c r="BS4" s="651" t="inlineStr">
        <is>
          <t>W31</t>
        </is>
      </c>
      <c r="BT4" s="650" t="inlineStr">
        <is>
          <t>실적</t>
        </is>
      </c>
      <c r="BU4" s="651" t="inlineStr">
        <is>
          <t>W31</t>
        </is>
      </c>
      <c r="BV4" s="651" t="inlineStr">
        <is>
          <t>W32</t>
        </is>
      </c>
      <c r="BW4" s="651" t="inlineStr">
        <is>
          <t>W33</t>
        </is>
      </c>
      <c r="BX4" s="651" t="inlineStr">
        <is>
          <t>W34</t>
        </is>
      </c>
      <c r="BY4" s="651" t="inlineStr">
        <is>
          <t>W35</t>
        </is>
      </c>
      <c r="BZ4" s="651" t="inlineStr">
        <is>
          <t>W36</t>
        </is>
      </c>
      <c r="CA4" s="650" t="inlineStr">
        <is>
          <t>실적</t>
        </is>
      </c>
      <c r="CB4" s="651" t="inlineStr">
        <is>
          <t>W36</t>
        </is>
      </c>
      <c r="CC4" s="651" t="inlineStr">
        <is>
          <t>W37</t>
        </is>
      </c>
      <c r="CD4" s="651" t="inlineStr">
        <is>
          <t>W38</t>
        </is>
      </c>
      <c r="CE4" s="651" t="inlineStr">
        <is>
          <t>W39</t>
        </is>
      </c>
      <c r="CF4" s="651" t="inlineStr">
        <is>
          <t>W40</t>
        </is>
      </c>
      <c r="CG4" s="650" t="inlineStr">
        <is>
          <t>실적</t>
        </is>
      </c>
      <c r="CH4" s="651" t="inlineStr">
        <is>
          <t>W40</t>
        </is>
      </c>
      <c r="CI4" s="651" t="inlineStr">
        <is>
          <t>W41</t>
        </is>
      </c>
      <c r="CJ4" s="651" t="inlineStr">
        <is>
          <t>W42</t>
        </is>
      </c>
      <c r="CK4" s="651" t="inlineStr">
        <is>
          <t>W43</t>
        </is>
      </c>
      <c r="CL4" s="651" t="inlineStr">
        <is>
          <t>W44</t>
        </is>
      </c>
      <c r="CM4" s="650" t="inlineStr">
        <is>
          <t>실적</t>
        </is>
      </c>
      <c r="CN4" s="651" t="inlineStr">
        <is>
          <t>W45</t>
        </is>
      </c>
      <c r="CO4" s="651" t="inlineStr">
        <is>
          <t>W46</t>
        </is>
      </c>
      <c r="CP4" s="651" t="inlineStr">
        <is>
          <t>W47</t>
        </is>
      </c>
      <c r="CQ4" s="651" t="inlineStr">
        <is>
          <t>W48</t>
        </is>
      </c>
      <c r="CR4" s="651" t="inlineStr">
        <is>
          <t>W49</t>
        </is>
      </c>
      <c r="CS4" s="650" t="inlineStr">
        <is>
          <t>실적</t>
        </is>
      </c>
      <c r="CT4" s="651" t="inlineStr">
        <is>
          <t>W49</t>
        </is>
      </c>
      <c r="CU4" s="651" t="inlineStr">
        <is>
          <t>W50</t>
        </is>
      </c>
      <c r="CV4" s="651" t="inlineStr">
        <is>
          <t>W51</t>
        </is>
      </c>
      <c r="CW4" s="651" t="inlineStr">
        <is>
          <t>W52</t>
        </is>
      </c>
      <c r="CX4" s="651" t="inlineStr">
        <is>
          <t>W53</t>
        </is>
      </c>
    </row>
    <row r="5" ht="16.5" customHeight="1" s="838">
      <c r="B5" s="818" t="inlineStr">
        <is>
          <t>키친솔루션</t>
        </is>
      </c>
      <c r="C5" s="652" t="inlineStr">
        <is>
          <t>고정비</t>
        </is>
      </c>
      <c r="D5" s="1347">
        <f>SUM(D6:D27)</f>
        <v/>
      </c>
      <c r="E5" s="1348">
        <f>SUM(E6:E27)</f>
        <v/>
      </c>
      <c r="F5" s="1348">
        <f>SUM(F6:F27)</f>
        <v/>
      </c>
      <c r="G5" s="1348">
        <f>SUM(G6:G27)</f>
        <v/>
      </c>
      <c r="H5" s="1348">
        <f>SUM(H6:H27)</f>
        <v/>
      </c>
      <c r="I5" s="1348">
        <f>SUM(I6:I27)</f>
        <v/>
      </c>
      <c r="J5" s="1348">
        <f>SUM(J6:J27)</f>
        <v/>
      </c>
      <c r="K5" s="1348">
        <f>SUM(K6:K27)</f>
        <v/>
      </c>
      <c r="L5" s="1348">
        <f>SUM(L6:L27)</f>
        <v/>
      </c>
      <c r="M5" s="1348">
        <f>SUM(M6:M27)</f>
        <v/>
      </c>
      <c r="N5" s="1348">
        <f>SUM(N6:N27)</f>
        <v/>
      </c>
      <c r="O5" s="1348">
        <f>SUM(O6:O27)</f>
        <v/>
      </c>
      <c r="P5" s="1349">
        <f>SUM(D5:O5)</f>
        <v/>
      </c>
      <c r="Q5" s="1347">
        <f>SUM(Q6:Q27)</f>
        <v/>
      </c>
      <c r="R5" s="1348">
        <f>SUM(R6:R27)</f>
        <v/>
      </c>
      <c r="S5" s="1348">
        <f>SUM(S6:S27)</f>
        <v/>
      </c>
      <c r="T5" s="1348">
        <f>SUM(T6:T27)</f>
        <v/>
      </c>
      <c r="U5" s="1348">
        <f>SUM(U6:U27)</f>
        <v/>
      </c>
      <c r="V5" s="1348">
        <f>SUM(V6:V27)</f>
        <v/>
      </c>
      <c r="W5" s="1348">
        <f>SUM(W6:W27)</f>
        <v/>
      </c>
      <c r="X5" s="1348">
        <f>SUM(X6:X27)</f>
        <v/>
      </c>
      <c r="Y5" s="1348">
        <f>SUM(Y6:Y27)</f>
        <v/>
      </c>
      <c r="Z5" s="1348">
        <f>SUM(Z6:Z27)</f>
        <v/>
      </c>
      <c r="AA5" s="1348">
        <f>SUM(AA6:AA27)</f>
        <v/>
      </c>
      <c r="AB5" s="1348">
        <f>SUM(AB6:AB27)</f>
        <v/>
      </c>
      <c r="AC5" s="1349">
        <f>SUM(AC6:AC27)</f>
        <v/>
      </c>
      <c r="AD5" s="1350">
        <f>SUM(AD6:AD27)</f>
        <v/>
      </c>
      <c r="AE5" s="1351">
        <f>SUM(AE6:AE27)</f>
        <v/>
      </c>
      <c r="AF5" s="1351">
        <f>SUM(AF6:AF27)</f>
        <v/>
      </c>
      <c r="AG5" s="1351">
        <f>SUM(AG6:AG27)</f>
        <v/>
      </c>
      <c r="AH5" s="1351">
        <f>SUM(AH6:AH27)</f>
        <v/>
      </c>
      <c r="AI5" s="1352">
        <f>SUM(AI6:AI27)</f>
        <v/>
      </c>
      <c r="AJ5" s="1353">
        <f>SUM(AJ6:AJ27)</f>
        <v/>
      </c>
      <c r="AK5" s="1351">
        <f>SUM(AK6:AK27)</f>
        <v/>
      </c>
      <c r="AL5" s="1351">
        <f>SUM(AL6:AL27)</f>
        <v/>
      </c>
      <c r="AM5" s="1351">
        <f>SUM(AM6:AM27)</f>
        <v/>
      </c>
      <c r="AN5" s="1352">
        <f>SUM(AN6:AN27)</f>
        <v/>
      </c>
      <c r="AO5" s="1353">
        <f>SUM(AO6:AO27)</f>
        <v/>
      </c>
      <c r="AP5" s="1352">
        <f>SUM(AP6:AP27)</f>
        <v/>
      </c>
      <c r="AQ5" s="1354">
        <f>SUM(AQ6:AQ27)</f>
        <v/>
      </c>
      <c r="AR5" s="1354">
        <f>SUM(AR6:AR27)</f>
        <v/>
      </c>
      <c r="AS5" s="1354">
        <f>SUM(AS6:AS27)</f>
        <v/>
      </c>
      <c r="AT5" s="1354">
        <f>SUM(AT6:AT27)</f>
        <v/>
      </c>
      <c r="AU5" s="1353">
        <f>SUM(AU6:AU27)</f>
        <v/>
      </c>
      <c r="AV5" s="1351">
        <f>SUM(AV6:AV27)</f>
        <v/>
      </c>
      <c r="AW5" s="1351">
        <f>SUM(AW6:AW27)</f>
        <v/>
      </c>
      <c r="AX5" s="1351">
        <f>SUM(AX6:AX27)</f>
        <v/>
      </c>
      <c r="AY5" s="1351">
        <f>SUM(AY6:AY27)</f>
        <v/>
      </c>
      <c r="AZ5" s="1352">
        <f>SUM(AZ6:AZ27)</f>
        <v/>
      </c>
      <c r="BA5" s="1355" t="n"/>
      <c r="BB5" s="1356" t="n"/>
      <c r="BC5" s="1356" t="n"/>
      <c r="BD5" s="1356" t="n"/>
      <c r="BE5" s="1356" t="n"/>
      <c r="BF5" s="1356" t="n"/>
      <c r="BG5" s="1357" t="n"/>
      <c r="BH5" s="1355" t="n"/>
      <c r="BI5" s="1356" t="n"/>
      <c r="BJ5" s="1356" t="n"/>
      <c r="BK5" s="1356" t="n"/>
      <c r="BL5" s="1356" t="n"/>
      <c r="BM5" s="1357" t="n"/>
      <c r="BN5" s="1355" t="n"/>
      <c r="BO5" s="1356" t="n"/>
      <c r="BP5" s="1356" t="n"/>
      <c r="BQ5" s="1356" t="n"/>
      <c r="BR5" s="1356" t="n"/>
      <c r="BS5" s="1357" t="n"/>
      <c r="BT5" s="1355" t="n"/>
      <c r="BU5" s="1356" t="n"/>
      <c r="BV5" s="1356" t="n"/>
      <c r="BW5" s="1356" t="n"/>
      <c r="BX5" s="1356" t="n"/>
      <c r="BY5" s="1356" t="n"/>
      <c r="BZ5" s="1357" t="n"/>
      <c r="CA5" s="1355" t="n"/>
      <c r="CB5" s="1356" t="n"/>
      <c r="CC5" s="1356" t="n"/>
      <c r="CD5" s="1356" t="n"/>
      <c r="CE5" s="1356" t="n"/>
      <c r="CF5" s="1357" t="n"/>
      <c r="CG5" s="1355" t="n"/>
      <c r="CH5" s="1356" t="n"/>
      <c r="CI5" s="1356" t="n"/>
      <c r="CJ5" s="1356" t="n"/>
      <c r="CK5" s="1356" t="n"/>
      <c r="CL5" s="1357" t="n"/>
      <c r="CM5" s="1355" t="n"/>
      <c r="CN5" s="1356" t="n"/>
      <c r="CO5" s="1356" t="n"/>
      <c r="CP5" s="1356" t="n"/>
      <c r="CQ5" s="1356" t="n"/>
      <c r="CR5" s="1357" t="n"/>
      <c r="CS5" s="1355" t="n"/>
      <c r="CT5" s="1356" t="n"/>
      <c r="CU5" s="1356" t="n"/>
      <c r="CV5" s="1358" t="n"/>
      <c r="CW5" s="1358" t="n"/>
      <c r="CX5" s="1359" t="n"/>
    </row>
    <row r="6" ht="16.5" customHeight="1" s="838">
      <c r="B6" s="756" t="n"/>
      <c r="C6" s="666" t="inlineStr">
        <is>
          <t>광고비</t>
        </is>
      </c>
      <c r="D6" s="1360">
        <f>D29+D52</f>
        <v/>
      </c>
      <c r="E6" s="1361">
        <f>E29+E52</f>
        <v/>
      </c>
      <c r="F6" s="1361">
        <f>F29+F52</f>
        <v/>
      </c>
      <c r="G6" s="1361">
        <f>G29+G52</f>
        <v/>
      </c>
      <c r="H6" s="1361">
        <f>H29+H52</f>
        <v/>
      </c>
      <c r="I6" s="1361">
        <f>I29+I52</f>
        <v/>
      </c>
      <c r="J6" s="1361">
        <f>J29+J52</f>
        <v/>
      </c>
      <c r="K6" s="1361">
        <f>K29+K52</f>
        <v/>
      </c>
      <c r="L6" s="1361">
        <f>L29+L52</f>
        <v/>
      </c>
      <c r="M6" s="1361">
        <f>M29+M52</f>
        <v/>
      </c>
      <c r="N6" s="1361">
        <f>N29+N52</f>
        <v/>
      </c>
      <c r="O6" s="1361">
        <f>O29+O52</f>
        <v/>
      </c>
      <c r="P6" s="1362">
        <f>SUM(D6:O6)</f>
        <v/>
      </c>
      <c r="Q6" s="1360">
        <f>Q29+Q52</f>
        <v/>
      </c>
      <c r="R6" s="1361">
        <f>R29+R52</f>
        <v/>
      </c>
      <c r="S6" s="1361">
        <f>S29+S52</f>
        <v/>
      </c>
      <c r="T6" s="1361">
        <f>T29+T52</f>
        <v/>
      </c>
      <c r="U6" s="1361">
        <f>U29+U52</f>
        <v/>
      </c>
      <c r="V6" s="1361">
        <f>V29+V52</f>
        <v/>
      </c>
      <c r="W6" s="1361">
        <f>W29+W52</f>
        <v/>
      </c>
      <c r="X6" s="1361">
        <f>X29+X52</f>
        <v/>
      </c>
      <c r="Y6" s="1361">
        <f>Y29+Y52</f>
        <v/>
      </c>
      <c r="Z6" s="1361">
        <f>Z29+Z52</f>
        <v/>
      </c>
      <c r="AA6" s="1361">
        <f>AA29+AA52</f>
        <v/>
      </c>
      <c r="AB6" s="1361">
        <f>AB29+AB52</f>
        <v/>
      </c>
      <c r="AC6" s="1362">
        <f>SUM(Q6:AB6)</f>
        <v/>
      </c>
      <c r="AD6" s="1363">
        <f>AD29+AD52</f>
        <v/>
      </c>
      <c r="AE6" s="1364">
        <f>AE29+AE52</f>
        <v/>
      </c>
      <c r="AF6" s="1364">
        <f>AF29+AF52</f>
        <v/>
      </c>
      <c r="AG6" s="1364">
        <f>AG29+AG52</f>
        <v/>
      </c>
      <c r="AH6" s="1364">
        <f>AH29+AH52</f>
        <v/>
      </c>
      <c r="AI6" s="1365">
        <f>AI29+AI52</f>
        <v/>
      </c>
      <c r="AJ6" s="1366">
        <f>AJ29+AJ52</f>
        <v/>
      </c>
      <c r="AK6" s="1367">
        <f>AK29+AK52</f>
        <v/>
      </c>
      <c r="AL6" s="1367">
        <f>AL29+AL52</f>
        <v/>
      </c>
      <c r="AM6" s="1367">
        <f>AM29+AM52</f>
        <v/>
      </c>
      <c r="AN6" s="1368">
        <f>AN29+AN52</f>
        <v/>
      </c>
      <c r="AO6" s="1366">
        <f>AO29+AO52</f>
        <v/>
      </c>
      <c r="AP6" s="1368">
        <f>AP29+AP52</f>
        <v/>
      </c>
      <c r="AQ6" s="1369">
        <f>AQ29+AQ52</f>
        <v/>
      </c>
      <c r="AR6" s="1369">
        <f>AR29+AR52</f>
        <v/>
      </c>
      <c r="AS6" s="1369">
        <f>AS29+AS52</f>
        <v/>
      </c>
      <c r="AT6" s="1369">
        <f>AT29+AT52</f>
        <v/>
      </c>
      <c r="AU6" s="1366">
        <f>AU29+AU52</f>
        <v/>
      </c>
      <c r="AV6" s="1367">
        <f>AV29+AV52</f>
        <v/>
      </c>
      <c r="AW6" s="1367">
        <f>AW29+AW52</f>
        <v/>
      </c>
      <c r="AX6" s="1367">
        <f>AX29+AX52</f>
        <v/>
      </c>
      <c r="AY6" s="1367">
        <f>AY29+AY52</f>
        <v/>
      </c>
      <c r="AZ6" s="1368">
        <f>AZ29+AZ52</f>
        <v/>
      </c>
      <c r="BA6" s="1370" t="n"/>
      <c r="BB6" s="1371" t="n"/>
      <c r="BC6" s="1371" t="n"/>
      <c r="BD6" s="1371" t="n"/>
      <c r="BE6" s="1371" t="n"/>
      <c r="BF6" s="1371" t="n"/>
      <c r="BG6" s="1372" t="n"/>
      <c r="BH6" s="1370" t="n"/>
      <c r="BI6" s="1371" t="n"/>
      <c r="BJ6" s="1371" t="n"/>
      <c r="BK6" s="1371" t="n"/>
      <c r="BL6" s="1371" t="n"/>
      <c r="BM6" s="1372" t="n"/>
      <c r="BN6" s="1370" t="n"/>
      <c r="BO6" s="1371" t="n"/>
      <c r="BP6" s="1371" t="n"/>
      <c r="BQ6" s="1371" t="n"/>
      <c r="BR6" s="1371" t="n"/>
      <c r="BS6" s="1372" t="n"/>
      <c r="BT6" s="1370" t="n"/>
      <c r="BU6" s="1371" t="n"/>
      <c r="BV6" s="1371" t="n"/>
      <c r="BW6" s="1371" t="n"/>
      <c r="BX6" s="1371" t="n"/>
      <c r="BY6" s="1371" t="n"/>
      <c r="BZ6" s="1372" t="n"/>
      <c r="CA6" s="1370" t="n"/>
      <c r="CB6" s="1371" t="n"/>
      <c r="CC6" s="1371" t="n"/>
      <c r="CD6" s="1371" t="n"/>
      <c r="CE6" s="1371" t="n"/>
      <c r="CF6" s="1372" t="n"/>
      <c r="CG6" s="1370" t="n"/>
      <c r="CH6" s="1371" t="n"/>
      <c r="CI6" s="1371" t="n"/>
      <c r="CJ6" s="1371" t="n"/>
      <c r="CK6" s="1371" t="n"/>
      <c r="CL6" s="1372" t="n"/>
      <c r="CM6" s="1370" t="n"/>
      <c r="CN6" s="1371" t="n"/>
      <c r="CO6" s="1371" t="n"/>
      <c r="CP6" s="1371" t="n"/>
      <c r="CQ6" s="1371" t="n"/>
      <c r="CR6" s="1372" t="n"/>
      <c r="CS6" s="1370" t="n"/>
      <c r="CT6" s="1371" t="n"/>
      <c r="CU6" s="1371" t="n"/>
      <c r="CV6" s="1373" t="n"/>
      <c r="CW6" s="1373" t="n"/>
      <c r="CX6" s="1374" t="n"/>
    </row>
    <row r="7" ht="16.5" customHeight="1" s="838">
      <c r="B7" s="756" t="n"/>
      <c r="C7" s="666" t="inlineStr">
        <is>
          <t>경시비</t>
        </is>
      </c>
      <c r="D7" s="1360">
        <f>D30+D53</f>
        <v/>
      </c>
      <c r="E7" s="1361">
        <f>E30+E53</f>
        <v/>
      </c>
      <c r="F7" s="1361">
        <f>F30+F53</f>
        <v/>
      </c>
      <c r="G7" s="1361">
        <f>G30+G53</f>
        <v/>
      </c>
      <c r="H7" s="1361">
        <f>H30+H53</f>
        <v/>
      </c>
      <c r="I7" s="1361">
        <f>I30+I53</f>
        <v/>
      </c>
      <c r="J7" s="1361">
        <f>J30+J53</f>
        <v/>
      </c>
      <c r="K7" s="1361">
        <f>K30+K53</f>
        <v/>
      </c>
      <c r="L7" s="1361">
        <f>L30+L53</f>
        <v/>
      </c>
      <c r="M7" s="1361">
        <f>M30+M53</f>
        <v/>
      </c>
      <c r="N7" s="1361">
        <f>N30+N53</f>
        <v/>
      </c>
      <c r="O7" s="1361">
        <f>O30+O53</f>
        <v/>
      </c>
      <c r="P7" s="1362">
        <f>SUM(D7:O7)</f>
        <v/>
      </c>
      <c r="Q7" s="1360">
        <f>Q30+Q53</f>
        <v/>
      </c>
      <c r="R7" s="1361">
        <f>R30+R53</f>
        <v/>
      </c>
      <c r="S7" s="1361">
        <f>S30+S53</f>
        <v/>
      </c>
      <c r="T7" s="1361">
        <f>T30+T53</f>
        <v/>
      </c>
      <c r="U7" s="1361">
        <f>U30+U53</f>
        <v/>
      </c>
      <c r="V7" s="1361">
        <f>V30+V53</f>
        <v/>
      </c>
      <c r="W7" s="1361">
        <f>W30+W53</f>
        <v/>
      </c>
      <c r="X7" s="1361">
        <f>X30+X53</f>
        <v/>
      </c>
      <c r="Y7" s="1361">
        <f>Y30+Y53</f>
        <v/>
      </c>
      <c r="Z7" s="1361">
        <f>Z30+Z53</f>
        <v/>
      </c>
      <c r="AA7" s="1361">
        <f>AA30+AA53</f>
        <v/>
      </c>
      <c r="AB7" s="1361">
        <f>AB30+AB53</f>
        <v/>
      </c>
      <c r="AC7" s="1362">
        <f>SUM(Q7:AB7)</f>
        <v/>
      </c>
      <c r="AD7" s="1363">
        <f>AD30+AD53</f>
        <v/>
      </c>
      <c r="AE7" s="1364">
        <f>AE30+AE53</f>
        <v/>
      </c>
      <c r="AF7" s="1364">
        <f>AF30+AF53</f>
        <v/>
      </c>
      <c r="AG7" s="1364">
        <f>AG30+AG53</f>
        <v/>
      </c>
      <c r="AH7" s="1364">
        <f>AH30+AH53</f>
        <v/>
      </c>
      <c r="AI7" s="1365">
        <f>AI30+AI53</f>
        <v/>
      </c>
      <c r="AJ7" s="1366">
        <f>AJ30+AJ53</f>
        <v/>
      </c>
      <c r="AK7" s="1367">
        <f>AK30+AK53</f>
        <v/>
      </c>
      <c r="AL7" s="1367">
        <f>AL30+AL53</f>
        <v/>
      </c>
      <c r="AM7" s="1367">
        <f>AM30+AM53</f>
        <v/>
      </c>
      <c r="AN7" s="1368">
        <f>AN30+AN53</f>
        <v/>
      </c>
      <c r="AO7" s="1366">
        <f>AO30+AO53</f>
        <v/>
      </c>
      <c r="AP7" s="1368">
        <f>AP30+AP53</f>
        <v/>
      </c>
      <c r="AQ7" s="1369">
        <f>AQ30+AQ53</f>
        <v/>
      </c>
      <c r="AR7" s="1369">
        <f>AR30+AR53</f>
        <v/>
      </c>
      <c r="AS7" s="1369">
        <f>AS30+AS53</f>
        <v/>
      </c>
      <c r="AT7" s="1369">
        <f>AT30+AT53</f>
        <v/>
      </c>
      <c r="AU7" s="1366">
        <f>AU30+AU53</f>
        <v/>
      </c>
      <c r="AV7" s="1367">
        <f>AV30+AV53</f>
        <v/>
      </c>
      <c r="AW7" s="1367">
        <f>AW30+AW53</f>
        <v/>
      </c>
      <c r="AX7" s="1367">
        <f>AX30+AX53</f>
        <v/>
      </c>
      <c r="AY7" s="1367">
        <f>AY30+AY53</f>
        <v/>
      </c>
      <c r="AZ7" s="1368">
        <f>AZ30+AZ53</f>
        <v/>
      </c>
      <c r="BA7" s="1370" t="n"/>
      <c r="BB7" s="1371" t="n"/>
      <c r="BC7" s="1371" t="n"/>
      <c r="BD7" s="1371" t="n"/>
      <c r="BE7" s="1371" t="n"/>
      <c r="BF7" s="1371" t="n"/>
      <c r="BG7" s="1372" t="n"/>
      <c r="BH7" s="1370" t="n"/>
      <c r="BI7" s="1371" t="n"/>
      <c r="BJ7" s="1371" t="n"/>
      <c r="BK7" s="1371" t="n"/>
      <c r="BL7" s="1371" t="n"/>
      <c r="BM7" s="1372" t="n"/>
      <c r="BN7" s="1370" t="n"/>
      <c r="BO7" s="1371" t="n"/>
      <c r="BP7" s="1371" t="n"/>
      <c r="BQ7" s="1371" t="n"/>
      <c r="BR7" s="1371" t="n"/>
      <c r="BS7" s="1372" t="n"/>
      <c r="BT7" s="1370" t="n"/>
      <c r="BU7" s="1371" t="n"/>
      <c r="BV7" s="1371" t="n"/>
      <c r="BW7" s="1371" t="n"/>
      <c r="BX7" s="1371" t="n"/>
      <c r="BY7" s="1371" t="n"/>
      <c r="BZ7" s="1372" t="n"/>
      <c r="CA7" s="1370" t="n"/>
      <c r="CB7" s="1371" t="n"/>
      <c r="CC7" s="1371" t="n"/>
      <c r="CD7" s="1371" t="n"/>
      <c r="CE7" s="1371" t="n"/>
      <c r="CF7" s="1372" t="n"/>
      <c r="CG7" s="1370" t="n"/>
      <c r="CH7" s="1371" t="n"/>
      <c r="CI7" s="1371" t="n"/>
      <c r="CJ7" s="1371" t="n"/>
      <c r="CK7" s="1371" t="n"/>
      <c r="CL7" s="1372" t="n"/>
      <c r="CM7" s="1370" t="n"/>
      <c r="CN7" s="1371" t="n"/>
      <c r="CO7" s="1371" t="n"/>
      <c r="CP7" s="1371" t="n"/>
      <c r="CQ7" s="1371" t="n"/>
      <c r="CR7" s="1372" t="n"/>
      <c r="CS7" s="1370" t="n"/>
      <c r="CT7" s="1371" t="n"/>
      <c r="CU7" s="1371" t="n"/>
      <c r="CV7" s="1373" t="n"/>
      <c r="CW7" s="1373" t="n"/>
      <c r="CX7" s="1374" t="n"/>
    </row>
    <row r="8" ht="16.5" customHeight="1" s="838">
      <c r="B8" s="756" t="n"/>
      <c r="C8" s="666" t="inlineStr">
        <is>
          <t>인건비</t>
        </is>
      </c>
      <c r="D8" s="1360">
        <f>D31+D54</f>
        <v/>
      </c>
      <c r="E8" s="1361">
        <f>E31+E54</f>
        <v/>
      </c>
      <c r="F8" s="1361">
        <f>F31+F54</f>
        <v/>
      </c>
      <c r="G8" s="1361">
        <f>G31+G54</f>
        <v/>
      </c>
      <c r="H8" s="1361">
        <f>H31+H54</f>
        <v/>
      </c>
      <c r="I8" s="1361">
        <f>I31+I54</f>
        <v/>
      </c>
      <c r="J8" s="1361">
        <f>J31+J54</f>
        <v/>
      </c>
      <c r="K8" s="1361">
        <f>K31+K54</f>
        <v/>
      </c>
      <c r="L8" s="1361">
        <f>L31+L54</f>
        <v/>
      </c>
      <c r="M8" s="1361">
        <f>M31+M54</f>
        <v/>
      </c>
      <c r="N8" s="1361">
        <f>N31+N54</f>
        <v/>
      </c>
      <c r="O8" s="1361">
        <f>O31+O54</f>
        <v/>
      </c>
      <c r="P8" s="1362">
        <f>SUM(D8:O8)</f>
        <v/>
      </c>
      <c r="Q8" s="1360">
        <f>Q31+Q54</f>
        <v/>
      </c>
      <c r="R8" s="1361">
        <f>R31+R54</f>
        <v/>
      </c>
      <c r="S8" s="1361">
        <f>S31+S54</f>
        <v/>
      </c>
      <c r="T8" s="1361">
        <f>T31+T54</f>
        <v/>
      </c>
      <c r="U8" s="1361">
        <f>U31+U54</f>
        <v/>
      </c>
      <c r="V8" s="1361">
        <f>V31+V54</f>
        <v/>
      </c>
      <c r="W8" s="1361">
        <f>W31+W54</f>
        <v/>
      </c>
      <c r="X8" s="1361">
        <f>X31+X54</f>
        <v/>
      </c>
      <c r="Y8" s="1361">
        <f>Y31+Y54</f>
        <v/>
      </c>
      <c r="Z8" s="1361">
        <f>Z31+Z54</f>
        <v/>
      </c>
      <c r="AA8" s="1361">
        <f>AA31+AA54</f>
        <v/>
      </c>
      <c r="AB8" s="1361">
        <f>AB31+AB54</f>
        <v/>
      </c>
      <c r="AC8" s="1362">
        <f>SUM(Q8:AB8)</f>
        <v/>
      </c>
      <c r="AD8" s="1363">
        <f>AD31+AD54</f>
        <v/>
      </c>
      <c r="AE8" s="1364">
        <f>AE31+AE54</f>
        <v/>
      </c>
      <c r="AF8" s="1364">
        <f>AF31+AF54</f>
        <v/>
      </c>
      <c r="AG8" s="1364">
        <f>AG31+AG54</f>
        <v/>
      </c>
      <c r="AH8" s="1364">
        <f>AH31+AH54</f>
        <v/>
      </c>
      <c r="AI8" s="1365">
        <f>AI31+AI54</f>
        <v/>
      </c>
      <c r="AJ8" s="1366">
        <f>AJ31+AJ54</f>
        <v/>
      </c>
      <c r="AK8" s="1367">
        <f>AK31+AK54</f>
        <v/>
      </c>
      <c r="AL8" s="1367">
        <f>AL31+AL54</f>
        <v/>
      </c>
      <c r="AM8" s="1367">
        <f>AM31+AM54</f>
        <v/>
      </c>
      <c r="AN8" s="1368">
        <f>AN31+AN54</f>
        <v/>
      </c>
      <c r="AO8" s="1366">
        <f>AO31+AO54</f>
        <v/>
      </c>
      <c r="AP8" s="1368">
        <f>AP31+AP54</f>
        <v/>
      </c>
      <c r="AQ8" s="1369">
        <f>AQ31+AQ54</f>
        <v/>
      </c>
      <c r="AR8" s="1369">
        <f>AR31+AR54</f>
        <v/>
      </c>
      <c r="AS8" s="1369">
        <f>AS31+AS54</f>
        <v/>
      </c>
      <c r="AT8" s="1369">
        <f>AT31+AT54</f>
        <v/>
      </c>
      <c r="AU8" s="1366">
        <f>AU31+AU54</f>
        <v/>
      </c>
      <c r="AV8" s="1367">
        <f>AV31+AV54</f>
        <v/>
      </c>
      <c r="AW8" s="1367">
        <f>AW31+AW54</f>
        <v/>
      </c>
      <c r="AX8" s="1367">
        <f>AX31+AX54</f>
        <v/>
      </c>
      <c r="AY8" s="1367">
        <f>AY31+AY54</f>
        <v/>
      </c>
      <c r="AZ8" s="1368">
        <f>AZ31+AZ54</f>
        <v/>
      </c>
      <c r="BA8" s="1370" t="n"/>
      <c r="BB8" s="1371" t="n"/>
      <c r="BC8" s="1371" t="n"/>
      <c r="BD8" s="1371" t="n"/>
      <c r="BE8" s="1371" t="n"/>
      <c r="BF8" s="1371" t="n"/>
      <c r="BG8" s="1372" t="n"/>
      <c r="BH8" s="1370" t="n"/>
      <c r="BI8" s="1371" t="n"/>
      <c r="BJ8" s="1371" t="n"/>
      <c r="BK8" s="1371" t="n"/>
      <c r="BL8" s="1371" t="n"/>
      <c r="BM8" s="1372" t="n"/>
      <c r="BN8" s="1370" t="n"/>
      <c r="BO8" s="1371" t="n"/>
      <c r="BP8" s="1371" t="n"/>
      <c r="BQ8" s="1371" t="n"/>
      <c r="BR8" s="1371" t="n"/>
      <c r="BS8" s="1372" t="n"/>
      <c r="BT8" s="1370" t="n"/>
      <c r="BU8" s="1371" t="n"/>
      <c r="BV8" s="1371" t="n"/>
      <c r="BW8" s="1371" t="n"/>
      <c r="BX8" s="1371" t="n"/>
      <c r="BY8" s="1371" t="n"/>
      <c r="BZ8" s="1372" t="n"/>
      <c r="CA8" s="1370" t="n"/>
      <c r="CB8" s="1371" t="n"/>
      <c r="CC8" s="1371" t="n"/>
      <c r="CD8" s="1371" t="n"/>
      <c r="CE8" s="1371" t="n"/>
      <c r="CF8" s="1372" t="n"/>
      <c r="CG8" s="1370" t="n"/>
      <c r="CH8" s="1371" t="n"/>
      <c r="CI8" s="1371" t="n"/>
      <c r="CJ8" s="1371" t="n"/>
      <c r="CK8" s="1371" t="n"/>
      <c r="CL8" s="1372" t="n"/>
      <c r="CM8" s="1370" t="n"/>
      <c r="CN8" s="1371" t="n"/>
      <c r="CO8" s="1371" t="n"/>
      <c r="CP8" s="1371" t="n"/>
      <c r="CQ8" s="1371" t="n"/>
      <c r="CR8" s="1372" t="n"/>
      <c r="CS8" s="1370" t="n"/>
      <c r="CT8" s="1371" t="n"/>
      <c r="CU8" s="1371" t="n"/>
      <c r="CV8" s="1373" t="n"/>
      <c r="CW8" s="1373" t="n"/>
      <c r="CX8" s="1374" t="n"/>
    </row>
    <row r="9" ht="16.5" customHeight="1" s="838">
      <c r="B9" s="756" t="n"/>
      <c r="C9" s="666" t="inlineStr">
        <is>
          <t>물류비</t>
        </is>
      </c>
      <c r="D9" s="1360">
        <f>D32+D55</f>
        <v/>
      </c>
      <c r="E9" s="1361">
        <f>E32+E55</f>
        <v/>
      </c>
      <c r="F9" s="1361">
        <f>F32+F55</f>
        <v/>
      </c>
      <c r="G9" s="1361">
        <f>G32+G55</f>
        <v/>
      </c>
      <c r="H9" s="1361">
        <f>H32+H55</f>
        <v/>
      </c>
      <c r="I9" s="1361">
        <f>I32+I55</f>
        <v/>
      </c>
      <c r="J9" s="1361">
        <f>J32+J55</f>
        <v/>
      </c>
      <c r="K9" s="1361">
        <f>K32+K55</f>
        <v/>
      </c>
      <c r="L9" s="1361">
        <f>L32+L55</f>
        <v/>
      </c>
      <c r="M9" s="1361">
        <f>M32+M55</f>
        <v/>
      </c>
      <c r="N9" s="1361">
        <f>N32+N55</f>
        <v/>
      </c>
      <c r="O9" s="1361">
        <f>O32+O55</f>
        <v/>
      </c>
      <c r="P9" s="1362">
        <f>SUM(D9:O9)</f>
        <v/>
      </c>
      <c r="Q9" s="1360">
        <f>Q32+Q55</f>
        <v/>
      </c>
      <c r="R9" s="1361">
        <f>R32+R55</f>
        <v/>
      </c>
      <c r="S9" s="1361">
        <f>S32+S55</f>
        <v/>
      </c>
      <c r="T9" s="1361">
        <f>T32+T55</f>
        <v/>
      </c>
      <c r="U9" s="1361">
        <f>U32+U55</f>
        <v/>
      </c>
      <c r="V9" s="1361">
        <f>V32+V55</f>
        <v/>
      </c>
      <c r="W9" s="1361">
        <f>W32+W55</f>
        <v/>
      </c>
      <c r="X9" s="1361">
        <f>X32+X55</f>
        <v/>
      </c>
      <c r="Y9" s="1361">
        <f>Y32+Y55</f>
        <v/>
      </c>
      <c r="Z9" s="1361">
        <f>Z32+Z55</f>
        <v/>
      </c>
      <c r="AA9" s="1361">
        <f>AA32+AA55</f>
        <v/>
      </c>
      <c r="AB9" s="1361">
        <f>AB32+AB55</f>
        <v/>
      </c>
      <c r="AC9" s="1362">
        <f>SUM(Q9:AB9)</f>
        <v/>
      </c>
      <c r="AD9" s="1363">
        <f>AD32+AD55</f>
        <v/>
      </c>
      <c r="AE9" s="1364">
        <f>AE32+AE55</f>
        <v/>
      </c>
      <c r="AF9" s="1364">
        <f>AF32+AF55</f>
        <v/>
      </c>
      <c r="AG9" s="1364">
        <f>AG32+AG55</f>
        <v/>
      </c>
      <c r="AH9" s="1364">
        <f>AH32+AH55</f>
        <v/>
      </c>
      <c r="AI9" s="1365">
        <f>AI32+AI55</f>
        <v/>
      </c>
      <c r="AJ9" s="1366">
        <f>AJ32+AJ55</f>
        <v/>
      </c>
      <c r="AK9" s="1367">
        <f>AK32+AK55</f>
        <v/>
      </c>
      <c r="AL9" s="1367">
        <f>AL32+AL55</f>
        <v/>
      </c>
      <c r="AM9" s="1367">
        <f>AM32+AM55</f>
        <v/>
      </c>
      <c r="AN9" s="1368">
        <f>AN32+AN55</f>
        <v/>
      </c>
      <c r="AO9" s="1366">
        <f>AO32+AO55</f>
        <v/>
      </c>
      <c r="AP9" s="1368">
        <f>AP32+AP55</f>
        <v/>
      </c>
      <c r="AQ9" s="1369">
        <f>AQ32+AQ55</f>
        <v/>
      </c>
      <c r="AR9" s="1369">
        <f>AR32+AR55</f>
        <v/>
      </c>
      <c r="AS9" s="1369">
        <f>AS32+AS55</f>
        <v/>
      </c>
      <c r="AT9" s="1369">
        <f>AT32+AT55</f>
        <v/>
      </c>
      <c r="AU9" s="1366">
        <f>AU32+AU55</f>
        <v/>
      </c>
      <c r="AV9" s="1367">
        <f>AV32+AV55</f>
        <v/>
      </c>
      <c r="AW9" s="1367">
        <f>AW32+AW55</f>
        <v/>
      </c>
      <c r="AX9" s="1367">
        <f>AX32+AX55</f>
        <v/>
      </c>
      <c r="AY9" s="1367">
        <f>AY32+AY55</f>
        <v/>
      </c>
      <c r="AZ9" s="1368">
        <f>AZ32+AZ55</f>
        <v/>
      </c>
      <c r="BA9" s="1370" t="n"/>
      <c r="BB9" s="1371" t="n"/>
      <c r="BC9" s="1371" t="n"/>
      <c r="BD9" s="1371" t="n"/>
      <c r="BE9" s="1371" t="n"/>
      <c r="BF9" s="1371" t="n"/>
      <c r="BG9" s="1372" t="n"/>
      <c r="BH9" s="1370" t="n"/>
      <c r="BI9" s="1371" t="n"/>
      <c r="BJ9" s="1371" t="n"/>
      <c r="BK9" s="1371" t="n"/>
      <c r="BL9" s="1371" t="n"/>
      <c r="BM9" s="1372" t="n"/>
      <c r="BN9" s="1370" t="n"/>
      <c r="BO9" s="1371" t="n"/>
      <c r="BP9" s="1371" t="n"/>
      <c r="BQ9" s="1371" t="n"/>
      <c r="BR9" s="1371" t="n"/>
      <c r="BS9" s="1372" t="n"/>
      <c r="BT9" s="1370" t="n"/>
      <c r="BU9" s="1371" t="n"/>
      <c r="BV9" s="1371" t="n"/>
      <c r="BW9" s="1371" t="n"/>
      <c r="BX9" s="1371" t="n"/>
      <c r="BY9" s="1371" t="n"/>
      <c r="BZ9" s="1372" t="n"/>
      <c r="CA9" s="1370" t="n"/>
      <c r="CB9" s="1371" t="n"/>
      <c r="CC9" s="1371" t="n"/>
      <c r="CD9" s="1371" t="n"/>
      <c r="CE9" s="1371" t="n"/>
      <c r="CF9" s="1372" t="n"/>
      <c r="CG9" s="1370" t="n"/>
      <c r="CH9" s="1371" t="n"/>
      <c r="CI9" s="1371" t="n"/>
      <c r="CJ9" s="1371" t="n"/>
      <c r="CK9" s="1371" t="n"/>
      <c r="CL9" s="1372" t="n"/>
      <c r="CM9" s="1370" t="n"/>
      <c r="CN9" s="1371" t="n"/>
      <c r="CO9" s="1371" t="n"/>
      <c r="CP9" s="1371" t="n"/>
      <c r="CQ9" s="1371" t="n"/>
      <c r="CR9" s="1372" t="n"/>
      <c r="CS9" s="1370" t="n"/>
      <c r="CT9" s="1371" t="n"/>
      <c r="CU9" s="1371" t="n"/>
      <c r="CV9" s="1373" t="n"/>
      <c r="CW9" s="1373" t="n"/>
      <c r="CX9" s="1374" t="n"/>
    </row>
    <row r="10" ht="16.5" customHeight="1" s="838">
      <c r="B10" s="756" t="n"/>
      <c r="C10" s="666" t="inlineStr">
        <is>
          <t>서비스비</t>
        </is>
      </c>
      <c r="D10" s="1360">
        <f>D33+D56</f>
        <v/>
      </c>
      <c r="E10" s="1361">
        <f>E33+E56</f>
        <v/>
      </c>
      <c r="F10" s="1361">
        <f>F33+F56</f>
        <v/>
      </c>
      <c r="G10" s="1361">
        <f>G33+G56</f>
        <v/>
      </c>
      <c r="H10" s="1361">
        <f>H33+H56</f>
        <v/>
      </c>
      <c r="I10" s="1361">
        <f>I33+I56</f>
        <v/>
      </c>
      <c r="J10" s="1361">
        <f>J33+J56</f>
        <v/>
      </c>
      <c r="K10" s="1361">
        <f>K33+K56</f>
        <v/>
      </c>
      <c r="L10" s="1361">
        <f>L33+L56</f>
        <v/>
      </c>
      <c r="M10" s="1361">
        <f>M33+M56</f>
        <v/>
      </c>
      <c r="N10" s="1361">
        <f>N33+N56</f>
        <v/>
      </c>
      <c r="O10" s="1361">
        <f>O33+O56</f>
        <v/>
      </c>
      <c r="P10" s="1362">
        <f>SUM(D10:O10)</f>
        <v/>
      </c>
      <c r="Q10" s="1360">
        <f>Q33+Q56</f>
        <v/>
      </c>
      <c r="R10" s="1361">
        <f>R33+R56</f>
        <v/>
      </c>
      <c r="S10" s="1361">
        <f>S33+S56</f>
        <v/>
      </c>
      <c r="T10" s="1361">
        <f>T33+T56</f>
        <v/>
      </c>
      <c r="U10" s="1361">
        <f>U33+U56</f>
        <v/>
      </c>
      <c r="V10" s="1361">
        <f>V33+V56</f>
        <v/>
      </c>
      <c r="W10" s="1361">
        <f>W33+W56</f>
        <v/>
      </c>
      <c r="X10" s="1361">
        <f>X33+X56</f>
        <v/>
      </c>
      <c r="Y10" s="1361">
        <f>Y33+Y56</f>
        <v/>
      </c>
      <c r="Z10" s="1361">
        <f>Z33+Z56</f>
        <v/>
      </c>
      <c r="AA10" s="1361">
        <f>AA33+AA56</f>
        <v/>
      </c>
      <c r="AB10" s="1361">
        <f>AB33+AB56</f>
        <v/>
      </c>
      <c r="AC10" s="1362">
        <f>SUM(Q10:AB10)</f>
        <v/>
      </c>
      <c r="AD10" s="1363">
        <f>AD33+AD56</f>
        <v/>
      </c>
      <c r="AE10" s="1364">
        <f>AE33+AE56</f>
        <v/>
      </c>
      <c r="AF10" s="1364">
        <f>AF33+AF56</f>
        <v/>
      </c>
      <c r="AG10" s="1364">
        <f>AG33+AG56</f>
        <v/>
      </c>
      <c r="AH10" s="1364">
        <f>AH33+AH56</f>
        <v/>
      </c>
      <c r="AI10" s="1365">
        <f>AI33+AI56</f>
        <v/>
      </c>
      <c r="AJ10" s="1366">
        <f>AJ33+AJ56</f>
        <v/>
      </c>
      <c r="AK10" s="1367">
        <f>AK33+AK56</f>
        <v/>
      </c>
      <c r="AL10" s="1367">
        <f>AL33+AL56</f>
        <v/>
      </c>
      <c r="AM10" s="1367">
        <f>AM33+AM56</f>
        <v/>
      </c>
      <c r="AN10" s="1368">
        <f>AN33+AN56</f>
        <v/>
      </c>
      <c r="AO10" s="1366">
        <f>AO33+AO56</f>
        <v/>
      </c>
      <c r="AP10" s="1368">
        <f>AP33+AP56</f>
        <v/>
      </c>
      <c r="AQ10" s="1369">
        <f>AQ33+AQ56</f>
        <v/>
      </c>
      <c r="AR10" s="1369">
        <f>AR33+AR56</f>
        <v/>
      </c>
      <c r="AS10" s="1369">
        <f>AS33+AS56</f>
        <v/>
      </c>
      <c r="AT10" s="1369">
        <f>AT33+AT56</f>
        <v/>
      </c>
      <c r="AU10" s="1366">
        <f>AU33+AU56</f>
        <v/>
      </c>
      <c r="AV10" s="1367">
        <f>AV33+AV56</f>
        <v/>
      </c>
      <c r="AW10" s="1367">
        <f>AW33+AW56</f>
        <v/>
      </c>
      <c r="AX10" s="1367">
        <f>AX33+AX56</f>
        <v/>
      </c>
      <c r="AY10" s="1367">
        <f>AY33+AY56</f>
        <v/>
      </c>
      <c r="AZ10" s="1368">
        <f>AZ33+AZ56</f>
        <v/>
      </c>
      <c r="BA10" s="1370" t="n"/>
      <c r="BB10" s="1371" t="n"/>
      <c r="BC10" s="1371" t="n"/>
      <c r="BD10" s="1371" t="n"/>
      <c r="BE10" s="1371" t="n"/>
      <c r="BF10" s="1371" t="n"/>
      <c r="BG10" s="1372" t="n"/>
      <c r="BH10" s="1370" t="n"/>
      <c r="BI10" s="1371" t="n"/>
      <c r="BJ10" s="1371" t="n"/>
      <c r="BK10" s="1371" t="n"/>
      <c r="BL10" s="1371" t="n"/>
      <c r="BM10" s="1372" t="n"/>
      <c r="BN10" s="1370" t="n"/>
      <c r="BO10" s="1371" t="n"/>
      <c r="BP10" s="1371" t="n"/>
      <c r="BQ10" s="1371" t="n"/>
      <c r="BR10" s="1371" t="n"/>
      <c r="BS10" s="1372" t="n"/>
      <c r="BT10" s="1370" t="n"/>
      <c r="BU10" s="1371" t="n"/>
      <c r="BV10" s="1371" t="n"/>
      <c r="BW10" s="1371" t="n"/>
      <c r="BX10" s="1371" t="n"/>
      <c r="BY10" s="1371" t="n"/>
      <c r="BZ10" s="1372" t="n"/>
      <c r="CA10" s="1370" t="n"/>
      <c r="CB10" s="1371" t="n"/>
      <c r="CC10" s="1371" t="n"/>
      <c r="CD10" s="1371" t="n"/>
      <c r="CE10" s="1371" t="n"/>
      <c r="CF10" s="1372" t="n"/>
      <c r="CG10" s="1370" t="n"/>
      <c r="CH10" s="1371" t="n"/>
      <c r="CI10" s="1371" t="n"/>
      <c r="CJ10" s="1371" t="n"/>
      <c r="CK10" s="1371" t="n"/>
      <c r="CL10" s="1372" t="n"/>
      <c r="CM10" s="1370" t="n"/>
      <c r="CN10" s="1371" t="n"/>
      <c r="CO10" s="1371" t="n"/>
      <c r="CP10" s="1371" t="n"/>
      <c r="CQ10" s="1371" t="n"/>
      <c r="CR10" s="1372" t="n"/>
      <c r="CS10" s="1370" t="n"/>
      <c r="CT10" s="1371" t="n"/>
      <c r="CU10" s="1371" t="n"/>
      <c r="CV10" s="1373" t="n"/>
      <c r="CW10" s="1373" t="n"/>
      <c r="CX10" s="1374" t="n"/>
    </row>
    <row r="11" ht="16.5" customHeight="1" s="838">
      <c r="B11" s="756" t="n"/>
      <c r="C11" s="666" t="inlineStr">
        <is>
          <t>지급수수료</t>
        </is>
      </c>
      <c r="D11" s="1360">
        <f>D34+D57</f>
        <v/>
      </c>
      <c r="E11" s="1361">
        <f>E34+E57</f>
        <v/>
      </c>
      <c r="F11" s="1361">
        <f>F34+F57</f>
        <v/>
      </c>
      <c r="G11" s="1361">
        <f>G34+G57</f>
        <v/>
      </c>
      <c r="H11" s="1361">
        <f>H34+H57</f>
        <v/>
      </c>
      <c r="I11" s="1361">
        <f>I34+I57</f>
        <v/>
      </c>
      <c r="J11" s="1361">
        <f>J34+J57</f>
        <v/>
      </c>
      <c r="K11" s="1361">
        <f>K34+K57</f>
        <v/>
      </c>
      <c r="L11" s="1361">
        <f>L34+L57</f>
        <v/>
      </c>
      <c r="M11" s="1361">
        <f>M34+M57</f>
        <v/>
      </c>
      <c r="N11" s="1361">
        <f>N34+N57</f>
        <v/>
      </c>
      <c r="O11" s="1361">
        <f>O34+O57</f>
        <v/>
      </c>
      <c r="P11" s="1362">
        <f>SUM(D11:O11)</f>
        <v/>
      </c>
      <c r="Q11" s="1360">
        <f>Q34+Q57</f>
        <v/>
      </c>
      <c r="R11" s="1361">
        <f>R34+R57</f>
        <v/>
      </c>
      <c r="S11" s="1361">
        <f>S34+S57</f>
        <v/>
      </c>
      <c r="T11" s="1361">
        <f>T34+T57</f>
        <v/>
      </c>
      <c r="U11" s="1361">
        <f>U34+U57</f>
        <v/>
      </c>
      <c r="V11" s="1361">
        <f>V34+V57</f>
        <v/>
      </c>
      <c r="W11" s="1361">
        <f>W34+W57</f>
        <v/>
      </c>
      <c r="X11" s="1361">
        <f>X34+X57</f>
        <v/>
      </c>
      <c r="Y11" s="1361">
        <f>Y34+Y57</f>
        <v/>
      </c>
      <c r="Z11" s="1361">
        <f>Z34+Z57</f>
        <v/>
      </c>
      <c r="AA11" s="1361">
        <f>AA34+AA57</f>
        <v/>
      </c>
      <c r="AB11" s="1361">
        <f>AB34+AB57</f>
        <v/>
      </c>
      <c r="AC11" s="1362">
        <f>SUM(Q11:AB11)</f>
        <v/>
      </c>
      <c r="AD11" s="1363">
        <f>AD34+AD57</f>
        <v/>
      </c>
      <c r="AE11" s="1364">
        <f>AE34+AE57</f>
        <v/>
      </c>
      <c r="AF11" s="1364">
        <f>AF34+AF57</f>
        <v/>
      </c>
      <c r="AG11" s="1364">
        <f>AG34+AG57</f>
        <v/>
      </c>
      <c r="AH11" s="1364">
        <f>AH34+AH57</f>
        <v/>
      </c>
      <c r="AI11" s="1365">
        <f>AI34+AI57</f>
        <v/>
      </c>
      <c r="AJ11" s="1366">
        <f>AJ34+AJ57</f>
        <v/>
      </c>
      <c r="AK11" s="1367">
        <f>AK34+AK57</f>
        <v/>
      </c>
      <c r="AL11" s="1367">
        <f>AL34+AL57</f>
        <v/>
      </c>
      <c r="AM11" s="1367">
        <f>AM34+AM57</f>
        <v/>
      </c>
      <c r="AN11" s="1368">
        <f>AN34+AN57</f>
        <v/>
      </c>
      <c r="AO11" s="1366">
        <f>AO34+AO57</f>
        <v/>
      </c>
      <c r="AP11" s="1368">
        <f>AP34+AP57</f>
        <v/>
      </c>
      <c r="AQ11" s="1369">
        <f>AQ34+AQ57</f>
        <v/>
      </c>
      <c r="AR11" s="1369">
        <f>AR34+AR57</f>
        <v/>
      </c>
      <c r="AS11" s="1369">
        <f>AS34+AS57</f>
        <v/>
      </c>
      <c r="AT11" s="1369">
        <f>AT34+AT57</f>
        <v/>
      </c>
      <c r="AU11" s="1366">
        <f>AU34+AU57</f>
        <v/>
      </c>
      <c r="AV11" s="1367">
        <f>AV34+AV57</f>
        <v/>
      </c>
      <c r="AW11" s="1367">
        <f>AW34+AW57</f>
        <v/>
      </c>
      <c r="AX11" s="1367">
        <f>AX34+AX57</f>
        <v/>
      </c>
      <c r="AY11" s="1367">
        <f>AY34+AY57</f>
        <v/>
      </c>
      <c r="AZ11" s="1368">
        <f>AZ34+AZ57</f>
        <v/>
      </c>
      <c r="BA11" s="1370" t="n"/>
      <c r="BB11" s="1371" t="n"/>
      <c r="BC11" s="1371" t="n"/>
      <c r="BD11" s="1371" t="n"/>
      <c r="BE11" s="1371" t="n"/>
      <c r="BF11" s="1371" t="n"/>
      <c r="BG11" s="1372" t="n"/>
      <c r="BH11" s="1370" t="n"/>
      <c r="BI11" s="1371" t="n"/>
      <c r="BJ11" s="1371" t="n"/>
      <c r="BK11" s="1371" t="n"/>
      <c r="BL11" s="1371" t="n"/>
      <c r="BM11" s="1372" t="n"/>
      <c r="BN11" s="1370" t="n"/>
      <c r="BO11" s="1371" t="n"/>
      <c r="BP11" s="1371" t="n"/>
      <c r="BQ11" s="1371" t="n"/>
      <c r="BR11" s="1371" t="n"/>
      <c r="BS11" s="1372" t="n"/>
      <c r="BT11" s="1370" t="n"/>
      <c r="BU11" s="1371" t="n"/>
      <c r="BV11" s="1371" t="n"/>
      <c r="BW11" s="1371" t="n"/>
      <c r="BX11" s="1371" t="n"/>
      <c r="BY11" s="1371" t="n"/>
      <c r="BZ11" s="1372" t="n"/>
      <c r="CA11" s="1370" t="n"/>
      <c r="CB11" s="1371" t="n"/>
      <c r="CC11" s="1371" t="n"/>
      <c r="CD11" s="1371" t="n"/>
      <c r="CE11" s="1371" t="n"/>
      <c r="CF11" s="1372" t="n"/>
      <c r="CG11" s="1370" t="n"/>
      <c r="CH11" s="1371" t="n"/>
      <c r="CI11" s="1371" t="n"/>
      <c r="CJ11" s="1371" t="n"/>
      <c r="CK11" s="1371" t="n"/>
      <c r="CL11" s="1372" t="n"/>
      <c r="CM11" s="1370" t="n"/>
      <c r="CN11" s="1371" t="n"/>
      <c r="CO11" s="1371" t="n"/>
      <c r="CP11" s="1371" t="n"/>
      <c r="CQ11" s="1371" t="n"/>
      <c r="CR11" s="1372" t="n"/>
      <c r="CS11" s="1370" t="n"/>
      <c r="CT11" s="1371" t="n"/>
      <c r="CU11" s="1371" t="n"/>
      <c r="CV11" s="1373" t="n"/>
      <c r="CW11" s="1373" t="n"/>
      <c r="CX11" s="1374" t="n"/>
    </row>
    <row r="12" ht="16.5" customHeight="1" s="838">
      <c r="B12" s="756" t="n"/>
      <c r="C12" s="666" t="inlineStr">
        <is>
          <t>감가상각비</t>
        </is>
      </c>
      <c r="D12" s="1360">
        <f>D35+D58</f>
        <v/>
      </c>
      <c r="E12" s="1361">
        <f>E35+E58</f>
        <v/>
      </c>
      <c r="F12" s="1361">
        <f>F35+F58</f>
        <v/>
      </c>
      <c r="G12" s="1361">
        <f>G35+G58</f>
        <v/>
      </c>
      <c r="H12" s="1361">
        <f>H35+H58</f>
        <v/>
      </c>
      <c r="I12" s="1361">
        <f>I35+I58</f>
        <v/>
      </c>
      <c r="J12" s="1361">
        <f>J35+J58</f>
        <v/>
      </c>
      <c r="K12" s="1361">
        <f>K35+K58</f>
        <v/>
      </c>
      <c r="L12" s="1361">
        <f>L35+L58</f>
        <v/>
      </c>
      <c r="M12" s="1361">
        <f>M35+M58</f>
        <v/>
      </c>
      <c r="N12" s="1361">
        <f>N35+N58</f>
        <v/>
      </c>
      <c r="O12" s="1361">
        <f>O35+O58</f>
        <v/>
      </c>
      <c r="P12" s="1362">
        <f>SUM(D12:O12)</f>
        <v/>
      </c>
      <c r="Q12" s="1360">
        <f>Q35+Q58</f>
        <v/>
      </c>
      <c r="R12" s="1361">
        <f>R35+R58</f>
        <v/>
      </c>
      <c r="S12" s="1361">
        <f>S35+S58</f>
        <v/>
      </c>
      <c r="T12" s="1361">
        <f>T35+T58</f>
        <v/>
      </c>
      <c r="U12" s="1361">
        <f>U35+U58</f>
        <v/>
      </c>
      <c r="V12" s="1361">
        <f>V35+V58</f>
        <v/>
      </c>
      <c r="W12" s="1361">
        <f>W35+W58</f>
        <v/>
      </c>
      <c r="X12" s="1361">
        <f>X35+X58</f>
        <v/>
      </c>
      <c r="Y12" s="1361">
        <f>Y35+Y58</f>
        <v/>
      </c>
      <c r="Z12" s="1361">
        <f>Z35+Z58</f>
        <v/>
      </c>
      <c r="AA12" s="1361">
        <f>AA35+AA58</f>
        <v/>
      </c>
      <c r="AB12" s="1361">
        <f>AB35+AB58</f>
        <v/>
      </c>
      <c r="AC12" s="1362">
        <f>SUM(Q12:AB12)</f>
        <v/>
      </c>
      <c r="AD12" s="1363">
        <f>AD35+AD58</f>
        <v/>
      </c>
      <c r="AE12" s="1364">
        <f>AE35+AE58</f>
        <v/>
      </c>
      <c r="AF12" s="1364">
        <f>AF35+AF58</f>
        <v/>
      </c>
      <c r="AG12" s="1364">
        <f>AG35+AG58</f>
        <v/>
      </c>
      <c r="AH12" s="1364">
        <f>AH35+AH58</f>
        <v/>
      </c>
      <c r="AI12" s="1365">
        <f>AI35+AI58</f>
        <v/>
      </c>
      <c r="AJ12" s="1366">
        <f>AJ35+AJ58</f>
        <v/>
      </c>
      <c r="AK12" s="1367">
        <f>AK35+AK58</f>
        <v/>
      </c>
      <c r="AL12" s="1367">
        <f>AL35+AL58</f>
        <v/>
      </c>
      <c r="AM12" s="1367">
        <f>AM35+AM58</f>
        <v/>
      </c>
      <c r="AN12" s="1368">
        <f>AN35+AN58</f>
        <v/>
      </c>
      <c r="AO12" s="1366">
        <f>AO35+AO58</f>
        <v/>
      </c>
      <c r="AP12" s="1368">
        <f>AP35+AP58</f>
        <v/>
      </c>
      <c r="AQ12" s="1369">
        <f>AQ35+AQ58</f>
        <v/>
      </c>
      <c r="AR12" s="1369">
        <f>AR35+AR58</f>
        <v/>
      </c>
      <c r="AS12" s="1369">
        <f>AS35+AS58</f>
        <v/>
      </c>
      <c r="AT12" s="1369">
        <f>AT35+AT58</f>
        <v/>
      </c>
      <c r="AU12" s="1366">
        <f>AU35+AU58</f>
        <v/>
      </c>
      <c r="AV12" s="1367">
        <f>AV35+AV58</f>
        <v/>
      </c>
      <c r="AW12" s="1367">
        <f>AW35+AW58</f>
        <v/>
      </c>
      <c r="AX12" s="1367">
        <f>AX35+AX58</f>
        <v/>
      </c>
      <c r="AY12" s="1367">
        <f>AY35+AY58</f>
        <v/>
      </c>
      <c r="AZ12" s="1368">
        <f>AZ35+AZ58</f>
        <v/>
      </c>
      <c r="BA12" s="1370" t="n"/>
      <c r="BB12" s="1371" t="n"/>
      <c r="BC12" s="1371" t="n"/>
      <c r="BD12" s="1371" t="n"/>
      <c r="BE12" s="1371" t="n"/>
      <c r="BF12" s="1371" t="n"/>
      <c r="BG12" s="1372" t="n"/>
      <c r="BH12" s="1370" t="n"/>
      <c r="BI12" s="1371" t="n"/>
      <c r="BJ12" s="1371" t="n"/>
      <c r="BK12" s="1371" t="n"/>
      <c r="BL12" s="1371" t="n"/>
      <c r="BM12" s="1372" t="n"/>
      <c r="BN12" s="1370" t="n"/>
      <c r="BO12" s="1371" t="n"/>
      <c r="BP12" s="1371" t="n"/>
      <c r="BQ12" s="1371" t="n"/>
      <c r="BR12" s="1371" t="n"/>
      <c r="BS12" s="1372" t="n"/>
      <c r="BT12" s="1370" t="n"/>
      <c r="BU12" s="1371" t="n"/>
      <c r="BV12" s="1371" t="n"/>
      <c r="BW12" s="1371" t="n"/>
      <c r="BX12" s="1371" t="n"/>
      <c r="BY12" s="1371" t="n"/>
      <c r="BZ12" s="1372" t="n"/>
      <c r="CA12" s="1370" t="n"/>
      <c r="CB12" s="1371" t="n"/>
      <c r="CC12" s="1371" t="n"/>
      <c r="CD12" s="1371" t="n"/>
      <c r="CE12" s="1371" t="n"/>
      <c r="CF12" s="1372" t="n"/>
      <c r="CG12" s="1370" t="n"/>
      <c r="CH12" s="1371" t="n"/>
      <c r="CI12" s="1371" t="n"/>
      <c r="CJ12" s="1371" t="n"/>
      <c r="CK12" s="1371" t="n"/>
      <c r="CL12" s="1372" t="n"/>
      <c r="CM12" s="1370" t="n"/>
      <c r="CN12" s="1371" t="n"/>
      <c r="CO12" s="1371" t="n"/>
      <c r="CP12" s="1371" t="n"/>
      <c r="CQ12" s="1371" t="n"/>
      <c r="CR12" s="1372" t="n"/>
      <c r="CS12" s="1370" t="n"/>
      <c r="CT12" s="1371" t="n"/>
      <c r="CU12" s="1371" t="n"/>
      <c r="CV12" s="1373" t="n"/>
      <c r="CW12" s="1373" t="n"/>
      <c r="CX12" s="1374" t="n"/>
    </row>
    <row r="13" ht="16.5" customHeight="1" s="838">
      <c r="B13" s="756" t="n"/>
      <c r="C13" s="666" t="inlineStr">
        <is>
          <t>로열티</t>
        </is>
      </c>
      <c r="D13" s="1360">
        <f>D36+D59</f>
        <v/>
      </c>
      <c r="E13" s="1361">
        <f>E36+E59</f>
        <v/>
      </c>
      <c r="F13" s="1361">
        <f>F36+F59</f>
        <v/>
      </c>
      <c r="G13" s="1361">
        <f>G36+G59</f>
        <v/>
      </c>
      <c r="H13" s="1361">
        <f>H36+H59</f>
        <v/>
      </c>
      <c r="I13" s="1361">
        <f>I36+I59</f>
        <v/>
      </c>
      <c r="J13" s="1361">
        <f>J36+J59</f>
        <v/>
      </c>
      <c r="K13" s="1361">
        <f>K36+K59</f>
        <v/>
      </c>
      <c r="L13" s="1361">
        <f>L36+L59</f>
        <v/>
      </c>
      <c r="M13" s="1361">
        <f>M36+M59</f>
        <v/>
      </c>
      <c r="N13" s="1361">
        <f>N36+N59</f>
        <v/>
      </c>
      <c r="O13" s="1361">
        <f>O36+O59</f>
        <v/>
      </c>
      <c r="P13" s="1362">
        <f>SUM(D13:O13)</f>
        <v/>
      </c>
      <c r="Q13" s="1360">
        <f>Q36+Q59</f>
        <v/>
      </c>
      <c r="R13" s="1361">
        <f>R36+R59</f>
        <v/>
      </c>
      <c r="S13" s="1361">
        <f>S36+S59</f>
        <v/>
      </c>
      <c r="T13" s="1361">
        <f>T36+T59</f>
        <v/>
      </c>
      <c r="U13" s="1361">
        <f>U36+U59</f>
        <v/>
      </c>
      <c r="V13" s="1361">
        <f>V36+V59</f>
        <v/>
      </c>
      <c r="W13" s="1361">
        <f>W36+W59</f>
        <v/>
      </c>
      <c r="X13" s="1361">
        <f>X36+X59</f>
        <v/>
      </c>
      <c r="Y13" s="1361">
        <f>Y36+Y59</f>
        <v/>
      </c>
      <c r="Z13" s="1361">
        <f>Z36+Z59</f>
        <v/>
      </c>
      <c r="AA13" s="1361">
        <f>AA36+AA59</f>
        <v/>
      </c>
      <c r="AB13" s="1361">
        <f>AB36+AB59</f>
        <v/>
      </c>
      <c r="AC13" s="1362">
        <f>SUM(Q13:AB13)</f>
        <v/>
      </c>
      <c r="AD13" s="1363">
        <f>AD36+AD59</f>
        <v/>
      </c>
      <c r="AE13" s="1364">
        <f>AE36+AE59</f>
        <v/>
      </c>
      <c r="AF13" s="1364">
        <f>AF36+AF59</f>
        <v/>
      </c>
      <c r="AG13" s="1364">
        <f>AG36+AG59</f>
        <v/>
      </c>
      <c r="AH13" s="1364">
        <f>AH36+AH59</f>
        <v/>
      </c>
      <c r="AI13" s="1365">
        <f>AI36+AI59</f>
        <v/>
      </c>
      <c r="AJ13" s="1366">
        <f>AJ36+AJ59</f>
        <v/>
      </c>
      <c r="AK13" s="1367">
        <f>AK36+AK59</f>
        <v/>
      </c>
      <c r="AL13" s="1367">
        <f>AL36+AL59</f>
        <v/>
      </c>
      <c r="AM13" s="1367">
        <f>AM36+AM59</f>
        <v/>
      </c>
      <c r="AN13" s="1368">
        <f>AN36+AN59</f>
        <v/>
      </c>
      <c r="AO13" s="1366">
        <f>AO36+AO59</f>
        <v/>
      </c>
      <c r="AP13" s="1368">
        <f>AP36+AP59</f>
        <v/>
      </c>
      <c r="AQ13" s="1369">
        <f>AQ36+AQ59</f>
        <v/>
      </c>
      <c r="AR13" s="1369">
        <f>AR36+AR59</f>
        <v/>
      </c>
      <c r="AS13" s="1369">
        <f>AS36+AS59</f>
        <v/>
      </c>
      <c r="AT13" s="1369">
        <f>AT36+AT59</f>
        <v/>
      </c>
      <c r="AU13" s="1366">
        <f>AU36+AU59</f>
        <v/>
      </c>
      <c r="AV13" s="1367">
        <f>AV36+AV59</f>
        <v/>
      </c>
      <c r="AW13" s="1367">
        <f>AW36+AW59</f>
        <v/>
      </c>
      <c r="AX13" s="1367">
        <f>AX36+AX59</f>
        <v/>
      </c>
      <c r="AY13" s="1367">
        <f>AY36+AY59</f>
        <v/>
      </c>
      <c r="AZ13" s="1368">
        <f>AZ36+AZ59</f>
        <v/>
      </c>
      <c r="BA13" s="1370" t="n"/>
      <c r="BB13" s="1371" t="n"/>
      <c r="BC13" s="1371" t="n"/>
      <c r="BD13" s="1371" t="n"/>
      <c r="BE13" s="1371" t="n"/>
      <c r="BF13" s="1371" t="n"/>
      <c r="BG13" s="1372" t="n"/>
      <c r="BH13" s="1370" t="n"/>
      <c r="BI13" s="1371" t="n"/>
      <c r="BJ13" s="1371" t="n"/>
      <c r="BK13" s="1371" t="n"/>
      <c r="BL13" s="1371" t="n"/>
      <c r="BM13" s="1372" t="n"/>
      <c r="BN13" s="1370" t="n"/>
      <c r="BO13" s="1371" t="n"/>
      <c r="BP13" s="1371" t="n"/>
      <c r="BQ13" s="1371" t="n"/>
      <c r="BR13" s="1371" t="n"/>
      <c r="BS13" s="1372" t="n"/>
      <c r="BT13" s="1370" t="n"/>
      <c r="BU13" s="1371" t="n"/>
      <c r="BV13" s="1371" t="n"/>
      <c r="BW13" s="1371" t="n"/>
      <c r="BX13" s="1371" t="n"/>
      <c r="BY13" s="1371" t="n"/>
      <c r="BZ13" s="1372" t="n"/>
      <c r="CA13" s="1370" t="n"/>
      <c r="CB13" s="1371" t="n"/>
      <c r="CC13" s="1371" t="n"/>
      <c r="CD13" s="1371" t="n"/>
      <c r="CE13" s="1371" t="n"/>
      <c r="CF13" s="1372" t="n"/>
      <c r="CG13" s="1370" t="n"/>
      <c r="CH13" s="1371" t="n"/>
      <c r="CI13" s="1371" t="n"/>
      <c r="CJ13" s="1371" t="n"/>
      <c r="CK13" s="1371" t="n"/>
      <c r="CL13" s="1372" t="n"/>
      <c r="CM13" s="1370" t="n"/>
      <c r="CN13" s="1371" t="n"/>
      <c r="CO13" s="1371" t="n"/>
      <c r="CP13" s="1371" t="n"/>
      <c r="CQ13" s="1371" t="n"/>
      <c r="CR13" s="1372" t="n"/>
      <c r="CS13" s="1370" t="n"/>
      <c r="CT13" s="1371" t="n"/>
      <c r="CU13" s="1371" t="n"/>
      <c r="CV13" s="1373" t="n"/>
      <c r="CW13" s="1373" t="n"/>
      <c r="CX13" s="1374" t="n"/>
    </row>
    <row r="14" ht="16.5" customHeight="1" s="838">
      <c r="B14" s="756" t="n"/>
      <c r="C14" s="666" t="inlineStr">
        <is>
          <t>소모품비</t>
        </is>
      </c>
      <c r="D14" s="1360">
        <f>D37+D60</f>
        <v/>
      </c>
      <c r="E14" s="1361">
        <f>E37+E60</f>
        <v/>
      </c>
      <c r="F14" s="1361">
        <f>F37+F60</f>
        <v/>
      </c>
      <c r="G14" s="1361">
        <f>G37+G60</f>
        <v/>
      </c>
      <c r="H14" s="1361">
        <f>H37+H60</f>
        <v/>
      </c>
      <c r="I14" s="1361">
        <f>I37+I60</f>
        <v/>
      </c>
      <c r="J14" s="1361">
        <f>J37+J60</f>
        <v/>
      </c>
      <c r="K14" s="1361">
        <f>K37+K60</f>
        <v/>
      </c>
      <c r="L14" s="1361">
        <f>L37+L60</f>
        <v/>
      </c>
      <c r="M14" s="1361">
        <f>M37+M60</f>
        <v/>
      </c>
      <c r="N14" s="1361">
        <f>N37+N60</f>
        <v/>
      </c>
      <c r="O14" s="1361">
        <f>O37+O60</f>
        <v/>
      </c>
      <c r="P14" s="1362">
        <f>SUM(D14:O14)</f>
        <v/>
      </c>
      <c r="Q14" s="1360">
        <f>Q37+Q60</f>
        <v/>
      </c>
      <c r="R14" s="1361">
        <f>R37+R60</f>
        <v/>
      </c>
      <c r="S14" s="1361">
        <f>S37+S60</f>
        <v/>
      </c>
      <c r="T14" s="1361">
        <f>T37+T60</f>
        <v/>
      </c>
      <c r="U14" s="1361">
        <f>U37+U60</f>
        <v/>
      </c>
      <c r="V14" s="1361">
        <f>V37+V60</f>
        <v/>
      </c>
      <c r="W14" s="1361">
        <f>W37+W60</f>
        <v/>
      </c>
      <c r="X14" s="1361">
        <f>X37+X60</f>
        <v/>
      </c>
      <c r="Y14" s="1361">
        <f>Y37+Y60</f>
        <v/>
      </c>
      <c r="Z14" s="1361">
        <f>Z37+Z60</f>
        <v/>
      </c>
      <c r="AA14" s="1361">
        <f>AA37+AA60</f>
        <v/>
      </c>
      <c r="AB14" s="1361">
        <f>AB37+AB60</f>
        <v/>
      </c>
      <c r="AC14" s="1362">
        <f>SUM(Q14:AB14)</f>
        <v/>
      </c>
      <c r="AD14" s="1363">
        <f>AD37+AD60</f>
        <v/>
      </c>
      <c r="AE14" s="1364">
        <f>AE37+AE60</f>
        <v/>
      </c>
      <c r="AF14" s="1364">
        <f>AF37+AF60</f>
        <v/>
      </c>
      <c r="AG14" s="1364">
        <f>AG37+AG60</f>
        <v/>
      </c>
      <c r="AH14" s="1364">
        <f>AH37+AH60</f>
        <v/>
      </c>
      <c r="AI14" s="1365">
        <f>AI37+AI60</f>
        <v/>
      </c>
      <c r="AJ14" s="1366">
        <f>AJ37+AJ60</f>
        <v/>
      </c>
      <c r="AK14" s="1367">
        <f>AK37+AK60</f>
        <v/>
      </c>
      <c r="AL14" s="1367">
        <f>AL37+AL60</f>
        <v/>
      </c>
      <c r="AM14" s="1367">
        <f>AM37+AM60</f>
        <v/>
      </c>
      <c r="AN14" s="1368">
        <f>AN37+AN60</f>
        <v/>
      </c>
      <c r="AO14" s="1366">
        <f>AO37+AO60</f>
        <v/>
      </c>
      <c r="AP14" s="1368">
        <f>AP37+AP60</f>
        <v/>
      </c>
      <c r="AQ14" s="1369">
        <f>AQ37+AQ60</f>
        <v/>
      </c>
      <c r="AR14" s="1369">
        <f>AR37+AR60</f>
        <v/>
      </c>
      <c r="AS14" s="1369">
        <f>AS37+AS60</f>
        <v/>
      </c>
      <c r="AT14" s="1369">
        <f>AT37+AT60</f>
        <v/>
      </c>
      <c r="AU14" s="1366">
        <f>AU37+AU60</f>
        <v/>
      </c>
      <c r="AV14" s="1367">
        <f>AV37+AV60</f>
        <v/>
      </c>
      <c r="AW14" s="1367">
        <f>AW37+AW60</f>
        <v/>
      </c>
      <c r="AX14" s="1367">
        <f>AX37+AX60</f>
        <v/>
      </c>
      <c r="AY14" s="1367">
        <f>AY37+AY60</f>
        <v/>
      </c>
      <c r="AZ14" s="1368">
        <f>AZ37+AZ60</f>
        <v/>
      </c>
      <c r="BA14" s="1370" t="n"/>
      <c r="BB14" s="1371" t="n"/>
      <c r="BC14" s="1371" t="n"/>
      <c r="BD14" s="1371" t="n"/>
      <c r="BE14" s="1371" t="n"/>
      <c r="BF14" s="1371" t="n"/>
      <c r="BG14" s="1372" t="n"/>
      <c r="BH14" s="1370" t="n"/>
      <c r="BI14" s="1371" t="n"/>
      <c r="BJ14" s="1371" t="n"/>
      <c r="BK14" s="1371" t="n"/>
      <c r="BL14" s="1371" t="n"/>
      <c r="BM14" s="1372" t="n"/>
      <c r="BN14" s="1370" t="n"/>
      <c r="BO14" s="1371" t="n"/>
      <c r="BP14" s="1371" t="n"/>
      <c r="BQ14" s="1371" t="n"/>
      <c r="BR14" s="1371" t="n"/>
      <c r="BS14" s="1372" t="n"/>
      <c r="BT14" s="1370" t="n"/>
      <c r="BU14" s="1371" t="n"/>
      <c r="BV14" s="1371" t="n"/>
      <c r="BW14" s="1371" t="n"/>
      <c r="BX14" s="1371" t="n"/>
      <c r="BY14" s="1371" t="n"/>
      <c r="BZ14" s="1372" t="n"/>
      <c r="CA14" s="1370" t="n"/>
      <c r="CB14" s="1371" t="n"/>
      <c r="CC14" s="1371" t="n"/>
      <c r="CD14" s="1371" t="n"/>
      <c r="CE14" s="1371" t="n"/>
      <c r="CF14" s="1372" t="n"/>
      <c r="CG14" s="1370" t="n"/>
      <c r="CH14" s="1371" t="n"/>
      <c r="CI14" s="1371" t="n"/>
      <c r="CJ14" s="1371" t="n"/>
      <c r="CK14" s="1371" t="n"/>
      <c r="CL14" s="1372" t="n"/>
      <c r="CM14" s="1370" t="n"/>
      <c r="CN14" s="1371" t="n"/>
      <c r="CO14" s="1371" t="n"/>
      <c r="CP14" s="1371" t="n"/>
      <c r="CQ14" s="1371" t="n"/>
      <c r="CR14" s="1372" t="n"/>
      <c r="CS14" s="1370" t="n"/>
      <c r="CT14" s="1371" t="n"/>
      <c r="CU14" s="1371" t="n"/>
      <c r="CV14" s="1373" t="n"/>
      <c r="CW14" s="1373" t="n"/>
      <c r="CX14" s="1374" t="n"/>
    </row>
    <row r="15" ht="16.5" customHeight="1" s="838">
      <c r="B15" s="756" t="n"/>
      <c r="C15" s="666" t="inlineStr">
        <is>
          <t>임차료</t>
        </is>
      </c>
      <c r="D15" s="1360">
        <f>D38+D61</f>
        <v/>
      </c>
      <c r="E15" s="1361">
        <f>E38+E61</f>
        <v/>
      </c>
      <c r="F15" s="1361">
        <f>F38+F61</f>
        <v/>
      </c>
      <c r="G15" s="1361">
        <f>G38+G61</f>
        <v/>
      </c>
      <c r="H15" s="1361">
        <f>H38+H61</f>
        <v/>
      </c>
      <c r="I15" s="1361">
        <f>I38+I61</f>
        <v/>
      </c>
      <c r="J15" s="1361">
        <f>J38+J61</f>
        <v/>
      </c>
      <c r="K15" s="1361">
        <f>K38+K61</f>
        <v/>
      </c>
      <c r="L15" s="1361">
        <f>L38+L61</f>
        <v/>
      </c>
      <c r="M15" s="1361">
        <f>M38+M61</f>
        <v/>
      </c>
      <c r="N15" s="1361">
        <f>N38+N61</f>
        <v/>
      </c>
      <c r="O15" s="1361">
        <f>O38+O61</f>
        <v/>
      </c>
      <c r="P15" s="1362">
        <f>SUM(D15:O15)</f>
        <v/>
      </c>
      <c r="Q15" s="1360">
        <f>Q38+Q61</f>
        <v/>
      </c>
      <c r="R15" s="1361">
        <f>R38+R61</f>
        <v/>
      </c>
      <c r="S15" s="1361">
        <f>S38+S61</f>
        <v/>
      </c>
      <c r="T15" s="1361">
        <f>T38+T61</f>
        <v/>
      </c>
      <c r="U15" s="1361">
        <f>U38+U61</f>
        <v/>
      </c>
      <c r="V15" s="1361">
        <f>V38+V61</f>
        <v/>
      </c>
      <c r="W15" s="1361">
        <f>W38+W61</f>
        <v/>
      </c>
      <c r="X15" s="1361">
        <f>X38+X61</f>
        <v/>
      </c>
      <c r="Y15" s="1361">
        <f>Y38+Y61</f>
        <v/>
      </c>
      <c r="Z15" s="1361">
        <f>Z38+Z61</f>
        <v/>
      </c>
      <c r="AA15" s="1361">
        <f>AA38+AA61</f>
        <v/>
      </c>
      <c r="AB15" s="1361">
        <f>AB38+AB61</f>
        <v/>
      </c>
      <c r="AC15" s="1362">
        <f>SUM(Q15:AB15)</f>
        <v/>
      </c>
      <c r="AD15" s="1363">
        <f>AD38+AD61</f>
        <v/>
      </c>
      <c r="AE15" s="1364">
        <f>AE38+AE61</f>
        <v/>
      </c>
      <c r="AF15" s="1364">
        <f>AF38+AF61</f>
        <v/>
      </c>
      <c r="AG15" s="1364">
        <f>AG38+AG61</f>
        <v/>
      </c>
      <c r="AH15" s="1364">
        <f>AH38+AH61</f>
        <v/>
      </c>
      <c r="AI15" s="1365">
        <f>AI38+AI61</f>
        <v/>
      </c>
      <c r="AJ15" s="1366">
        <f>AJ38+AJ61</f>
        <v/>
      </c>
      <c r="AK15" s="1367">
        <f>AK38+AK61</f>
        <v/>
      </c>
      <c r="AL15" s="1367">
        <f>AL38+AL61</f>
        <v/>
      </c>
      <c r="AM15" s="1367">
        <f>AM38+AM61</f>
        <v/>
      </c>
      <c r="AN15" s="1368">
        <f>AN38+AN61</f>
        <v/>
      </c>
      <c r="AO15" s="1366">
        <f>AO38+AO61</f>
        <v/>
      </c>
      <c r="AP15" s="1368">
        <f>AP38+AP61</f>
        <v/>
      </c>
      <c r="AQ15" s="1369">
        <f>AQ38+AQ61</f>
        <v/>
      </c>
      <c r="AR15" s="1369">
        <f>AR38+AR61</f>
        <v/>
      </c>
      <c r="AS15" s="1369">
        <f>AS38+AS61</f>
        <v/>
      </c>
      <c r="AT15" s="1369">
        <f>AT38+AT61</f>
        <v/>
      </c>
      <c r="AU15" s="1366">
        <f>AU38+AU61</f>
        <v/>
      </c>
      <c r="AV15" s="1367">
        <f>AV38+AV61</f>
        <v/>
      </c>
      <c r="AW15" s="1367">
        <f>AW38+AW61</f>
        <v/>
      </c>
      <c r="AX15" s="1367">
        <f>AX38+AX61</f>
        <v/>
      </c>
      <c r="AY15" s="1367">
        <f>AY38+AY61</f>
        <v/>
      </c>
      <c r="AZ15" s="1368">
        <f>AZ38+AZ61</f>
        <v/>
      </c>
      <c r="BA15" s="1370" t="n"/>
      <c r="BB15" s="1371" t="n"/>
      <c r="BC15" s="1371" t="n"/>
      <c r="BD15" s="1371" t="n"/>
      <c r="BE15" s="1371" t="n"/>
      <c r="BF15" s="1371" t="n"/>
      <c r="BG15" s="1372" t="n"/>
      <c r="BH15" s="1370" t="n"/>
      <c r="BI15" s="1371" t="n"/>
      <c r="BJ15" s="1371" t="n"/>
      <c r="BK15" s="1371" t="n"/>
      <c r="BL15" s="1371" t="n"/>
      <c r="BM15" s="1372" t="n"/>
      <c r="BN15" s="1370" t="n"/>
      <c r="BO15" s="1371" t="n"/>
      <c r="BP15" s="1371" t="n"/>
      <c r="BQ15" s="1371" t="n"/>
      <c r="BR15" s="1371" t="n"/>
      <c r="BS15" s="1372" t="n"/>
      <c r="BT15" s="1370" t="n"/>
      <c r="BU15" s="1371" t="n"/>
      <c r="BV15" s="1371" t="n"/>
      <c r="BW15" s="1371" t="n"/>
      <c r="BX15" s="1371" t="n"/>
      <c r="BY15" s="1371" t="n"/>
      <c r="BZ15" s="1372" t="n"/>
      <c r="CA15" s="1370" t="n"/>
      <c r="CB15" s="1371" t="n"/>
      <c r="CC15" s="1371" t="n"/>
      <c r="CD15" s="1371" t="n"/>
      <c r="CE15" s="1371" t="n"/>
      <c r="CF15" s="1372" t="n"/>
      <c r="CG15" s="1370" t="n"/>
      <c r="CH15" s="1371" t="n"/>
      <c r="CI15" s="1371" t="n"/>
      <c r="CJ15" s="1371" t="n"/>
      <c r="CK15" s="1371" t="n"/>
      <c r="CL15" s="1372" t="n"/>
      <c r="CM15" s="1370" t="n"/>
      <c r="CN15" s="1371" t="n"/>
      <c r="CO15" s="1371" t="n"/>
      <c r="CP15" s="1371" t="n"/>
      <c r="CQ15" s="1371" t="n"/>
      <c r="CR15" s="1372" t="n"/>
      <c r="CS15" s="1370" t="n"/>
      <c r="CT15" s="1371" t="n"/>
      <c r="CU15" s="1371" t="n"/>
      <c r="CV15" s="1373" t="n"/>
      <c r="CW15" s="1373" t="n"/>
      <c r="CX15" s="1374" t="n"/>
    </row>
    <row r="16" ht="16.5" customHeight="1" s="838">
      <c r="B16" s="756" t="n"/>
      <c r="C16" s="666" t="inlineStr">
        <is>
          <t>세금과공과</t>
        </is>
      </c>
      <c r="D16" s="1360">
        <f>D39+D62</f>
        <v/>
      </c>
      <c r="E16" s="1361">
        <f>E39+E62</f>
        <v/>
      </c>
      <c r="F16" s="1361">
        <f>F39+F62</f>
        <v/>
      </c>
      <c r="G16" s="1361">
        <f>G39+G62</f>
        <v/>
      </c>
      <c r="H16" s="1361">
        <f>H39+H62</f>
        <v/>
      </c>
      <c r="I16" s="1361">
        <f>I39+I62</f>
        <v/>
      </c>
      <c r="J16" s="1361">
        <f>J39+J62</f>
        <v/>
      </c>
      <c r="K16" s="1361">
        <f>K39+K62</f>
        <v/>
      </c>
      <c r="L16" s="1361">
        <f>L39+L62</f>
        <v/>
      </c>
      <c r="M16" s="1361">
        <f>M39+M62</f>
        <v/>
      </c>
      <c r="N16" s="1361">
        <f>N39+N62</f>
        <v/>
      </c>
      <c r="O16" s="1361">
        <f>O39+O62</f>
        <v/>
      </c>
      <c r="P16" s="1362">
        <f>SUM(D16:O16)</f>
        <v/>
      </c>
      <c r="Q16" s="1360">
        <f>Q39+Q62</f>
        <v/>
      </c>
      <c r="R16" s="1361">
        <f>R39+R62</f>
        <v/>
      </c>
      <c r="S16" s="1361">
        <f>S39+S62</f>
        <v/>
      </c>
      <c r="T16" s="1361">
        <f>T39+T62</f>
        <v/>
      </c>
      <c r="U16" s="1361">
        <f>U39+U62</f>
        <v/>
      </c>
      <c r="V16" s="1361">
        <f>V39+V62</f>
        <v/>
      </c>
      <c r="W16" s="1361">
        <f>W39+W62</f>
        <v/>
      </c>
      <c r="X16" s="1361">
        <f>X39+X62</f>
        <v/>
      </c>
      <c r="Y16" s="1361">
        <f>Y39+Y62</f>
        <v/>
      </c>
      <c r="Z16" s="1361">
        <f>Z39+Z62</f>
        <v/>
      </c>
      <c r="AA16" s="1361">
        <f>AA39+AA62</f>
        <v/>
      </c>
      <c r="AB16" s="1361">
        <f>AB39+AB62</f>
        <v/>
      </c>
      <c r="AC16" s="1362">
        <f>SUM(Q16:AB16)</f>
        <v/>
      </c>
      <c r="AD16" s="1363">
        <f>AD39+AD62</f>
        <v/>
      </c>
      <c r="AE16" s="1364">
        <f>AE39+AE62</f>
        <v/>
      </c>
      <c r="AF16" s="1364">
        <f>AF39+AF62</f>
        <v/>
      </c>
      <c r="AG16" s="1364">
        <f>AG39+AG62</f>
        <v/>
      </c>
      <c r="AH16" s="1364">
        <f>AH39+AH62</f>
        <v/>
      </c>
      <c r="AI16" s="1365">
        <f>AI39+AI62</f>
        <v/>
      </c>
      <c r="AJ16" s="1366">
        <f>AJ39+AJ62</f>
        <v/>
      </c>
      <c r="AK16" s="1367">
        <f>AK39+AK62</f>
        <v/>
      </c>
      <c r="AL16" s="1367">
        <f>AL39+AL62</f>
        <v/>
      </c>
      <c r="AM16" s="1367">
        <f>AM39+AM62</f>
        <v/>
      </c>
      <c r="AN16" s="1368">
        <f>AN39+AN62</f>
        <v/>
      </c>
      <c r="AO16" s="1366">
        <f>AO39+AO62</f>
        <v/>
      </c>
      <c r="AP16" s="1368">
        <f>AP39+AP62</f>
        <v/>
      </c>
      <c r="AQ16" s="1369">
        <f>AQ39+AQ62</f>
        <v/>
      </c>
      <c r="AR16" s="1369">
        <f>AR39+AR62</f>
        <v/>
      </c>
      <c r="AS16" s="1369">
        <f>AS39+AS62</f>
        <v/>
      </c>
      <c r="AT16" s="1369">
        <f>AT39+AT62</f>
        <v/>
      </c>
      <c r="AU16" s="1366">
        <f>AU39+AU62</f>
        <v/>
      </c>
      <c r="AV16" s="1367">
        <f>AV39+AV62</f>
        <v/>
      </c>
      <c r="AW16" s="1367">
        <f>AW39+AW62</f>
        <v/>
      </c>
      <c r="AX16" s="1367">
        <f>AX39+AX62</f>
        <v/>
      </c>
      <c r="AY16" s="1367">
        <f>AY39+AY62</f>
        <v/>
      </c>
      <c r="AZ16" s="1368">
        <f>AZ39+AZ62</f>
        <v/>
      </c>
      <c r="BA16" s="1370" t="n"/>
      <c r="BB16" s="1371" t="n"/>
      <c r="BC16" s="1371" t="n"/>
      <c r="BD16" s="1371" t="n"/>
      <c r="BE16" s="1371" t="n"/>
      <c r="BF16" s="1371" t="n"/>
      <c r="BG16" s="1372" t="n"/>
      <c r="BH16" s="1370" t="n"/>
      <c r="BI16" s="1371" t="n"/>
      <c r="BJ16" s="1371" t="n"/>
      <c r="BK16" s="1371" t="n"/>
      <c r="BL16" s="1371" t="n"/>
      <c r="BM16" s="1372" t="n"/>
      <c r="BN16" s="1370" t="n"/>
      <c r="BO16" s="1371" t="n"/>
      <c r="BP16" s="1371" t="n"/>
      <c r="BQ16" s="1371" t="n"/>
      <c r="BR16" s="1371" t="n"/>
      <c r="BS16" s="1372" t="n"/>
      <c r="BT16" s="1370" t="n"/>
      <c r="BU16" s="1371" t="n"/>
      <c r="BV16" s="1371" t="n"/>
      <c r="BW16" s="1371" t="n"/>
      <c r="BX16" s="1371" t="n"/>
      <c r="BY16" s="1371" t="n"/>
      <c r="BZ16" s="1372" t="n"/>
      <c r="CA16" s="1370" t="n"/>
      <c r="CB16" s="1371" t="n"/>
      <c r="CC16" s="1371" t="n"/>
      <c r="CD16" s="1371" t="n"/>
      <c r="CE16" s="1371" t="n"/>
      <c r="CF16" s="1372" t="n"/>
      <c r="CG16" s="1370" t="n"/>
      <c r="CH16" s="1371" t="n"/>
      <c r="CI16" s="1371" t="n"/>
      <c r="CJ16" s="1371" t="n"/>
      <c r="CK16" s="1371" t="n"/>
      <c r="CL16" s="1372" t="n"/>
      <c r="CM16" s="1370" t="n"/>
      <c r="CN16" s="1371" t="n"/>
      <c r="CO16" s="1371" t="n"/>
      <c r="CP16" s="1371" t="n"/>
      <c r="CQ16" s="1371" t="n"/>
      <c r="CR16" s="1372" t="n"/>
      <c r="CS16" s="1370" t="n"/>
      <c r="CT16" s="1371" t="n"/>
      <c r="CU16" s="1371" t="n"/>
      <c r="CV16" s="1373" t="n"/>
      <c r="CW16" s="1373" t="n"/>
      <c r="CX16" s="1374" t="n"/>
    </row>
    <row r="17" ht="16.5" customHeight="1" s="838">
      <c r="B17" s="756" t="n"/>
      <c r="C17" s="682" t="inlineStr">
        <is>
          <t>IT.</t>
        </is>
      </c>
      <c r="D17" s="1360">
        <f>D40+D63</f>
        <v/>
      </c>
      <c r="E17" s="1361">
        <f>E40+E63</f>
        <v/>
      </c>
      <c r="F17" s="1361">
        <f>F40+F63</f>
        <v/>
      </c>
      <c r="G17" s="1361">
        <f>G40+G63</f>
        <v/>
      </c>
      <c r="H17" s="1361">
        <f>H40+H63</f>
        <v/>
      </c>
      <c r="I17" s="1361">
        <f>I40+I63</f>
        <v/>
      </c>
      <c r="J17" s="1361">
        <f>J40+J63</f>
        <v/>
      </c>
      <c r="K17" s="1361">
        <f>K40+K63</f>
        <v/>
      </c>
      <c r="L17" s="1361">
        <f>L40+L63</f>
        <v/>
      </c>
      <c r="M17" s="1361">
        <f>M40+M63</f>
        <v/>
      </c>
      <c r="N17" s="1361">
        <f>N40+N63</f>
        <v/>
      </c>
      <c r="O17" s="1361">
        <f>O40+O63</f>
        <v/>
      </c>
      <c r="P17" s="1362">
        <f>SUM(D17:O17)</f>
        <v/>
      </c>
      <c r="Q17" s="1360">
        <f>Q40+Q63</f>
        <v/>
      </c>
      <c r="R17" s="1361">
        <f>R40+R63</f>
        <v/>
      </c>
      <c r="S17" s="1361">
        <f>S40+S63</f>
        <v/>
      </c>
      <c r="T17" s="1361">
        <f>T40+T63</f>
        <v/>
      </c>
      <c r="U17" s="1361">
        <f>U40+U63</f>
        <v/>
      </c>
      <c r="V17" s="1361">
        <f>V40+V63</f>
        <v/>
      </c>
      <c r="W17" s="1361">
        <f>W40+W63</f>
        <v/>
      </c>
      <c r="X17" s="1361">
        <f>X40+X63</f>
        <v/>
      </c>
      <c r="Y17" s="1361">
        <f>Y40+Y63</f>
        <v/>
      </c>
      <c r="Z17" s="1361">
        <f>Z40+Z63</f>
        <v/>
      </c>
      <c r="AA17" s="1361">
        <f>AA40+AA63</f>
        <v/>
      </c>
      <c r="AB17" s="1361">
        <f>AB40+AB63</f>
        <v/>
      </c>
      <c r="AC17" s="1362">
        <f>SUM(Q17:AB17)</f>
        <v/>
      </c>
      <c r="AD17" s="1363">
        <f>AD40+AD63</f>
        <v/>
      </c>
      <c r="AE17" s="1364">
        <f>AE40+AE63</f>
        <v/>
      </c>
      <c r="AF17" s="1364">
        <f>AF40+AF63</f>
        <v/>
      </c>
      <c r="AG17" s="1364">
        <f>AG40+AG63</f>
        <v/>
      </c>
      <c r="AH17" s="1364">
        <f>AH40+AH63</f>
        <v/>
      </c>
      <c r="AI17" s="1365">
        <f>AI40+AI63</f>
        <v/>
      </c>
      <c r="AJ17" s="1366">
        <f>AJ40+AJ63</f>
        <v/>
      </c>
      <c r="AK17" s="1367">
        <f>AK40+AK63</f>
        <v/>
      </c>
      <c r="AL17" s="1367">
        <f>AL40+AL63</f>
        <v/>
      </c>
      <c r="AM17" s="1367">
        <f>AM40+AM63</f>
        <v/>
      </c>
      <c r="AN17" s="1368">
        <f>AN40+AN63</f>
        <v/>
      </c>
      <c r="AO17" s="1366">
        <f>AO40+AO63</f>
        <v/>
      </c>
      <c r="AP17" s="1368">
        <f>AP40+AP63</f>
        <v/>
      </c>
      <c r="AQ17" s="1369">
        <f>AQ40+AQ63</f>
        <v/>
      </c>
      <c r="AR17" s="1369">
        <f>AR40+AR63</f>
        <v/>
      </c>
      <c r="AS17" s="1369">
        <f>AS40+AS63</f>
        <v/>
      </c>
      <c r="AT17" s="1369">
        <f>AT40+AT63</f>
        <v/>
      </c>
      <c r="AU17" s="1366">
        <f>AU40+AU63</f>
        <v/>
      </c>
      <c r="AV17" s="1367">
        <f>AV40+AV63</f>
        <v/>
      </c>
      <c r="AW17" s="1367">
        <f>AW40+AW63</f>
        <v/>
      </c>
      <c r="AX17" s="1367">
        <f>AX40+AX63</f>
        <v/>
      </c>
      <c r="AY17" s="1367">
        <f>AY40+AY63</f>
        <v/>
      </c>
      <c r="AZ17" s="1368">
        <f>AZ40+AZ63</f>
        <v/>
      </c>
      <c r="BA17" s="1370" t="n"/>
      <c r="BB17" s="1371" t="n"/>
      <c r="BC17" s="1371" t="n"/>
      <c r="BD17" s="1371" t="n"/>
      <c r="BE17" s="1371" t="n"/>
      <c r="BF17" s="1371" t="n"/>
      <c r="BG17" s="1372" t="n"/>
      <c r="BH17" s="1370" t="n"/>
      <c r="BI17" s="1371" t="n"/>
      <c r="BJ17" s="1371" t="n"/>
      <c r="BK17" s="1371" t="n"/>
      <c r="BL17" s="1371" t="n"/>
      <c r="BM17" s="1372" t="n"/>
      <c r="BN17" s="1370" t="n"/>
      <c r="BO17" s="1371" t="n"/>
      <c r="BP17" s="1371" t="n"/>
      <c r="BQ17" s="1371" t="n"/>
      <c r="BR17" s="1371" t="n"/>
      <c r="BS17" s="1372" t="n"/>
      <c r="BT17" s="1370" t="n"/>
      <c r="BU17" s="1371" t="n"/>
      <c r="BV17" s="1371" t="n"/>
      <c r="BW17" s="1371" t="n"/>
      <c r="BX17" s="1371" t="n"/>
      <c r="BY17" s="1371" t="n"/>
      <c r="BZ17" s="1372" t="n"/>
      <c r="CA17" s="1370" t="n"/>
      <c r="CB17" s="1371" t="n"/>
      <c r="CC17" s="1371" t="n"/>
      <c r="CD17" s="1371" t="n"/>
      <c r="CE17" s="1371" t="n"/>
      <c r="CF17" s="1372" t="n"/>
      <c r="CG17" s="1370" t="n"/>
      <c r="CH17" s="1371" t="n"/>
      <c r="CI17" s="1371" t="n"/>
      <c r="CJ17" s="1371" t="n"/>
      <c r="CK17" s="1371" t="n"/>
      <c r="CL17" s="1372" t="n"/>
      <c r="CM17" s="1370" t="n"/>
      <c r="CN17" s="1371" t="n"/>
      <c r="CO17" s="1371" t="n"/>
      <c r="CP17" s="1371" t="n"/>
      <c r="CQ17" s="1371" t="n"/>
      <c r="CR17" s="1372" t="n"/>
      <c r="CS17" s="1370" t="n"/>
      <c r="CT17" s="1371" t="n"/>
      <c r="CU17" s="1371" t="n"/>
      <c r="CV17" s="1373" t="n"/>
      <c r="CW17" s="1373" t="n"/>
      <c r="CX17" s="1374" t="n"/>
    </row>
    <row r="18" ht="16.5" customHeight="1" s="838">
      <c r="B18" s="756" t="n"/>
      <c r="C18" s="666" t="inlineStr">
        <is>
          <t>법무수수료</t>
        </is>
      </c>
      <c r="D18" s="1360">
        <f>D41+D64</f>
        <v/>
      </c>
      <c r="E18" s="1361">
        <f>E41+E64</f>
        <v/>
      </c>
      <c r="F18" s="1361">
        <f>F41+F64</f>
        <v/>
      </c>
      <c r="G18" s="1361">
        <f>G41+G64</f>
        <v/>
      </c>
      <c r="H18" s="1361">
        <f>H41+H64</f>
        <v/>
      </c>
      <c r="I18" s="1361">
        <f>I41+I64</f>
        <v/>
      </c>
      <c r="J18" s="1361">
        <f>J41+J64</f>
        <v/>
      </c>
      <c r="K18" s="1361">
        <f>K41+K64</f>
        <v/>
      </c>
      <c r="L18" s="1361">
        <f>L41+L64</f>
        <v/>
      </c>
      <c r="M18" s="1361">
        <f>M41+M64</f>
        <v/>
      </c>
      <c r="N18" s="1361">
        <f>N41+N64</f>
        <v/>
      </c>
      <c r="O18" s="1361">
        <f>O41+O64</f>
        <v/>
      </c>
      <c r="P18" s="1362">
        <f>SUM(D18:O18)</f>
        <v/>
      </c>
      <c r="Q18" s="1360">
        <f>Q41+Q64</f>
        <v/>
      </c>
      <c r="R18" s="1361">
        <f>R41+R64</f>
        <v/>
      </c>
      <c r="S18" s="1361">
        <f>S41+S64</f>
        <v/>
      </c>
      <c r="T18" s="1361">
        <f>T41+T64</f>
        <v/>
      </c>
      <c r="U18" s="1361">
        <f>U41+U64</f>
        <v/>
      </c>
      <c r="V18" s="1361">
        <f>V41+V64</f>
        <v/>
      </c>
      <c r="W18" s="1361">
        <f>W41+W64</f>
        <v/>
      </c>
      <c r="X18" s="1361">
        <f>X41+X64</f>
        <v/>
      </c>
      <c r="Y18" s="1361">
        <f>Y41+Y64</f>
        <v/>
      </c>
      <c r="Z18" s="1361">
        <f>Z41+Z64</f>
        <v/>
      </c>
      <c r="AA18" s="1361">
        <f>AA41+AA64</f>
        <v/>
      </c>
      <c r="AB18" s="1361">
        <f>AB41+AB64</f>
        <v/>
      </c>
      <c r="AC18" s="1362">
        <f>SUM(Q18:AB18)</f>
        <v/>
      </c>
      <c r="AD18" s="1363">
        <f>AD41+AD64</f>
        <v/>
      </c>
      <c r="AE18" s="1364">
        <f>AE41+AE64</f>
        <v/>
      </c>
      <c r="AF18" s="1364">
        <f>AF41+AF64</f>
        <v/>
      </c>
      <c r="AG18" s="1364">
        <f>AG41+AG64</f>
        <v/>
      </c>
      <c r="AH18" s="1364">
        <f>AH41+AH64</f>
        <v/>
      </c>
      <c r="AI18" s="1365">
        <f>AI41+AI64</f>
        <v/>
      </c>
      <c r="AJ18" s="1366">
        <f>AJ41+AJ64</f>
        <v/>
      </c>
      <c r="AK18" s="1367">
        <f>AK41+AK64</f>
        <v/>
      </c>
      <c r="AL18" s="1367">
        <f>AL41+AL64</f>
        <v/>
      </c>
      <c r="AM18" s="1367">
        <f>AM41+AM64</f>
        <v/>
      </c>
      <c r="AN18" s="1368">
        <f>AN41+AN64</f>
        <v/>
      </c>
      <c r="AO18" s="1366">
        <f>AO41+AO64</f>
        <v/>
      </c>
      <c r="AP18" s="1368">
        <f>AP41+AP64</f>
        <v/>
      </c>
      <c r="AQ18" s="1369">
        <f>AQ41+AQ64</f>
        <v/>
      </c>
      <c r="AR18" s="1369">
        <f>AR41+AR64</f>
        <v/>
      </c>
      <c r="AS18" s="1369">
        <f>AS41+AS64</f>
        <v/>
      </c>
      <c r="AT18" s="1369">
        <f>AT41+AT64</f>
        <v/>
      </c>
      <c r="AU18" s="1366">
        <f>AU41+AU64</f>
        <v/>
      </c>
      <c r="AV18" s="1367">
        <f>AV41+AV64</f>
        <v/>
      </c>
      <c r="AW18" s="1367">
        <f>AW41+AW64</f>
        <v/>
      </c>
      <c r="AX18" s="1367">
        <f>AX41+AX64</f>
        <v/>
      </c>
      <c r="AY18" s="1367">
        <f>AY41+AY64</f>
        <v/>
      </c>
      <c r="AZ18" s="1368">
        <f>AZ41+AZ64</f>
        <v/>
      </c>
      <c r="BA18" s="1370" t="n"/>
      <c r="BB18" s="1371" t="n"/>
      <c r="BC18" s="1371" t="n"/>
      <c r="BD18" s="1371" t="n"/>
      <c r="BE18" s="1371" t="n"/>
      <c r="BF18" s="1371" t="n"/>
      <c r="BG18" s="1372" t="n"/>
      <c r="BH18" s="1370" t="n"/>
      <c r="BI18" s="1371" t="n"/>
      <c r="BJ18" s="1371" t="n"/>
      <c r="BK18" s="1371" t="n"/>
      <c r="BL18" s="1371" t="n"/>
      <c r="BM18" s="1372" t="n"/>
      <c r="BN18" s="1370" t="n"/>
      <c r="BO18" s="1371" t="n"/>
      <c r="BP18" s="1371" t="n"/>
      <c r="BQ18" s="1371" t="n"/>
      <c r="BR18" s="1371" t="n"/>
      <c r="BS18" s="1372" t="n"/>
      <c r="BT18" s="1370" t="n"/>
      <c r="BU18" s="1371" t="n"/>
      <c r="BV18" s="1371" t="n"/>
      <c r="BW18" s="1371" t="n"/>
      <c r="BX18" s="1371" t="n"/>
      <c r="BY18" s="1371" t="n"/>
      <c r="BZ18" s="1372" t="n"/>
      <c r="CA18" s="1370" t="n"/>
      <c r="CB18" s="1371" t="n"/>
      <c r="CC18" s="1371" t="n"/>
      <c r="CD18" s="1371" t="n"/>
      <c r="CE18" s="1371" t="n"/>
      <c r="CF18" s="1372" t="n"/>
      <c r="CG18" s="1370" t="n"/>
      <c r="CH18" s="1371" t="n"/>
      <c r="CI18" s="1371" t="n"/>
      <c r="CJ18" s="1371" t="n"/>
      <c r="CK18" s="1371" t="n"/>
      <c r="CL18" s="1372" t="n"/>
      <c r="CM18" s="1370" t="n"/>
      <c r="CN18" s="1371" t="n"/>
      <c r="CO18" s="1371" t="n"/>
      <c r="CP18" s="1371" t="n"/>
      <c r="CQ18" s="1371" t="n"/>
      <c r="CR18" s="1372" t="n"/>
      <c r="CS18" s="1370" t="n"/>
      <c r="CT18" s="1371" t="n"/>
      <c r="CU18" s="1371" t="n"/>
      <c r="CV18" s="1373" t="n"/>
      <c r="CW18" s="1373" t="n"/>
      <c r="CX18" s="1374" t="n"/>
    </row>
    <row r="19" ht="16.5" customHeight="1" s="838">
      <c r="B19" s="756" t="n"/>
      <c r="C19" s="666" t="inlineStr">
        <is>
          <t>출장비</t>
        </is>
      </c>
      <c r="D19" s="1360">
        <f>D42+D65</f>
        <v/>
      </c>
      <c r="E19" s="1361">
        <f>E42+E65</f>
        <v/>
      </c>
      <c r="F19" s="1361">
        <f>F42+F65</f>
        <v/>
      </c>
      <c r="G19" s="1361">
        <f>G42+G65</f>
        <v/>
      </c>
      <c r="H19" s="1361">
        <f>H42+H65</f>
        <v/>
      </c>
      <c r="I19" s="1361">
        <f>I42+I65</f>
        <v/>
      </c>
      <c r="J19" s="1361">
        <f>J42+J65</f>
        <v/>
      </c>
      <c r="K19" s="1361">
        <f>K42+K65</f>
        <v/>
      </c>
      <c r="L19" s="1361">
        <f>L42+L65</f>
        <v/>
      </c>
      <c r="M19" s="1361">
        <f>M42+M65</f>
        <v/>
      </c>
      <c r="N19" s="1361">
        <f>N42+N65</f>
        <v/>
      </c>
      <c r="O19" s="1361">
        <f>O42+O65</f>
        <v/>
      </c>
      <c r="P19" s="1362">
        <f>SUM(D19:O19)</f>
        <v/>
      </c>
      <c r="Q19" s="1360">
        <f>Q42+Q65</f>
        <v/>
      </c>
      <c r="R19" s="1361">
        <f>R42+R65</f>
        <v/>
      </c>
      <c r="S19" s="1361">
        <f>S42+S65</f>
        <v/>
      </c>
      <c r="T19" s="1361">
        <f>T42+T65</f>
        <v/>
      </c>
      <c r="U19" s="1361">
        <f>U42+U65</f>
        <v/>
      </c>
      <c r="V19" s="1361">
        <f>V42+V65</f>
        <v/>
      </c>
      <c r="W19" s="1361">
        <f>W42+W65</f>
        <v/>
      </c>
      <c r="X19" s="1361">
        <f>X42+X65</f>
        <v/>
      </c>
      <c r="Y19" s="1361">
        <f>Y42+Y65</f>
        <v/>
      </c>
      <c r="Z19" s="1361">
        <f>Z42+Z65</f>
        <v/>
      </c>
      <c r="AA19" s="1361">
        <f>AA42+AA65</f>
        <v/>
      </c>
      <c r="AB19" s="1361">
        <f>AB42+AB65</f>
        <v/>
      </c>
      <c r="AC19" s="1362">
        <f>SUM(Q19:AB19)</f>
        <v/>
      </c>
      <c r="AD19" s="1363">
        <f>AD42+AD65</f>
        <v/>
      </c>
      <c r="AE19" s="1364">
        <f>AE42+AE65</f>
        <v/>
      </c>
      <c r="AF19" s="1364">
        <f>AF42+AF65</f>
        <v/>
      </c>
      <c r="AG19" s="1364">
        <f>AG42+AG65</f>
        <v/>
      </c>
      <c r="AH19" s="1364">
        <f>AH42+AH65</f>
        <v/>
      </c>
      <c r="AI19" s="1365">
        <f>AI42+AI65</f>
        <v/>
      </c>
      <c r="AJ19" s="1366">
        <f>AJ42+AJ65</f>
        <v/>
      </c>
      <c r="AK19" s="1367">
        <f>AK42+AK65</f>
        <v/>
      </c>
      <c r="AL19" s="1367">
        <f>AL42+AL65</f>
        <v/>
      </c>
      <c r="AM19" s="1367">
        <f>AM42+AM65</f>
        <v/>
      </c>
      <c r="AN19" s="1368">
        <f>AN42+AN65</f>
        <v/>
      </c>
      <c r="AO19" s="1366">
        <f>AO42+AO65</f>
        <v/>
      </c>
      <c r="AP19" s="1368">
        <f>AP42+AP65</f>
        <v/>
      </c>
      <c r="AQ19" s="1369">
        <f>AQ42+AQ65</f>
        <v/>
      </c>
      <c r="AR19" s="1369">
        <f>AR42+AR65</f>
        <v/>
      </c>
      <c r="AS19" s="1369">
        <f>AS42+AS65</f>
        <v/>
      </c>
      <c r="AT19" s="1369">
        <f>AT42+AT65</f>
        <v/>
      </c>
      <c r="AU19" s="1366">
        <f>AU42+AU65</f>
        <v/>
      </c>
      <c r="AV19" s="1367">
        <f>AV42+AV65</f>
        <v/>
      </c>
      <c r="AW19" s="1367">
        <f>AW42+AW65</f>
        <v/>
      </c>
      <c r="AX19" s="1367">
        <f>AX42+AX65</f>
        <v/>
      </c>
      <c r="AY19" s="1367">
        <f>AY42+AY65</f>
        <v/>
      </c>
      <c r="AZ19" s="1368">
        <f>AZ42+AZ65</f>
        <v/>
      </c>
      <c r="BA19" s="1370" t="n"/>
      <c r="BB19" s="1371" t="n"/>
      <c r="BC19" s="1371" t="n"/>
      <c r="BD19" s="1371" t="n"/>
      <c r="BE19" s="1371" t="n"/>
      <c r="BF19" s="1371" t="n"/>
      <c r="BG19" s="1372" t="n"/>
      <c r="BH19" s="1370" t="n"/>
      <c r="BI19" s="1371" t="n"/>
      <c r="BJ19" s="1371" t="n"/>
      <c r="BK19" s="1371" t="n"/>
      <c r="BL19" s="1371" t="n"/>
      <c r="BM19" s="1372" t="n"/>
      <c r="BN19" s="1370" t="n"/>
      <c r="BO19" s="1371" t="n"/>
      <c r="BP19" s="1371" t="n"/>
      <c r="BQ19" s="1371" t="n"/>
      <c r="BR19" s="1371" t="n"/>
      <c r="BS19" s="1372" t="n"/>
      <c r="BT19" s="1370" t="n"/>
      <c r="BU19" s="1371" t="n"/>
      <c r="BV19" s="1371" t="n"/>
      <c r="BW19" s="1371" t="n"/>
      <c r="BX19" s="1371" t="n"/>
      <c r="BY19" s="1371" t="n"/>
      <c r="BZ19" s="1372" t="n"/>
      <c r="CA19" s="1370" t="n"/>
      <c r="CB19" s="1371" t="n"/>
      <c r="CC19" s="1371" t="n"/>
      <c r="CD19" s="1371" t="n"/>
      <c r="CE19" s="1371" t="n"/>
      <c r="CF19" s="1372" t="n"/>
      <c r="CG19" s="1370" t="n"/>
      <c r="CH19" s="1371" t="n"/>
      <c r="CI19" s="1371" t="n"/>
      <c r="CJ19" s="1371" t="n"/>
      <c r="CK19" s="1371" t="n"/>
      <c r="CL19" s="1372" t="n"/>
      <c r="CM19" s="1370" t="n"/>
      <c r="CN19" s="1371" t="n"/>
      <c r="CO19" s="1371" t="n"/>
      <c r="CP19" s="1371" t="n"/>
      <c r="CQ19" s="1371" t="n"/>
      <c r="CR19" s="1372" t="n"/>
      <c r="CS19" s="1370" t="n"/>
      <c r="CT19" s="1371" t="n"/>
      <c r="CU19" s="1371" t="n"/>
      <c r="CV19" s="1373" t="n"/>
      <c r="CW19" s="1373" t="n"/>
      <c r="CX19" s="1374" t="n"/>
    </row>
    <row r="20" ht="16.5" customHeight="1" s="838">
      <c r="B20" s="756" t="n"/>
      <c r="C20" s="666" t="inlineStr">
        <is>
          <t>업무추진비</t>
        </is>
      </c>
      <c r="D20" s="1360">
        <f>D43+D66</f>
        <v/>
      </c>
      <c r="E20" s="1361">
        <f>E43+E66</f>
        <v/>
      </c>
      <c r="F20" s="1361">
        <f>F43+F66</f>
        <v/>
      </c>
      <c r="G20" s="1361">
        <f>G43+G66</f>
        <v/>
      </c>
      <c r="H20" s="1361">
        <f>H43+H66</f>
        <v/>
      </c>
      <c r="I20" s="1361">
        <f>I43+I66</f>
        <v/>
      </c>
      <c r="J20" s="1361">
        <f>J43+J66</f>
        <v/>
      </c>
      <c r="K20" s="1361">
        <f>K43+K66</f>
        <v/>
      </c>
      <c r="L20" s="1361">
        <f>L43+L66</f>
        <v/>
      </c>
      <c r="M20" s="1361">
        <f>M43+M66</f>
        <v/>
      </c>
      <c r="N20" s="1361">
        <f>N43+N66</f>
        <v/>
      </c>
      <c r="O20" s="1361">
        <f>O43+O66</f>
        <v/>
      </c>
      <c r="P20" s="1362">
        <f>SUM(D20:O20)</f>
        <v/>
      </c>
      <c r="Q20" s="1360">
        <f>Q43+Q66</f>
        <v/>
      </c>
      <c r="R20" s="1361">
        <f>R43+R66</f>
        <v/>
      </c>
      <c r="S20" s="1361">
        <f>S43+S66</f>
        <v/>
      </c>
      <c r="T20" s="1361">
        <f>T43+T66</f>
        <v/>
      </c>
      <c r="U20" s="1361">
        <f>U43+U66</f>
        <v/>
      </c>
      <c r="V20" s="1361">
        <f>V43+V66</f>
        <v/>
      </c>
      <c r="W20" s="1361">
        <f>W43+W66</f>
        <v/>
      </c>
      <c r="X20" s="1361">
        <f>X43+X66</f>
        <v/>
      </c>
      <c r="Y20" s="1361">
        <f>Y43+Y66</f>
        <v/>
      </c>
      <c r="Z20" s="1361">
        <f>Z43+Z66</f>
        <v/>
      </c>
      <c r="AA20" s="1361">
        <f>AA43+AA66</f>
        <v/>
      </c>
      <c r="AB20" s="1361">
        <f>AB43+AB66</f>
        <v/>
      </c>
      <c r="AC20" s="1362">
        <f>SUM(Q20:AB20)</f>
        <v/>
      </c>
      <c r="AD20" s="1363">
        <f>AD43+AD66</f>
        <v/>
      </c>
      <c r="AE20" s="1364">
        <f>AE43+AE66</f>
        <v/>
      </c>
      <c r="AF20" s="1364">
        <f>AF43+AF66</f>
        <v/>
      </c>
      <c r="AG20" s="1364">
        <f>AG43+AG66</f>
        <v/>
      </c>
      <c r="AH20" s="1364">
        <f>AH43+AH66</f>
        <v/>
      </c>
      <c r="AI20" s="1365">
        <f>AI43+AI66</f>
        <v/>
      </c>
      <c r="AJ20" s="1366">
        <f>AJ43+AJ66</f>
        <v/>
      </c>
      <c r="AK20" s="1367">
        <f>AK43+AK66</f>
        <v/>
      </c>
      <c r="AL20" s="1367">
        <f>AL43+AL66</f>
        <v/>
      </c>
      <c r="AM20" s="1367">
        <f>AM43+AM66</f>
        <v/>
      </c>
      <c r="AN20" s="1368">
        <f>AN43+AN66</f>
        <v/>
      </c>
      <c r="AO20" s="1366">
        <f>AO43+AO66</f>
        <v/>
      </c>
      <c r="AP20" s="1368">
        <f>AP43+AP66</f>
        <v/>
      </c>
      <c r="AQ20" s="1369">
        <f>AQ43+AQ66</f>
        <v/>
      </c>
      <c r="AR20" s="1369">
        <f>AR43+AR66</f>
        <v/>
      </c>
      <c r="AS20" s="1369">
        <f>AS43+AS66</f>
        <v/>
      </c>
      <c r="AT20" s="1369">
        <f>AT43+AT66</f>
        <v/>
      </c>
      <c r="AU20" s="1366">
        <f>AU43+AU66</f>
        <v/>
      </c>
      <c r="AV20" s="1367">
        <f>AV43+AV66</f>
        <v/>
      </c>
      <c r="AW20" s="1367">
        <f>AW43+AW66</f>
        <v/>
      </c>
      <c r="AX20" s="1367">
        <f>AX43+AX66</f>
        <v/>
      </c>
      <c r="AY20" s="1367">
        <f>AY43+AY66</f>
        <v/>
      </c>
      <c r="AZ20" s="1368">
        <f>AZ43+AZ66</f>
        <v/>
      </c>
      <c r="BA20" s="1370" t="n"/>
      <c r="BB20" s="1371" t="n"/>
      <c r="BC20" s="1371" t="n"/>
      <c r="BD20" s="1371" t="n"/>
      <c r="BE20" s="1371" t="n"/>
      <c r="BF20" s="1371" t="n"/>
      <c r="BG20" s="1372" t="n"/>
      <c r="BH20" s="1370" t="n"/>
      <c r="BI20" s="1371" t="n"/>
      <c r="BJ20" s="1371" t="n"/>
      <c r="BK20" s="1371" t="n"/>
      <c r="BL20" s="1371" t="n"/>
      <c r="BM20" s="1372" t="n"/>
      <c r="BN20" s="1370" t="n"/>
      <c r="BO20" s="1371" t="n"/>
      <c r="BP20" s="1371" t="n"/>
      <c r="BQ20" s="1371" t="n"/>
      <c r="BR20" s="1371" t="n"/>
      <c r="BS20" s="1372" t="n"/>
      <c r="BT20" s="1370" t="n"/>
      <c r="BU20" s="1371" t="n"/>
      <c r="BV20" s="1371" t="n"/>
      <c r="BW20" s="1371" t="n"/>
      <c r="BX20" s="1371" t="n"/>
      <c r="BY20" s="1371" t="n"/>
      <c r="BZ20" s="1372" t="n"/>
      <c r="CA20" s="1370" t="n"/>
      <c r="CB20" s="1371" t="n"/>
      <c r="CC20" s="1371" t="n"/>
      <c r="CD20" s="1371" t="n"/>
      <c r="CE20" s="1371" t="n"/>
      <c r="CF20" s="1372" t="n"/>
      <c r="CG20" s="1370" t="n"/>
      <c r="CH20" s="1371" t="n"/>
      <c r="CI20" s="1371" t="n"/>
      <c r="CJ20" s="1371" t="n"/>
      <c r="CK20" s="1371" t="n"/>
      <c r="CL20" s="1372" t="n"/>
      <c r="CM20" s="1370" t="n"/>
      <c r="CN20" s="1371" t="n"/>
      <c r="CO20" s="1371" t="n"/>
      <c r="CP20" s="1371" t="n"/>
      <c r="CQ20" s="1371" t="n"/>
      <c r="CR20" s="1372" t="n"/>
      <c r="CS20" s="1370" t="n"/>
      <c r="CT20" s="1371" t="n"/>
      <c r="CU20" s="1371" t="n"/>
      <c r="CV20" s="1373" t="n"/>
      <c r="CW20" s="1373" t="n"/>
      <c r="CX20" s="1374" t="n"/>
    </row>
    <row r="21" ht="16.5" customHeight="1" s="838">
      <c r="B21" s="756" t="n"/>
      <c r="C21" s="666" t="inlineStr">
        <is>
          <t>수도광열비</t>
        </is>
      </c>
      <c r="D21" s="1360">
        <f>D44+D67</f>
        <v/>
      </c>
      <c r="E21" s="1361">
        <f>E44+E67</f>
        <v/>
      </c>
      <c r="F21" s="1361">
        <f>F44+F67</f>
        <v/>
      </c>
      <c r="G21" s="1361">
        <f>G44+G67</f>
        <v/>
      </c>
      <c r="H21" s="1361">
        <f>H44+H67</f>
        <v/>
      </c>
      <c r="I21" s="1361">
        <f>I44+I67</f>
        <v/>
      </c>
      <c r="J21" s="1361">
        <f>J44+J67</f>
        <v/>
      </c>
      <c r="K21" s="1361">
        <f>K44+K67</f>
        <v/>
      </c>
      <c r="L21" s="1361">
        <f>L44+L67</f>
        <v/>
      </c>
      <c r="M21" s="1361">
        <f>M44+M67</f>
        <v/>
      </c>
      <c r="N21" s="1361">
        <f>N44+N67</f>
        <v/>
      </c>
      <c r="O21" s="1361">
        <f>O44+O67</f>
        <v/>
      </c>
      <c r="P21" s="1362">
        <f>SUM(D21:O21)</f>
        <v/>
      </c>
      <c r="Q21" s="1360">
        <f>Q44+Q67</f>
        <v/>
      </c>
      <c r="R21" s="1361">
        <f>R44+R67</f>
        <v/>
      </c>
      <c r="S21" s="1361">
        <f>S44+S67</f>
        <v/>
      </c>
      <c r="T21" s="1361">
        <f>T44+T67</f>
        <v/>
      </c>
      <c r="U21" s="1361">
        <f>U44+U67</f>
        <v/>
      </c>
      <c r="V21" s="1361">
        <f>V44+V67</f>
        <v/>
      </c>
      <c r="W21" s="1361">
        <f>W44+W67</f>
        <v/>
      </c>
      <c r="X21" s="1361">
        <f>X44+X67</f>
        <v/>
      </c>
      <c r="Y21" s="1361">
        <f>Y44+Y67</f>
        <v/>
      </c>
      <c r="Z21" s="1361">
        <f>Z44+Z67</f>
        <v/>
      </c>
      <c r="AA21" s="1361">
        <f>AA44+AA67</f>
        <v/>
      </c>
      <c r="AB21" s="1361">
        <f>AB44+AB67</f>
        <v/>
      </c>
      <c r="AC21" s="1362">
        <f>SUM(Q21:AB21)</f>
        <v/>
      </c>
      <c r="AD21" s="1363">
        <f>AD44+AD67</f>
        <v/>
      </c>
      <c r="AE21" s="1364">
        <f>AE44+AE67</f>
        <v/>
      </c>
      <c r="AF21" s="1364">
        <f>AF44+AF67</f>
        <v/>
      </c>
      <c r="AG21" s="1364">
        <f>AG44+AG67</f>
        <v/>
      </c>
      <c r="AH21" s="1364">
        <f>AH44+AH67</f>
        <v/>
      </c>
      <c r="AI21" s="1365">
        <f>AI44+AI67</f>
        <v/>
      </c>
      <c r="AJ21" s="1366">
        <f>AJ44+AJ67</f>
        <v/>
      </c>
      <c r="AK21" s="1367">
        <f>AK44+AK67</f>
        <v/>
      </c>
      <c r="AL21" s="1367">
        <f>AL44+AL67</f>
        <v/>
      </c>
      <c r="AM21" s="1367">
        <f>AM44+AM67</f>
        <v/>
      </c>
      <c r="AN21" s="1368">
        <f>AN44+AN67</f>
        <v/>
      </c>
      <c r="AO21" s="1366">
        <f>AO44+AO67</f>
        <v/>
      </c>
      <c r="AP21" s="1368">
        <f>AP44+AP67</f>
        <v/>
      </c>
      <c r="AQ21" s="1369">
        <f>AQ44+AQ67</f>
        <v/>
      </c>
      <c r="AR21" s="1369">
        <f>AR44+AR67</f>
        <v/>
      </c>
      <c r="AS21" s="1369">
        <f>AS44+AS67</f>
        <v/>
      </c>
      <c r="AT21" s="1369">
        <f>AT44+AT67</f>
        <v/>
      </c>
      <c r="AU21" s="1366">
        <f>AU44+AU67</f>
        <v/>
      </c>
      <c r="AV21" s="1367">
        <f>AV44+AV67</f>
        <v/>
      </c>
      <c r="AW21" s="1367">
        <f>AW44+AW67</f>
        <v/>
      </c>
      <c r="AX21" s="1367">
        <f>AX44+AX67</f>
        <v/>
      </c>
      <c r="AY21" s="1367">
        <f>AY44+AY67</f>
        <v/>
      </c>
      <c r="AZ21" s="1368">
        <f>AZ44+AZ67</f>
        <v/>
      </c>
      <c r="BA21" s="1370" t="n"/>
      <c r="BB21" s="1371" t="n"/>
      <c r="BC21" s="1371" t="n"/>
      <c r="BD21" s="1371" t="n"/>
      <c r="BE21" s="1371" t="n"/>
      <c r="BF21" s="1371" t="n"/>
      <c r="BG21" s="1372" t="n"/>
      <c r="BH21" s="1370" t="n"/>
      <c r="BI21" s="1371" t="n"/>
      <c r="BJ21" s="1371" t="n"/>
      <c r="BK21" s="1371" t="n"/>
      <c r="BL21" s="1371" t="n"/>
      <c r="BM21" s="1372" t="n"/>
      <c r="BN21" s="1370" t="n"/>
      <c r="BO21" s="1371" t="n"/>
      <c r="BP21" s="1371" t="n"/>
      <c r="BQ21" s="1371" t="n"/>
      <c r="BR21" s="1371" t="n"/>
      <c r="BS21" s="1372" t="n"/>
      <c r="BT21" s="1370" t="n"/>
      <c r="BU21" s="1371" t="n"/>
      <c r="BV21" s="1371" t="n"/>
      <c r="BW21" s="1371" t="n"/>
      <c r="BX21" s="1371" t="n"/>
      <c r="BY21" s="1371" t="n"/>
      <c r="BZ21" s="1372" t="n"/>
      <c r="CA21" s="1370" t="n"/>
      <c r="CB21" s="1371" t="n"/>
      <c r="CC21" s="1371" t="n"/>
      <c r="CD21" s="1371" t="n"/>
      <c r="CE21" s="1371" t="n"/>
      <c r="CF21" s="1372" t="n"/>
      <c r="CG21" s="1370" t="n"/>
      <c r="CH21" s="1371" t="n"/>
      <c r="CI21" s="1371" t="n"/>
      <c r="CJ21" s="1371" t="n"/>
      <c r="CK21" s="1371" t="n"/>
      <c r="CL21" s="1372" t="n"/>
      <c r="CM21" s="1370" t="n"/>
      <c r="CN21" s="1371" t="n"/>
      <c r="CO21" s="1371" t="n"/>
      <c r="CP21" s="1371" t="n"/>
      <c r="CQ21" s="1371" t="n"/>
      <c r="CR21" s="1372" t="n"/>
      <c r="CS21" s="1370" t="n"/>
      <c r="CT21" s="1371" t="n"/>
      <c r="CU21" s="1371" t="n"/>
      <c r="CV21" s="1373" t="n"/>
      <c r="CW21" s="1373" t="n"/>
      <c r="CX21" s="1374" t="n"/>
    </row>
    <row r="22" ht="16.5" customHeight="1" s="838">
      <c r="B22" s="756" t="n"/>
      <c r="C22" s="666" t="inlineStr">
        <is>
          <t>보험료</t>
        </is>
      </c>
      <c r="D22" s="1360">
        <f>D45+D68</f>
        <v/>
      </c>
      <c r="E22" s="1361">
        <f>E45+E68</f>
        <v/>
      </c>
      <c r="F22" s="1361">
        <f>F45+F68</f>
        <v/>
      </c>
      <c r="G22" s="1361">
        <f>G45+G68</f>
        <v/>
      </c>
      <c r="H22" s="1361">
        <f>H45+H68</f>
        <v/>
      </c>
      <c r="I22" s="1361">
        <f>I45+I68</f>
        <v/>
      </c>
      <c r="J22" s="1361">
        <f>J45+J68</f>
        <v/>
      </c>
      <c r="K22" s="1361">
        <f>K45+K68</f>
        <v/>
      </c>
      <c r="L22" s="1361">
        <f>L45+L68</f>
        <v/>
      </c>
      <c r="M22" s="1361">
        <f>M45+M68</f>
        <v/>
      </c>
      <c r="N22" s="1361">
        <f>N45+N68</f>
        <v/>
      </c>
      <c r="O22" s="1361">
        <f>O45+O68</f>
        <v/>
      </c>
      <c r="P22" s="1362">
        <f>SUM(D22:O22)</f>
        <v/>
      </c>
      <c r="Q22" s="1360">
        <f>Q45+Q68</f>
        <v/>
      </c>
      <c r="R22" s="1361">
        <f>R45+R68</f>
        <v/>
      </c>
      <c r="S22" s="1361">
        <f>S45+S68</f>
        <v/>
      </c>
      <c r="T22" s="1361">
        <f>T45+T68</f>
        <v/>
      </c>
      <c r="U22" s="1361">
        <f>U45+U68</f>
        <v/>
      </c>
      <c r="V22" s="1361">
        <f>V45+V68</f>
        <v/>
      </c>
      <c r="W22" s="1361">
        <f>W45+W68</f>
        <v/>
      </c>
      <c r="X22" s="1361">
        <f>X45+X68</f>
        <v/>
      </c>
      <c r="Y22" s="1361">
        <f>Y45+Y68</f>
        <v/>
      </c>
      <c r="Z22" s="1361">
        <f>Z45+Z68</f>
        <v/>
      </c>
      <c r="AA22" s="1361">
        <f>AA45+AA68</f>
        <v/>
      </c>
      <c r="AB22" s="1361">
        <f>AB45+AB68</f>
        <v/>
      </c>
      <c r="AC22" s="1362">
        <f>SUM(Q22:AB22)</f>
        <v/>
      </c>
      <c r="AD22" s="1363">
        <f>AD45+AD68</f>
        <v/>
      </c>
      <c r="AE22" s="1364">
        <f>AE45+AE68</f>
        <v/>
      </c>
      <c r="AF22" s="1364">
        <f>AF45+AF68</f>
        <v/>
      </c>
      <c r="AG22" s="1364">
        <f>AG45+AG68</f>
        <v/>
      </c>
      <c r="AH22" s="1364">
        <f>AH45+AH68</f>
        <v/>
      </c>
      <c r="AI22" s="1365">
        <f>AI45+AI68</f>
        <v/>
      </c>
      <c r="AJ22" s="1366">
        <f>AJ45+AJ68</f>
        <v/>
      </c>
      <c r="AK22" s="1367">
        <f>AK45+AK68</f>
        <v/>
      </c>
      <c r="AL22" s="1367">
        <f>AL45+AL68</f>
        <v/>
      </c>
      <c r="AM22" s="1367">
        <f>AM45+AM68</f>
        <v/>
      </c>
      <c r="AN22" s="1368">
        <f>AN45+AN68</f>
        <v/>
      </c>
      <c r="AO22" s="1366">
        <f>AO45+AO68</f>
        <v/>
      </c>
      <c r="AP22" s="1368">
        <f>AP45+AP68</f>
        <v/>
      </c>
      <c r="AQ22" s="1369">
        <f>AQ45+AQ68</f>
        <v/>
      </c>
      <c r="AR22" s="1369">
        <f>AR45+AR68</f>
        <v/>
      </c>
      <c r="AS22" s="1369">
        <f>AS45+AS68</f>
        <v/>
      </c>
      <c r="AT22" s="1369">
        <f>AT45+AT68</f>
        <v/>
      </c>
      <c r="AU22" s="1366">
        <f>AU45+AU68</f>
        <v/>
      </c>
      <c r="AV22" s="1367">
        <f>AV45+AV68</f>
        <v/>
      </c>
      <c r="AW22" s="1367">
        <f>AW45+AW68</f>
        <v/>
      </c>
      <c r="AX22" s="1367">
        <f>AX45+AX68</f>
        <v/>
      </c>
      <c r="AY22" s="1367">
        <f>AY45+AY68</f>
        <v/>
      </c>
      <c r="AZ22" s="1368">
        <f>AZ45+AZ68</f>
        <v/>
      </c>
      <c r="BA22" s="1370" t="n"/>
      <c r="BB22" s="1371" t="n"/>
      <c r="BC22" s="1371" t="n"/>
      <c r="BD22" s="1371" t="n"/>
      <c r="BE22" s="1371" t="n"/>
      <c r="BF22" s="1371" t="n"/>
      <c r="BG22" s="1372" t="n"/>
      <c r="BH22" s="1370" t="n"/>
      <c r="BI22" s="1371" t="n"/>
      <c r="BJ22" s="1371" t="n"/>
      <c r="BK22" s="1371" t="n"/>
      <c r="BL22" s="1371" t="n"/>
      <c r="BM22" s="1372" t="n"/>
      <c r="BN22" s="1370" t="n"/>
      <c r="BO22" s="1371" t="n"/>
      <c r="BP22" s="1371" t="n"/>
      <c r="BQ22" s="1371" t="n"/>
      <c r="BR22" s="1371" t="n"/>
      <c r="BS22" s="1372" t="n"/>
      <c r="BT22" s="1370" t="n"/>
      <c r="BU22" s="1371" t="n"/>
      <c r="BV22" s="1371" t="n"/>
      <c r="BW22" s="1371" t="n"/>
      <c r="BX22" s="1371" t="n"/>
      <c r="BY22" s="1371" t="n"/>
      <c r="BZ22" s="1372" t="n"/>
      <c r="CA22" s="1370" t="n"/>
      <c r="CB22" s="1371" t="n"/>
      <c r="CC22" s="1371" t="n"/>
      <c r="CD22" s="1371" t="n"/>
      <c r="CE22" s="1371" t="n"/>
      <c r="CF22" s="1372" t="n"/>
      <c r="CG22" s="1370" t="n"/>
      <c r="CH22" s="1371" t="n"/>
      <c r="CI22" s="1371" t="n"/>
      <c r="CJ22" s="1371" t="n"/>
      <c r="CK22" s="1371" t="n"/>
      <c r="CL22" s="1372" t="n"/>
      <c r="CM22" s="1370" t="n"/>
      <c r="CN22" s="1371" t="n"/>
      <c r="CO22" s="1371" t="n"/>
      <c r="CP22" s="1371" t="n"/>
      <c r="CQ22" s="1371" t="n"/>
      <c r="CR22" s="1372" t="n"/>
      <c r="CS22" s="1370" t="n"/>
      <c r="CT22" s="1371" t="n"/>
      <c r="CU22" s="1371" t="n"/>
      <c r="CV22" s="1373" t="n"/>
      <c r="CW22" s="1373" t="n"/>
      <c r="CX22" s="1374" t="n"/>
    </row>
    <row r="23" ht="16.5" customHeight="1" s="838">
      <c r="B23" s="756" t="n"/>
      <c r="C23" s="666" t="inlineStr">
        <is>
          <t>수선비</t>
        </is>
      </c>
      <c r="D23" s="1360">
        <f>D46+D69</f>
        <v/>
      </c>
      <c r="E23" s="1361">
        <f>E46+E69</f>
        <v/>
      </c>
      <c r="F23" s="1361">
        <f>F46+F69</f>
        <v/>
      </c>
      <c r="G23" s="1361">
        <f>G46+G69</f>
        <v/>
      </c>
      <c r="H23" s="1361">
        <f>H46+H69</f>
        <v/>
      </c>
      <c r="I23" s="1361">
        <f>I46+I69</f>
        <v/>
      </c>
      <c r="J23" s="1361">
        <f>J46+J69</f>
        <v/>
      </c>
      <c r="K23" s="1361">
        <f>K46+K69</f>
        <v/>
      </c>
      <c r="L23" s="1361">
        <f>L46+L69</f>
        <v/>
      </c>
      <c r="M23" s="1361">
        <f>M46+M69</f>
        <v/>
      </c>
      <c r="N23" s="1361">
        <f>N46+N69</f>
        <v/>
      </c>
      <c r="O23" s="1361">
        <f>O46+O69</f>
        <v/>
      </c>
      <c r="P23" s="1362">
        <f>SUM(D23:O23)</f>
        <v/>
      </c>
      <c r="Q23" s="1360">
        <f>Q46+Q69</f>
        <v/>
      </c>
      <c r="R23" s="1361">
        <f>R46+R69</f>
        <v/>
      </c>
      <c r="S23" s="1361">
        <f>S46+S69</f>
        <v/>
      </c>
      <c r="T23" s="1361">
        <f>T46+T69</f>
        <v/>
      </c>
      <c r="U23" s="1361">
        <f>U46+U69</f>
        <v/>
      </c>
      <c r="V23" s="1361">
        <f>V46+V69</f>
        <v/>
      </c>
      <c r="W23" s="1361">
        <f>W46+W69</f>
        <v/>
      </c>
      <c r="X23" s="1361">
        <f>X46+X69</f>
        <v/>
      </c>
      <c r="Y23" s="1361">
        <f>Y46+Y69</f>
        <v/>
      </c>
      <c r="Z23" s="1361">
        <f>Z46+Z69</f>
        <v/>
      </c>
      <c r="AA23" s="1361">
        <f>AA46+AA69</f>
        <v/>
      </c>
      <c r="AB23" s="1361">
        <f>AB46+AB69</f>
        <v/>
      </c>
      <c r="AC23" s="1362">
        <f>SUM(Q23:AB23)</f>
        <v/>
      </c>
      <c r="AD23" s="1363">
        <f>AD46+AD69</f>
        <v/>
      </c>
      <c r="AE23" s="1364">
        <f>AE46+AE69</f>
        <v/>
      </c>
      <c r="AF23" s="1364">
        <f>AF46+AF69</f>
        <v/>
      </c>
      <c r="AG23" s="1364">
        <f>AG46+AG69</f>
        <v/>
      </c>
      <c r="AH23" s="1364">
        <f>AH46+AH69</f>
        <v/>
      </c>
      <c r="AI23" s="1365">
        <f>AI46+AI69</f>
        <v/>
      </c>
      <c r="AJ23" s="1366">
        <f>AJ46+AJ69</f>
        <v/>
      </c>
      <c r="AK23" s="1367">
        <f>AK46+AK69</f>
        <v/>
      </c>
      <c r="AL23" s="1367">
        <f>AL46+AL69</f>
        <v/>
      </c>
      <c r="AM23" s="1367">
        <f>AM46+AM69</f>
        <v/>
      </c>
      <c r="AN23" s="1368">
        <f>AN46+AN69</f>
        <v/>
      </c>
      <c r="AO23" s="1366">
        <f>AO46+AO69</f>
        <v/>
      </c>
      <c r="AP23" s="1368">
        <f>AP46+AP69</f>
        <v/>
      </c>
      <c r="AQ23" s="1369">
        <f>AQ46+AQ69</f>
        <v/>
      </c>
      <c r="AR23" s="1369">
        <f>AR46+AR69</f>
        <v/>
      </c>
      <c r="AS23" s="1369">
        <f>AS46+AS69</f>
        <v/>
      </c>
      <c r="AT23" s="1369">
        <f>AT46+AT69</f>
        <v/>
      </c>
      <c r="AU23" s="1366">
        <f>AU46+AU69</f>
        <v/>
      </c>
      <c r="AV23" s="1367">
        <f>AV46+AV69</f>
        <v/>
      </c>
      <c r="AW23" s="1367">
        <f>AW46+AW69</f>
        <v/>
      </c>
      <c r="AX23" s="1367">
        <f>AX46+AX69</f>
        <v/>
      </c>
      <c r="AY23" s="1367">
        <f>AY46+AY69</f>
        <v/>
      </c>
      <c r="AZ23" s="1368">
        <f>AZ46+AZ69</f>
        <v/>
      </c>
      <c r="BA23" s="1370" t="n"/>
      <c r="BB23" s="1371" t="n"/>
      <c r="BC23" s="1371" t="n"/>
      <c r="BD23" s="1371" t="n"/>
      <c r="BE23" s="1371" t="n"/>
      <c r="BF23" s="1371" t="n"/>
      <c r="BG23" s="1372" t="n"/>
      <c r="BH23" s="1370" t="n"/>
      <c r="BI23" s="1371" t="n"/>
      <c r="BJ23" s="1371" t="n"/>
      <c r="BK23" s="1371" t="n"/>
      <c r="BL23" s="1371" t="n"/>
      <c r="BM23" s="1372" t="n"/>
      <c r="BN23" s="1370" t="n"/>
      <c r="BO23" s="1371" t="n"/>
      <c r="BP23" s="1371" t="n"/>
      <c r="BQ23" s="1371" t="n"/>
      <c r="BR23" s="1371" t="n"/>
      <c r="BS23" s="1372" t="n"/>
      <c r="BT23" s="1370" t="n"/>
      <c r="BU23" s="1371" t="n"/>
      <c r="BV23" s="1371" t="n"/>
      <c r="BW23" s="1371" t="n"/>
      <c r="BX23" s="1371" t="n"/>
      <c r="BY23" s="1371" t="n"/>
      <c r="BZ23" s="1372" t="n"/>
      <c r="CA23" s="1370" t="n"/>
      <c r="CB23" s="1371" t="n"/>
      <c r="CC23" s="1371" t="n"/>
      <c r="CD23" s="1371" t="n"/>
      <c r="CE23" s="1371" t="n"/>
      <c r="CF23" s="1372" t="n"/>
      <c r="CG23" s="1370" t="n"/>
      <c r="CH23" s="1371" t="n"/>
      <c r="CI23" s="1371" t="n"/>
      <c r="CJ23" s="1371" t="n"/>
      <c r="CK23" s="1371" t="n"/>
      <c r="CL23" s="1372" t="n"/>
      <c r="CM23" s="1370" t="n"/>
      <c r="CN23" s="1371" t="n"/>
      <c r="CO23" s="1371" t="n"/>
      <c r="CP23" s="1371" t="n"/>
      <c r="CQ23" s="1371" t="n"/>
      <c r="CR23" s="1372" t="n"/>
      <c r="CS23" s="1370" t="n"/>
      <c r="CT23" s="1371" t="n"/>
      <c r="CU23" s="1371" t="n"/>
      <c r="CV23" s="1373" t="n"/>
      <c r="CW23" s="1373" t="n"/>
      <c r="CX23" s="1374" t="n"/>
    </row>
    <row r="24" ht="16.5" customHeight="1" s="838">
      <c r="B24" s="756" t="n"/>
      <c r="C24" s="666" t="inlineStr">
        <is>
          <t>통신비</t>
        </is>
      </c>
      <c r="D24" s="1360">
        <f>D47+D70</f>
        <v/>
      </c>
      <c r="E24" s="1361">
        <f>E47+E70</f>
        <v/>
      </c>
      <c r="F24" s="1361">
        <f>F47+F70</f>
        <v/>
      </c>
      <c r="G24" s="1361">
        <f>G47+G70</f>
        <v/>
      </c>
      <c r="H24" s="1361">
        <f>H47+H70</f>
        <v/>
      </c>
      <c r="I24" s="1361">
        <f>I47+I70</f>
        <v/>
      </c>
      <c r="J24" s="1361">
        <f>J47+J70</f>
        <v/>
      </c>
      <c r="K24" s="1361">
        <f>K47+K70</f>
        <v/>
      </c>
      <c r="L24" s="1361">
        <f>L47+L70</f>
        <v/>
      </c>
      <c r="M24" s="1361">
        <f>M47+M70</f>
        <v/>
      </c>
      <c r="N24" s="1361">
        <f>N47+N70</f>
        <v/>
      </c>
      <c r="O24" s="1361">
        <f>O47+O70</f>
        <v/>
      </c>
      <c r="P24" s="1362">
        <f>SUM(D24:O24)</f>
        <v/>
      </c>
      <c r="Q24" s="1360">
        <f>Q47+Q70</f>
        <v/>
      </c>
      <c r="R24" s="1361">
        <f>R47+R70</f>
        <v/>
      </c>
      <c r="S24" s="1361">
        <f>S47+S70</f>
        <v/>
      </c>
      <c r="T24" s="1361">
        <f>T47+T70</f>
        <v/>
      </c>
      <c r="U24" s="1361">
        <f>U47+U70</f>
        <v/>
      </c>
      <c r="V24" s="1361">
        <f>V47+V70</f>
        <v/>
      </c>
      <c r="W24" s="1361">
        <f>W47+W70</f>
        <v/>
      </c>
      <c r="X24" s="1361">
        <f>X47+X70</f>
        <v/>
      </c>
      <c r="Y24" s="1361">
        <f>Y47+Y70</f>
        <v/>
      </c>
      <c r="Z24" s="1361">
        <f>Z47+Z70</f>
        <v/>
      </c>
      <c r="AA24" s="1361">
        <f>AA47+AA70</f>
        <v/>
      </c>
      <c r="AB24" s="1361">
        <f>AB47+AB70</f>
        <v/>
      </c>
      <c r="AC24" s="1362">
        <f>SUM(Q24:AB24)</f>
        <v/>
      </c>
      <c r="AD24" s="1363">
        <f>AD47+AD70</f>
        <v/>
      </c>
      <c r="AE24" s="1364">
        <f>AE47+AE70</f>
        <v/>
      </c>
      <c r="AF24" s="1364">
        <f>AF47+AF70</f>
        <v/>
      </c>
      <c r="AG24" s="1364">
        <f>AG47+AG70</f>
        <v/>
      </c>
      <c r="AH24" s="1364">
        <f>AH47+AH70</f>
        <v/>
      </c>
      <c r="AI24" s="1365">
        <f>AI47+AI70</f>
        <v/>
      </c>
      <c r="AJ24" s="1366">
        <f>AJ47+AJ70</f>
        <v/>
      </c>
      <c r="AK24" s="1367">
        <f>AK47+AK70</f>
        <v/>
      </c>
      <c r="AL24" s="1367">
        <f>AL47+AL70</f>
        <v/>
      </c>
      <c r="AM24" s="1367">
        <f>AM47+AM70</f>
        <v/>
      </c>
      <c r="AN24" s="1368">
        <f>AN47+AN70</f>
        <v/>
      </c>
      <c r="AO24" s="1366">
        <f>AO47+AO70</f>
        <v/>
      </c>
      <c r="AP24" s="1368">
        <f>AP47+AP70</f>
        <v/>
      </c>
      <c r="AQ24" s="1369">
        <f>AQ47+AQ70</f>
        <v/>
      </c>
      <c r="AR24" s="1369">
        <f>AR47+AR70</f>
        <v/>
      </c>
      <c r="AS24" s="1369">
        <f>AS47+AS70</f>
        <v/>
      </c>
      <c r="AT24" s="1369">
        <f>AT47+AT70</f>
        <v/>
      </c>
      <c r="AU24" s="1366">
        <f>AU47+AU70</f>
        <v/>
      </c>
      <c r="AV24" s="1367">
        <f>AV47+AV70</f>
        <v/>
      </c>
      <c r="AW24" s="1367">
        <f>AW47+AW70</f>
        <v/>
      </c>
      <c r="AX24" s="1367">
        <f>AX47+AX70</f>
        <v/>
      </c>
      <c r="AY24" s="1367">
        <f>AY47+AY70</f>
        <v/>
      </c>
      <c r="AZ24" s="1368">
        <f>AZ47+AZ70</f>
        <v/>
      </c>
      <c r="BA24" s="1370" t="n"/>
      <c r="BB24" s="1371" t="n"/>
      <c r="BC24" s="1371" t="n"/>
      <c r="BD24" s="1371" t="n"/>
      <c r="BE24" s="1371" t="n"/>
      <c r="BF24" s="1371" t="n"/>
      <c r="BG24" s="1372" t="n"/>
      <c r="BH24" s="1370" t="n"/>
      <c r="BI24" s="1371" t="n"/>
      <c r="BJ24" s="1371" t="n"/>
      <c r="BK24" s="1371" t="n"/>
      <c r="BL24" s="1371" t="n"/>
      <c r="BM24" s="1372" t="n"/>
      <c r="BN24" s="1370" t="n"/>
      <c r="BO24" s="1371" t="n"/>
      <c r="BP24" s="1371" t="n"/>
      <c r="BQ24" s="1371" t="n"/>
      <c r="BR24" s="1371" t="n"/>
      <c r="BS24" s="1372" t="n"/>
      <c r="BT24" s="1370" t="n"/>
      <c r="BU24" s="1371" t="n"/>
      <c r="BV24" s="1371" t="n"/>
      <c r="BW24" s="1371" t="n"/>
      <c r="BX24" s="1371" t="n"/>
      <c r="BY24" s="1371" t="n"/>
      <c r="BZ24" s="1372" t="n"/>
      <c r="CA24" s="1370" t="n"/>
      <c r="CB24" s="1371" t="n"/>
      <c r="CC24" s="1371" t="n"/>
      <c r="CD24" s="1371" t="n"/>
      <c r="CE24" s="1371" t="n"/>
      <c r="CF24" s="1372" t="n"/>
      <c r="CG24" s="1370" t="n"/>
      <c r="CH24" s="1371" t="n"/>
      <c r="CI24" s="1371" t="n"/>
      <c r="CJ24" s="1371" t="n"/>
      <c r="CK24" s="1371" t="n"/>
      <c r="CL24" s="1372" t="n"/>
      <c r="CM24" s="1370" t="n"/>
      <c r="CN24" s="1371" t="n"/>
      <c r="CO24" s="1371" t="n"/>
      <c r="CP24" s="1371" t="n"/>
      <c r="CQ24" s="1371" t="n"/>
      <c r="CR24" s="1372" t="n"/>
      <c r="CS24" s="1370" t="n"/>
      <c r="CT24" s="1371" t="n"/>
      <c r="CU24" s="1371" t="n"/>
      <c r="CV24" s="1373" t="n"/>
      <c r="CW24" s="1373" t="n"/>
      <c r="CX24" s="1374" t="n"/>
    </row>
    <row r="25" ht="16.5" customHeight="1" s="838">
      <c r="B25" s="756" t="n"/>
      <c r="C25" s="666" t="inlineStr">
        <is>
          <t>샘플비</t>
        </is>
      </c>
      <c r="D25" s="1360">
        <f>D48+D71</f>
        <v/>
      </c>
      <c r="E25" s="1361">
        <f>E48+E71</f>
        <v/>
      </c>
      <c r="F25" s="1361">
        <f>F48+F71</f>
        <v/>
      </c>
      <c r="G25" s="1361">
        <f>G48+G71</f>
        <v/>
      </c>
      <c r="H25" s="1361">
        <f>H48+H71</f>
        <v/>
      </c>
      <c r="I25" s="1361">
        <f>I48+I71</f>
        <v/>
      </c>
      <c r="J25" s="1361">
        <f>J48+J71</f>
        <v/>
      </c>
      <c r="K25" s="1361">
        <f>K48+K71</f>
        <v/>
      </c>
      <c r="L25" s="1361">
        <f>L48+L71</f>
        <v/>
      </c>
      <c r="M25" s="1361">
        <f>M48+M71</f>
        <v/>
      </c>
      <c r="N25" s="1361">
        <f>N48+N71</f>
        <v/>
      </c>
      <c r="O25" s="1361">
        <f>O48+O71</f>
        <v/>
      </c>
      <c r="P25" s="1362">
        <f>SUM(D25:O25)</f>
        <v/>
      </c>
      <c r="Q25" s="1360">
        <f>Q48+Q71</f>
        <v/>
      </c>
      <c r="R25" s="1361">
        <f>R48+R71</f>
        <v/>
      </c>
      <c r="S25" s="1361">
        <f>S48+S71</f>
        <v/>
      </c>
      <c r="T25" s="1361">
        <f>T48+T71</f>
        <v/>
      </c>
      <c r="U25" s="1361">
        <f>U48+U71</f>
        <v/>
      </c>
      <c r="V25" s="1361">
        <f>V48+V71</f>
        <v/>
      </c>
      <c r="W25" s="1361">
        <f>W48+W71</f>
        <v/>
      </c>
      <c r="X25" s="1361">
        <f>X48+X71</f>
        <v/>
      </c>
      <c r="Y25" s="1361">
        <f>Y48+Y71</f>
        <v/>
      </c>
      <c r="Z25" s="1361">
        <f>Z48+Z71</f>
        <v/>
      </c>
      <c r="AA25" s="1361">
        <f>AA48+AA71</f>
        <v/>
      </c>
      <c r="AB25" s="1361">
        <f>AB48+AB71</f>
        <v/>
      </c>
      <c r="AC25" s="1362">
        <f>SUM(Q25:AB25)</f>
        <v/>
      </c>
      <c r="AD25" s="1363">
        <f>AD48+AD71</f>
        <v/>
      </c>
      <c r="AE25" s="1364">
        <f>AE48+AE71</f>
        <v/>
      </c>
      <c r="AF25" s="1364">
        <f>AF48+AF71</f>
        <v/>
      </c>
      <c r="AG25" s="1364">
        <f>AG48+AG71</f>
        <v/>
      </c>
      <c r="AH25" s="1364">
        <f>AH48+AH71</f>
        <v/>
      </c>
      <c r="AI25" s="1365">
        <f>AI48+AI71</f>
        <v/>
      </c>
      <c r="AJ25" s="1366">
        <f>AJ48+AJ71</f>
        <v/>
      </c>
      <c r="AK25" s="1367">
        <f>AK48+AK71</f>
        <v/>
      </c>
      <c r="AL25" s="1367">
        <f>AL48+AL71</f>
        <v/>
      </c>
      <c r="AM25" s="1367">
        <f>AM48+AM71</f>
        <v/>
      </c>
      <c r="AN25" s="1368">
        <f>AN48+AN71</f>
        <v/>
      </c>
      <c r="AO25" s="1366">
        <f>AO48+AO71</f>
        <v/>
      </c>
      <c r="AP25" s="1368">
        <f>AP48+AP71</f>
        <v/>
      </c>
      <c r="AQ25" s="1369">
        <f>AQ48+AQ71</f>
        <v/>
      </c>
      <c r="AR25" s="1369">
        <f>AR48+AR71</f>
        <v/>
      </c>
      <c r="AS25" s="1369">
        <f>AS48+AS71</f>
        <v/>
      </c>
      <c r="AT25" s="1369">
        <f>AT48+AT71</f>
        <v/>
      </c>
      <c r="AU25" s="1366">
        <f>AU48+AU71</f>
        <v/>
      </c>
      <c r="AV25" s="1367">
        <f>AV48+AV71</f>
        <v/>
      </c>
      <c r="AW25" s="1367">
        <f>AW48+AW71</f>
        <v/>
      </c>
      <c r="AX25" s="1367">
        <f>AX48+AX71</f>
        <v/>
      </c>
      <c r="AY25" s="1367">
        <f>AY48+AY71</f>
        <v/>
      </c>
      <c r="AZ25" s="1368">
        <f>AZ48+AZ71</f>
        <v/>
      </c>
      <c r="BA25" s="1370" t="n"/>
      <c r="BB25" s="1371" t="n"/>
      <c r="BC25" s="1371" t="n"/>
      <c r="BD25" s="1371" t="n"/>
      <c r="BE25" s="1371" t="n"/>
      <c r="BF25" s="1371" t="n"/>
      <c r="BG25" s="1372" t="n"/>
      <c r="BH25" s="1370" t="n"/>
      <c r="BI25" s="1371" t="n"/>
      <c r="BJ25" s="1371" t="n"/>
      <c r="BK25" s="1371" t="n"/>
      <c r="BL25" s="1371" t="n"/>
      <c r="BM25" s="1372" t="n"/>
      <c r="BN25" s="1370" t="n"/>
      <c r="BO25" s="1371" t="n"/>
      <c r="BP25" s="1371" t="n"/>
      <c r="BQ25" s="1371" t="n"/>
      <c r="BR25" s="1371" t="n"/>
      <c r="BS25" s="1372" t="n"/>
      <c r="BT25" s="1370" t="n"/>
      <c r="BU25" s="1371" t="n"/>
      <c r="BV25" s="1371" t="n"/>
      <c r="BW25" s="1371" t="n"/>
      <c r="BX25" s="1371" t="n"/>
      <c r="BY25" s="1371" t="n"/>
      <c r="BZ25" s="1372" t="n"/>
      <c r="CA25" s="1370" t="n"/>
      <c r="CB25" s="1371" t="n"/>
      <c r="CC25" s="1371" t="n"/>
      <c r="CD25" s="1371" t="n"/>
      <c r="CE25" s="1371" t="n"/>
      <c r="CF25" s="1372" t="n"/>
      <c r="CG25" s="1370" t="n"/>
      <c r="CH25" s="1371" t="n"/>
      <c r="CI25" s="1371" t="n"/>
      <c r="CJ25" s="1371" t="n"/>
      <c r="CK25" s="1371" t="n"/>
      <c r="CL25" s="1372" t="n"/>
      <c r="CM25" s="1370" t="n"/>
      <c r="CN25" s="1371" t="n"/>
      <c r="CO25" s="1371" t="n"/>
      <c r="CP25" s="1371" t="n"/>
      <c r="CQ25" s="1371" t="n"/>
      <c r="CR25" s="1372" t="n"/>
      <c r="CS25" s="1370" t="n"/>
      <c r="CT25" s="1371" t="n"/>
      <c r="CU25" s="1371" t="n"/>
      <c r="CV25" s="1373" t="n"/>
      <c r="CW25" s="1373" t="n"/>
      <c r="CX25" s="1374" t="n"/>
    </row>
    <row r="26" ht="16.5" customHeight="1" s="838">
      <c r="B26" s="756" t="n"/>
      <c r="C26" s="666" t="inlineStr">
        <is>
          <t>교육비</t>
        </is>
      </c>
      <c r="D26" s="1360">
        <f>D49+D72</f>
        <v/>
      </c>
      <c r="E26" s="1361">
        <f>E49+E72</f>
        <v/>
      </c>
      <c r="F26" s="1361">
        <f>F49+F72</f>
        <v/>
      </c>
      <c r="G26" s="1361">
        <f>G49+G72</f>
        <v/>
      </c>
      <c r="H26" s="1361">
        <f>H49+H72</f>
        <v/>
      </c>
      <c r="I26" s="1361">
        <f>I49+I72</f>
        <v/>
      </c>
      <c r="J26" s="1361">
        <f>J49+J72</f>
        <v/>
      </c>
      <c r="K26" s="1361">
        <f>K49+K72</f>
        <v/>
      </c>
      <c r="L26" s="1361">
        <f>L49+L72</f>
        <v/>
      </c>
      <c r="M26" s="1361">
        <f>M49+M72</f>
        <v/>
      </c>
      <c r="N26" s="1361">
        <f>N49+N72</f>
        <v/>
      </c>
      <c r="O26" s="1361">
        <f>O49+O72</f>
        <v/>
      </c>
      <c r="P26" s="1362">
        <f>SUM(D26:O26)</f>
        <v/>
      </c>
      <c r="Q26" s="1360">
        <f>Q49+Q72</f>
        <v/>
      </c>
      <c r="R26" s="1361">
        <f>R49+R72</f>
        <v/>
      </c>
      <c r="S26" s="1361">
        <f>S49+S72</f>
        <v/>
      </c>
      <c r="T26" s="1361">
        <f>T49+T72</f>
        <v/>
      </c>
      <c r="U26" s="1361">
        <f>U49+U72</f>
        <v/>
      </c>
      <c r="V26" s="1361">
        <f>V49+V72</f>
        <v/>
      </c>
      <c r="W26" s="1361">
        <f>W49+W72</f>
        <v/>
      </c>
      <c r="X26" s="1361">
        <f>X49+X72</f>
        <v/>
      </c>
      <c r="Y26" s="1361">
        <f>Y49+Y72</f>
        <v/>
      </c>
      <c r="Z26" s="1361">
        <f>Z49+Z72</f>
        <v/>
      </c>
      <c r="AA26" s="1361">
        <f>AA49+AA72</f>
        <v/>
      </c>
      <c r="AB26" s="1361">
        <f>AB49+AB72</f>
        <v/>
      </c>
      <c r="AC26" s="1362">
        <f>SUM(Q26:AB26)</f>
        <v/>
      </c>
      <c r="AD26" s="1363">
        <f>AD49+AD72</f>
        <v/>
      </c>
      <c r="AE26" s="1364">
        <f>AE49+AE72</f>
        <v/>
      </c>
      <c r="AF26" s="1364">
        <f>AF49+AF72</f>
        <v/>
      </c>
      <c r="AG26" s="1364">
        <f>AG49+AG72</f>
        <v/>
      </c>
      <c r="AH26" s="1364">
        <f>AH49+AH72</f>
        <v/>
      </c>
      <c r="AI26" s="1365">
        <f>AI49+AI72</f>
        <v/>
      </c>
      <c r="AJ26" s="1366">
        <f>AJ49+AJ72</f>
        <v/>
      </c>
      <c r="AK26" s="1367">
        <f>AK49+AK72</f>
        <v/>
      </c>
      <c r="AL26" s="1367">
        <f>AL49+AL72</f>
        <v/>
      </c>
      <c r="AM26" s="1367">
        <f>AM49+AM72</f>
        <v/>
      </c>
      <c r="AN26" s="1368">
        <f>AN49+AN72</f>
        <v/>
      </c>
      <c r="AO26" s="1366">
        <f>AO49+AO72</f>
        <v/>
      </c>
      <c r="AP26" s="1368">
        <f>AP49+AP72</f>
        <v/>
      </c>
      <c r="AQ26" s="1369">
        <f>AQ49+AQ72</f>
        <v/>
      </c>
      <c r="AR26" s="1369">
        <f>AR49+AR72</f>
        <v/>
      </c>
      <c r="AS26" s="1369">
        <f>AS49+AS72</f>
        <v/>
      </c>
      <c r="AT26" s="1369">
        <f>AT49+AT72</f>
        <v/>
      </c>
      <c r="AU26" s="1366">
        <f>AU49+AU72</f>
        <v/>
      </c>
      <c r="AV26" s="1367">
        <f>AV49+AV72</f>
        <v/>
      </c>
      <c r="AW26" s="1367">
        <f>AW49+AW72</f>
        <v/>
      </c>
      <c r="AX26" s="1367">
        <f>AX49+AX72</f>
        <v/>
      </c>
      <c r="AY26" s="1367">
        <f>AY49+AY72</f>
        <v/>
      </c>
      <c r="AZ26" s="1368">
        <f>AZ49+AZ72</f>
        <v/>
      </c>
      <c r="BA26" s="1370" t="n"/>
      <c r="BB26" s="1371" t="n"/>
      <c r="BC26" s="1371" t="n"/>
      <c r="BD26" s="1371" t="n"/>
      <c r="BE26" s="1371" t="n"/>
      <c r="BF26" s="1371" t="n"/>
      <c r="BG26" s="1372" t="n"/>
      <c r="BH26" s="1370" t="n"/>
      <c r="BI26" s="1371" t="n"/>
      <c r="BJ26" s="1371" t="n"/>
      <c r="BK26" s="1371" t="n"/>
      <c r="BL26" s="1371" t="n"/>
      <c r="BM26" s="1372" t="n"/>
      <c r="BN26" s="1370" t="n"/>
      <c r="BO26" s="1371" t="n"/>
      <c r="BP26" s="1371" t="n"/>
      <c r="BQ26" s="1371" t="n"/>
      <c r="BR26" s="1371" t="n"/>
      <c r="BS26" s="1372" t="n"/>
      <c r="BT26" s="1370" t="n"/>
      <c r="BU26" s="1371" t="n"/>
      <c r="BV26" s="1371" t="n"/>
      <c r="BW26" s="1371" t="n"/>
      <c r="BX26" s="1371" t="n"/>
      <c r="BY26" s="1371" t="n"/>
      <c r="BZ26" s="1372" t="n"/>
      <c r="CA26" s="1370" t="n"/>
      <c r="CB26" s="1371" t="n"/>
      <c r="CC26" s="1371" t="n"/>
      <c r="CD26" s="1371" t="n"/>
      <c r="CE26" s="1371" t="n"/>
      <c r="CF26" s="1372" t="n"/>
      <c r="CG26" s="1370" t="n"/>
      <c r="CH26" s="1371" t="n"/>
      <c r="CI26" s="1371" t="n"/>
      <c r="CJ26" s="1371" t="n"/>
      <c r="CK26" s="1371" t="n"/>
      <c r="CL26" s="1372" t="n"/>
      <c r="CM26" s="1370" t="n"/>
      <c r="CN26" s="1371" t="n"/>
      <c r="CO26" s="1371" t="n"/>
      <c r="CP26" s="1371" t="n"/>
      <c r="CQ26" s="1371" t="n"/>
      <c r="CR26" s="1372" t="n"/>
      <c r="CS26" s="1370" t="n"/>
      <c r="CT26" s="1371" t="n"/>
      <c r="CU26" s="1371" t="n"/>
      <c r="CV26" s="1373" t="n"/>
      <c r="CW26" s="1373" t="n"/>
      <c r="CX26" s="1374" t="n"/>
    </row>
    <row r="27" ht="17.25" customHeight="1" s="838">
      <c r="B27" s="770" t="n"/>
      <c r="C27" s="683" t="inlineStr">
        <is>
          <t>기타</t>
        </is>
      </c>
      <c r="D27" s="1375">
        <f>D50+D73</f>
        <v/>
      </c>
      <c r="E27" s="1376">
        <f>E50+E73</f>
        <v/>
      </c>
      <c r="F27" s="1376">
        <f>F50+F73</f>
        <v/>
      </c>
      <c r="G27" s="1376">
        <f>G50+G73</f>
        <v/>
      </c>
      <c r="H27" s="1376">
        <f>H50+H73</f>
        <v/>
      </c>
      <c r="I27" s="1376">
        <f>I50+I73</f>
        <v/>
      </c>
      <c r="J27" s="1376">
        <f>J50+J73</f>
        <v/>
      </c>
      <c r="K27" s="1376">
        <f>K50+K73</f>
        <v/>
      </c>
      <c r="L27" s="1376">
        <f>L50+L73</f>
        <v/>
      </c>
      <c r="M27" s="1376">
        <f>M50+M73</f>
        <v/>
      </c>
      <c r="N27" s="1376">
        <f>N50+N73</f>
        <v/>
      </c>
      <c r="O27" s="1376">
        <f>O50+O73</f>
        <v/>
      </c>
      <c r="P27" s="1377">
        <f>SUM(D27:O27)</f>
        <v/>
      </c>
      <c r="Q27" s="1375">
        <f>Q50+Q73</f>
        <v/>
      </c>
      <c r="R27" s="1376">
        <f>R50+R73</f>
        <v/>
      </c>
      <c r="S27" s="1376">
        <f>S50+S73</f>
        <v/>
      </c>
      <c r="T27" s="1376">
        <f>T50+T73</f>
        <v/>
      </c>
      <c r="U27" s="1376">
        <f>U50+U73</f>
        <v/>
      </c>
      <c r="V27" s="1376">
        <f>V50+V73</f>
        <v/>
      </c>
      <c r="W27" s="1376">
        <f>W50+W73</f>
        <v/>
      </c>
      <c r="X27" s="1376">
        <f>X50+X73</f>
        <v/>
      </c>
      <c r="Y27" s="1376">
        <f>Y50+Y73</f>
        <v/>
      </c>
      <c r="Z27" s="1376">
        <f>Z50+Z73</f>
        <v/>
      </c>
      <c r="AA27" s="1376">
        <f>AA50+AA73</f>
        <v/>
      </c>
      <c r="AB27" s="1376">
        <f>AB50+AB73</f>
        <v/>
      </c>
      <c r="AC27" s="1377">
        <f>SUM(Q27:AB27)</f>
        <v/>
      </c>
      <c r="AD27" s="1378">
        <f>AD50+AD73</f>
        <v/>
      </c>
      <c r="AE27" s="1379">
        <f>AE50+AE73</f>
        <v/>
      </c>
      <c r="AF27" s="1379">
        <f>AF50+AF73</f>
        <v/>
      </c>
      <c r="AG27" s="1379">
        <f>AG50+AG73</f>
        <v/>
      </c>
      <c r="AH27" s="1379">
        <f>AH50+AH73</f>
        <v/>
      </c>
      <c r="AI27" s="1380">
        <f>AI50+AI73</f>
        <v/>
      </c>
      <c r="AJ27" s="1381">
        <f>AJ50+AJ73</f>
        <v/>
      </c>
      <c r="AK27" s="1382">
        <f>AK50+AK73</f>
        <v/>
      </c>
      <c r="AL27" s="1382">
        <f>AL50+AL73</f>
        <v/>
      </c>
      <c r="AM27" s="1382">
        <f>AM50+AM73</f>
        <v/>
      </c>
      <c r="AN27" s="1383">
        <f>AN50+AN73</f>
        <v/>
      </c>
      <c r="AO27" s="1381">
        <f>AO50+AO73</f>
        <v/>
      </c>
      <c r="AP27" s="1383">
        <f>AP50+AP73</f>
        <v/>
      </c>
      <c r="AQ27" s="1384">
        <f>AQ50+AQ73</f>
        <v/>
      </c>
      <c r="AR27" s="1384">
        <f>AR50+AR73</f>
        <v/>
      </c>
      <c r="AS27" s="1384">
        <f>AS50+AS73</f>
        <v/>
      </c>
      <c r="AT27" s="1384">
        <f>AT50+AT73</f>
        <v/>
      </c>
      <c r="AU27" s="1381">
        <f>AU50+AU73</f>
        <v/>
      </c>
      <c r="AV27" s="1382">
        <f>AV50+AV73</f>
        <v/>
      </c>
      <c r="AW27" s="1382">
        <f>AW50+AW73</f>
        <v/>
      </c>
      <c r="AX27" s="1382">
        <f>AX50+AX73</f>
        <v/>
      </c>
      <c r="AY27" s="1382">
        <f>AY50+AY73</f>
        <v/>
      </c>
      <c r="AZ27" s="1383">
        <f>AZ50+AZ73</f>
        <v/>
      </c>
      <c r="BA27" s="1385" t="n"/>
      <c r="BB27" s="1386" t="n"/>
      <c r="BC27" s="1386" t="n"/>
      <c r="BD27" s="1386" t="n"/>
      <c r="BE27" s="1386" t="n"/>
      <c r="BF27" s="1386" t="n"/>
      <c r="BG27" s="1387" t="n"/>
      <c r="BH27" s="1385" t="n"/>
      <c r="BI27" s="1386" t="n"/>
      <c r="BJ27" s="1386" t="n"/>
      <c r="BK27" s="1386" t="n"/>
      <c r="BL27" s="1386" t="n"/>
      <c r="BM27" s="1387" t="n"/>
      <c r="BN27" s="1385" t="n"/>
      <c r="BO27" s="1386" t="n"/>
      <c r="BP27" s="1386" t="n"/>
      <c r="BQ27" s="1386" t="n"/>
      <c r="BR27" s="1386" t="n"/>
      <c r="BS27" s="1387" t="n"/>
      <c r="BT27" s="1385" t="n"/>
      <c r="BU27" s="1386" t="n"/>
      <c r="BV27" s="1386" t="n"/>
      <c r="BW27" s="1386" t="n"/>
      <c r="BX27" s="1386" t="n"/>
      <c r="BY27" s="1386" t="n"/>
      <c r="BZ27" s="1387" t="n"/>
      <c r="CA27" s="1385" t="n"/>
      <c r="CB27" s="1386" t="n"/>
      <c r="CC27" s="1386" t="n"/>
      <c r="CD27" s="1386" t="n"/>
      <c r="CE27" s="1386" t="n"/>
      <c r="CF27" s="1387" t="n"/>
      <c r="CG27" s="1385" t="n"/>
      <c r="CH27" s="1386" t="n"/>
      <c r="CI27" s="1386" t="n"/>
      <c r="CJ27" s="1386" t="n"/>
      <c r="CK27" s="1386" t="n"/>
      <c r="CL27" s="1387" t="n"/>
      <c r="CM27" s="1385" t="n"/>
      <c r="CN27" s="1386" t="n"/>
      <c r="CO27" s="1386" t="n"/>
      <c r="CP27" s="1386" t="n"/>
      <c r="CQ27" s="1386" t="n"/>
      <c r="CR27" s="1387" t="n"/>
      <c r="CS27" s="1385" t="n"/>
      <c r="CT27" s="1386" t="n"/>
      <c r="CU27" s="1386" t="n"/>
      <c r="CV27" s="1388" t="n"/>
      <c r="CW27" s="1388" t="n"/>
      <c r="CX27" s="1389" t="n"/>
    </row>
    <row r="28" ht="16.5" customHeight="1" s="838">
      <c r="B28" s="818" t="inlineStr">
        <is>
          <t>제품1</t>
        </is>
      </c>
      <c r="C28" s="652" t="inlineStr">
        <is>
          <t>고정비</t>
        </is>
      </c>
      <c r="D28" s="1347">
        <f>SUM(D29:D50)</f>
        <v/>
      </c>
      <c r="E28" s="1348">
        <f>SUM(E29:E50)</f>
        <v/>
      </c>
      <c r="F28" s="1348">
        <f>SUM(F29:F50)</f>
        <v/>
      </c>
      <c r="G28" s="1348">
        <f>SUM(G29:G50)</f>
        <v/>
      </c>
      <c r="H28" s="1348">
        <f>SUM(H29:H50)</f>
        <v/>
      </c>
      <c r="I28" s="1348">
        <f>SUM(I29:I50)</f>
        <v/>
      </c>
      <c r="J28" s="1348">
        <f>SUM(J29:J50)</f>
        <v/>
      </c>
      <c r="K28" s="1348">
        <f>SUM(K29:K50)</f>
        <v/>
      </c>
      <c r="L28" s="1348">
        <f>SUM(L29:L50)</f>
        <v/>
      </c>
      <c r="M28" s="1348">
        <f>SUM(M29:M50)</f>
        <v/>
      </c>
      <c r="N28" s="1348">
        <f>SUM(N29:N50)</f>
        <v/>
      </c>
      <c r="O28" s="1348">
        <f>SUM(O29:O50)</f>
        <v/>
      </c>
      <c r="P28" s="1349">
        <f>SUM(D28:O28)</f>
        <v/>
      </c>
      <c r="Q28" s="1347">
        <f>SUM(Q29:Q50)</f>
        <v/>
      </c>
      <c r="R28" s="1348">
        <f>SUM(R29:R50)</f>
        <v/>
      </c>
      <c r="S28" s="1348">
        <f>SUM(S29:S50)</f>
        <v/>
      </c>
      <c r="T28" s="1348">
        <f>SUM(T29:T50)</f>
        <v/>
      </c>
      <c r="U28" s="1348">
        <f>SUM(U29:U50)</f>
        <v/>
      </c>
      <c r="V28" s="1348">
        <f>SUM(V29:V50)</f>
        <v/>
      </c>
      <c r="W28" s="1348">
        <f>SUM(W29:W50)</f>
        <v/>
      </c>
      <c r="X28" s="1348">
        <f>SUM(X29:X50)</f>
        <v/>
      </c>
      <c r="Y28" s="1348">
        <f>SUM(Y29:Y50)</f>
        <v/>
      </c>
      <c r="Z28" s="1348">
        <f>SUM(Z29:Z50)</f>
        <v/>
      </c>
      <c r="AA28" s="1348">
        <f>SUM(AA29:AA50)</f>
        <v/>
      </c>
      <c r="AB28" s="1348">
        <f>SUM(AB29:AB50)</f>
        <v/>
      </c>
      <c r="AC28" s="1349">
        <f>SUM(Q28:AB28)</f>
        <v/>
      </c>
      <c r="AD28" s="1350">
        <f>SUM(AD29:AD50)</f>
        <v/>
      </c>
      <c r="AE28" s="1351">
        <f>SUM(AE29:AE50)</f>
        <v/>
      </c>
      <c r="AF28" s="1351">
        <f>SUM(AF29:AF50)</f>
        <v/>
      </c>
      <c r="AG28" s="1351">
        <f>SUM(AG29:AG50)</f>
        <v/>
      </c>
      <c r="AH28" s="1351">
        <f>SUM(AH29:AH50)</f>
        <v/>
      </c>
      <c r="AI28" s="1352">
        <f>SUM(AI29:AI50)</f>
        <v/>
      </c>
      <c r="AJ28" s="1353">
        <f>SUM(AJ29:AJ50)</f>
        <v/>
      </c>
      <c r="AK28" s="1351">
        <f>SUM(AK29:AK50)</f>
        <v/>
      </c>
      <c r="AL28" s="1351">
        <f>SUM(AL29:AL50)</f>
        <v/>
      </c>
      <c r="AM28" s="1351">
        <f>SUM(AM29:AM50)</f>
        <v/>
      </c>
      <c r="AN28" s="1352">
        <f>SUM(AN29:AN50)</f>
        <v/>
      </c>
      <c r="AO28" s="1353">
        <f>SUM(AO29:AO50)</f>
        <v/>
      </c>
      <c r="AP28" s="1352">
        <f>SUM(AP29:AP50)</f>
        <v/>
      </c>
      <c r="AQ28" s="1354">
        <f>SUM(AQ29:AQ50)</f>
        <v/>
      </c>
      <c r="AR28" s="1354">
        <f>SUM(AR29:AR50)</f>
        <v/>
      </c>
      <c r="AS28" s="1354">
        <f>SUM(AS29:AS50)</f>
        <v/>
      </c>
      <c r="AT28" s="1354">
        <f>SUM(AT29:AT50)</f>
        <v/>
      </c>
      <c r="AU28" s="1353">
        <f>SUM(AU29:AU50)</f>
        <v/>
      </c>
      <c r="AV28" s="1351">
        <f>SUM(AV29:AV50)</f>
        <v/>
      </c>
      <c r="AW28" s="1351">
        <f>SUM(AW29:AW50)</f>
        <v/>
      </c>
      <c r="AX28" s="1351">
        <f>SUM(AX29:AX50)</f>
        <v/>
      </c>
      <c r="AY28" s="1351">
        <f>SUM(AY29:AY50)</f>
        <v/>
      </c>
      <c r="AZ28" s="1352">
        <f>SUM(AZ29:AZ50)</f>
        <v/>
      </c>
      <c r="BA28" s="1355" t="n"/>
      <c r="BB28" s="1356" t="n"/>
      <c r="BC28" s="1356" t="n"/>
      <c r="BD28" s="1356" t="n"/>
      <c r="BE28" s="1356" t="n"/>
      <c r="BF28" s="1356" t="n"/>
      <c r="BG28" s="1357" t="n"/>
      <c r="BH28" s="1355" t="n"/>
      <c r="BI28" s="1356" t="n"/>
      <c r="BJ28" s="1356" t="n"/>
      <c r="BK28" s="1356" t="n"/>
      <c r="BL28" s="1356" t="n"/>
      <c r="BM28" s="1357" t="n"/>
      <c r="BN28" s="1355" t="n"/>
      <c r="BO28" s="1356" t="n"/>
      <c r="BP28" s="1356" t="n"/>
      <c r="BQ28" s="1356" t="n"/>
      <c r="BR28" s="1356" t="n"/>
      <c r="BS28" s="1357" t="n"/>
      <c r="BT28" s="1355" t="n"/>
      <c r="BU28" s="1356" t="n"/>
      <c r="BV28" s="1356" t="n"/>
      <c r="BW28" s="1356" t="n"/>
      <c r="BX28" s="1356" t="n"/>
      <c r="BY28" s="1356" t="n"/>
      <c r="BZ28" s="1357" t="n"/>
      <c r="CA28" s="1355" t="n"/>
      <c r="CB28" s="1356" t="n"/>
      <c r="CC28" s="1356" t="n"/>
      <c r="CD28" s="1356" t="n"/>
      <c r="CE28" s="1356" t="n"/>
      <c r="CF28" s="1357" t="n"/>
      <c r="CG28" s="1355" t="n"/>
      <c r="CH28" s="1356" t="n"/>
      <c r="CI28" s="1356" t="n"/>
      <c r="CJ28" s="1356" t="n"/>
      <c r="CK28" s="1356" t="n"/>
      <c r="CL28" s="1357" t="n"/>
      <c r="CM28" s="1355" t="n"/>
      <c r="CN28" s="1356" t="n"/>
      <c r="CO28" s="1356" t="n"/>
      <c r="CP28" s="1356" t="n"/>
      <c r="CQ28" s="1356" t="n"/>
      <c r="CR28" s="1357" t="n"/>
      <c r="CS28" s="1355" t="n"/>
      <c r="CT28" s="1356" t="n"/>
      <c r="CU28" s="1356" t="n"/>
      <c r="CV28" s="1356" t="n"/>
      <c r="CW28" s="1356" t="n"/>
      <c r="CX28" s="1390" t="n"/>
    </row>
    <row r="29" ht="16.5" customHeight="1" s="838">
      <c r="B29" s="756" t="n"/>
      <c r="C29" s="666" t="inlineStr">
        <is>
          <t>광고비</t>
        </is>
      </c>
      <c r="D29" s="1360" t="n">
        <v>16.688764</v>
      </c>
      <c r="E29" s="1361" t="n">
        <v>24.320362</v>
      </c>
      <c r="F29" s="1361" t="n">
        <v>27.693252</v>
      </c>
      <c r="G29" s="1361" t="n">
        <v>59.73971</v>
      </c>
      <c r="H29" s="1361" t="n">
        <v>17.328253</v>
      </c>
      <c r="I29" s="1361" t="n">
        <v>4.420408</v>
      </c>
      <c r="J29" s="1361" t="n">
        <v>53.552917</v>
      </c>
      <c r="K29" s="1361" t="n">
        <v>34.693815</v>
      </c>
      <c r="L29" s="1361" t="n">
        <v>42.703856</v>
      </c>
      <c r="M29" s="1361" t="n">
        <v>17.328253</v>
      </c>
      <c r="N29" s="1361" t="n">
        <v>19.366313</v>
      </c>
      <c r="O29" s="1361" t="n">
        <v>53.552917</v>
      </c>
      <c r="P29" s="1362">
        <f>SUM(D29:O29)</f>
        <v/>
      </c>
      <c r="Q29" s="1360" t="n">
        <v>11.908059</v>
      </c>
      <c r="R29" s="1361" t="n">
        <v>28.31935</v>
      </c>
      <c r="S29" s="1361" t="n">
        <v>29.236404</v>
      </c>
      <c r="T29" s="1361" t="n">
        <v>29.176663</v>
      </c>
      <c r="U29" s="1361" t="n">
        <v>11.908059</v>
      </c>
      <c r="V29" s="1361" t="n">
        <v>20.228582</v>
      </c>
      <c r="W29" s="1361" t="n">
        <v>31.618519</v>
      </c>
      <c r="X29" s="1361" t="n">
        <v>9.255420000000001</v>
      </c>
      <c r="Y29" s="1361" t="n">
        <v>20.228582</v>
      </c>
      <c r="Z29" s="1361" t="n">
        <v>7.709729</v>
      </c>
      <c r="AA29" s="1361" t="n">
        <v>29.176663</v>
      </c>
      <c r="AB29" s="1361" t="n">
        <v>4.420408</v>
      </c>
      <c r="AC29" s="1362">
        <f>SUM(Q29:AB29)</f>
        <v/>
      </c>
      <c r="AD29" s="1363" t="n">
        <v>45.781502</v>
      </c>
      <c r="AE29" s="1364" t="n">
        <v>48.688513</v>
      </c>
      <c r="AF29" s="1364" t="n">
        <v>45.999024</v>
      </c>
      <c r="AG29" s="1364" t="n">
        <v>48.688513</v>
      </c>
      <c r="AH29" s="1364" t="n">
        <v>45.999024</v>
      </c>
      <c r="AI29" s="1365" t="n">
        <v>48.688513</v>
      </c>
      <c r="AJ29" s="1391" t="n">
        <v>110.82028</v>
      </c>
      <c r="AK29" s="1364" t="n">
        <v>65.75286699999999</v>
      </c>
      <c r="AL29" s="1364" t="n">
        <v>65.75286699999999</v>
      </c>
      <c r="AM29" s="1364" t="n">
        <v>65.75286699999999</v>
      </c>
      <c r="AN29" s="1365" t="n">
        <v>65.75286699999999</v>
      </c>
      <c r="AO29" s="1391" t="n">
        <v>30.68119</v>
      </c>
      <c r="AP29" s="1365" t="n">
        <v>139.356045</v>
      </c>
      <c r="AQ29" s="1392" t="n">
        <v>139.356045</v>
      </c>
      <c r="AR29" s="1392" t="n">
        <v>38.55797</v>
      </c>
      <c r="AS29" s="1392" t="n">
        <v>75.621039</v>
      </c>
      <c r="AT29" s="1392" t="n">
        <v>189.305903</v>
      </c>
      <c r="AU29" s="1391" t="n">
        <v>149.352273</v>
      </c>
      <c r="AV29" s="1364" t="n">
        <v>55.702692</v>
      </c>
      <c r="AW29" s="1364" t="n">
        <v>55.702692</v>
      </c>
      <c r="AX29" s="1364" t="n">
        <v>116.807139</v>
      </c>
      <c r="AY29" s="1364" t="n">
        <v>55.702692</v>
      </c>
      <c r="AZ29" s="1365" t="n">
        <v>116.807139</v>
      </c>
      <c r="BA29" s="1393" t="n"/>
      <c r="BB29" s="1394" t="n"/>
      <c r="BC29" s="1394" t="n"/>
      <c r="BD29" s="1394" t="n"/>
      <c r="BE29" s="1394" t="n"/>
      <c r="BF29" s="1394" t="n"/>
      <c r="BG29" s="1395" t="n"/>
      <c r="BH29" s="1393" t="n"/>
      <c r="BI29" s="1394" t="n"/>
      <c r="BJ29" s="1394" t="n"/>
      <c r="BK29" s="1394" t="n"/>
      <c r="BL29" s="1394" t="n"/>
      <c r="BM29" s="1395" t="n"/>
      <c r="BN29" s="1393" t="n"/>
      <c r="BO29" s="1394" t="n"/>
      <c r="BP29" s="1394" t="n"/>
      <c r="BQ29" s="1394" t="n"/>
      <c r="BR29" s="1394" t="n"/>
      <c r="BS29" s="1395" t="n"/>
      <c r="BT29" s="1393" t="n"/>
      <c r="BU29" s="1394" t="n"/>
      <c r="BV29" s="1394" t="n"/>
      <c r="BW29" s="1394" t="n"/>
      <c r="BX29" s="1394" t="n"/>
      <c r="BY29" s="1394" t="n"/>
      <c r="BZ29" s="1395" t="n"/>
      <c r="CA29" s="1393" t="n"/>
      <c r="CB29" s="1394" t="n"/>
      <c r="CC29" s="1394" t="n"/>
      <c r="CD29" s="1394" t="n"/>
      <c r="CE29" s="1394" t="n"/>
      <c r="CF29" s="1395" t="n"/>
      <c r="CG29" s="1393" t="n"/>
      <c r="CH29" s="1394" t="n"/>
      <c r="CI29" s="1394" t="n"/>
      <c r="CJ29" s="1394" t="n"/>
      <c r="CK29" s="1394" t="n"/>
      <c r="CL29" s="1395" t="n"/>
      <c r="CM29" s="1393" t="n"/>
      <c r="CN29" s="1394" t="n"/>
      <c r="CO29" s="1394" t="n"/>
      <c r="CP29" s="1394" t="n"/>
      <c r="CQ29" s="1394" t="n"/>
      <c r="CR29" s="1395" t="n"/>
      <c r="CS29" s="1393" t="n"/>
      <c r="CT29" s="1394" t="n"/>
      <c r="CU29" s="1394" t="n"/>
      <c r="CV29" s="1394" t="n"/>
      <c r="CW29" s="1394" t="n"/>
      <c r="CX29" s="1396" t="n"/>
    </row>
    <row r="30" ht="16.5" customHeight="1" s="838">
      <c r="B30" s="756" t="n"/>
      <c r="C30" s="666" t="inlineStr">
        <is>
          <t>경시비</t>
        </is>
      </c>
      <c r="D30" s="1360" t="n">
        <v>16.688764</v>
      </c>
      <c r="E30" s="1361" t="n">
        <v>29.383119</v>
      </c>
      <c r="F30" s="1361" t="n">
        <v>37.173353</v>
      </c>
      <c r="G30" s="1361" t="n">
        <v>19.602052</v>
      </c>
      <c r="H30" s="1361" t="n">
        <v>37.737699</v>
      </c>
      <c r="I30" s="1361" t="n">
        <v>24.320362</v>
      </c>
      <c r="J30" s="1361" t="n">
        <v>27.693252</v>
      </c>
      <c r="K30" s="1361" t="n">
        <v>34.833263</v>
      </c>
      <c r="L30" s="1361" t="n">
        <v>31.618519</v>
      </c>
      <c r="M30" s="1361" t="n">
        <v>73.146286</v>
      </c>
      <c r="N30" s="1361" t="n">
        <v>17.242908</v>
      </c>
      <c r="O30" s="1361" t="n">
        <v>37.111761</v>
      </c>
      <c r="P30" s="1362">
        <f>SUM(D30:O30)</f>
        <v/>
      </c>
      <c r="Q30" s="1360" t="n">
        <v>31.618519</v>
      </c>
      <c r="R30" s="1361" t="n">
        <v>15.438232</v>
      </c>
      <c r="S30" s="1361" t="n">
        <v>17.328253</v>
      </c>
      <c r="T30" s="1361" t="n">
        <v>59.73971</v>
      </c>
      <c r="U30" s="1361" t="n">
        <v>14.656931</v>
      </c>
      <c r="V30" s="1361" t="n">
        <v>28.31935</v>
      </c>
      <c r="W30" s="1361" t="n">
        <v>17.328253</v>
      </c>
      <c r="X30" s="1361" t="n">
        <v>29.236404</v>
      </c>
      <c r="Y30" s="1361" t="n">
        <v>29.176663</v>
      </c>
      <c r="Z30" s="1361" t="n">
        <v>37.173353</v>
      </c>
      <c r="AA30" s="1361" t="n">
        <v>37.111761</v>
      </c>
      <c r="AB30" s="1361" t="n">
        <v>32.499095</v>
      </c>
      <c r="AC30" s="1362">
        <f>SUM(Q30:AB30)</f>
        <v/>
      </c>
      <c r="AD30" s="1363" t="n">
        <v>37.712732</v>
      </c>
      <c r="AE30" s="1364" t="n">
        <v>37.06995</v>
      </c>
      <c r="AF30" s="1364" t="n">
        <v>37.06995</v>
      </c>
      <c r="AG30" s="1364" t="n">
        <v>37.06995</v>
      </c>
      <c r="AH30" s="1364" t="n">
        <v>37.06995</v>
      </c>
      <c r="AI30" s="1365" t="n">
        <v>37.06995</v>
      </c>
      <c r="AJ30" s="1391" t="n">
        <v>65.771563</v>
      </c>
      <c r="AK30" s="1364" t="n">
        <v>58.168763</v>
      </c>
      <c r="AL30" s="1364" t="n">
        <v>58.168763</v>
      </c>
      <c r="AM30" s="1364" t="n">
        <v>58.168763</v>
      </c>
      <c r="AN30" s="1365" t="n">
        <v>58.168763</v>
      </c>
      <c r="AO30" s="1391" t="n">
        <v>75.134578</v>
      </c>
      <c r="AP30" s="1365" t="n">
        <v>75.323007</v>
      </c>
      <c r="AQ30" s="1392" t="n">
        <v>75.323007</v>
      </c>
      <c r="AR30" s="1392" t="n">
        <v>75.323007</v>
      </c>
      <c r="AS30" s="1392" t="n">
        <v>75.323007</v>
      </c>
      <c r="AT30" s="1392" t="n">
        <v>75.323007</v>
      </c>
      <c r="AU30" s="1391" t="n">
        <v>66.94465</v>
      </c>
      <c r="AV30" s="1364" t="n">
        <v>73.274613</v>
      </c>
      <c r="AW30" s="1364" t="n">
        <v>73.274613</v>
      </c>
      <c r="AX30" s="1364" t="n">
        <v>75.9798</v>
      </c>
      <c r="AY30" s="1364" t="n">
        <v>73.274613</v>
      </c>
      <c r="AZ30" s="1365" t="n">
        <v>75.9798</v>
      </c>
      <c r="BA30" s="1393" t="n"/>
      <c r="BB30" s="1394" t="n"/>
      <c r="BC30" s="1394" t="n"/>
      <c r="BD30" s="1394" t="n"/>
      <c r="BE30" s="1394" t="n"/>
      <c r="BF30" s="1394" t="n"/>
      <c r="BG30" s="1395" t="n"/>
      <c r="BH30" s="1393" t="n"/>
      <c r="BI30" s="1394" t="n"/>
      <c r="BJ30" s="1394" t="n"/>
      <c r="BK30" s="1394" t="n"/>
      <c r="BL30" s="1394" t="n"/>
      <c r="BM30" s="1395" t="n"/>
      <c r="BN30" s="1393" t="n"/>
      <c r="BO30" s="1394" t="n"/>
      <c r="BP30" s="1394" t="n"/>
      <c r="BQ30" s="1394" t="n"/>
      <c r="BR30" s="1394" t="n"/>
      <c r="BS30" s="1395" t="n"/>
      <c r="BT30" s="1393" t="n"/>
      <c r="BU30" s="1394" t="n"/>
      <c r="BV30" s="1394" t="n"/>
      <c r="BW30" s="1394" t="n"/>
      <c r="BX30" s="1394" t="n"/>
      <c r="BY30" s="1394" t="n"/>
      <c r="BZ30" s="1395" t="n"/>
      <c r="CA30" s="1393" t="n"/>
      <c r="CB30" s="1394" t="n"/>
      <c r="CC30" s="1394" t="n"/>
      <c r="CD30" s="1394" t="n"/>
      <c r="CE30" s="1394" t="n"/>
      <c r="CF30" s="1395" t="n"/>
      <c r="CG30" s="1393" t="n"/>
      <c r="CH30" s="1394" t="n"/>
      <c r="CI30" s="1394" t="n"/>
      <c r="CJ30" s="1394" t="n"/>
      <c r="CK30" s="1394" t="n"/>
      <c r="CL30" s="1395" t="n"/>
      <c r="CM30" s="1393" t="n"/>
      <c r="CN30" s="1394" t="n"/>
      <c r="CO30" s="1394" t="n"/>
      <c r="CP30" s="1394" t="n"/>
      <c r="CQ30" s="1394" t="n"/>
      <c r="CR30" s="1395" t="n"/>
      <c r="CS30" s="1393" t="n"/>
      <c r="CT30" s="1394" t="n"/>
      <c r="CU30" s="1394" t="n"/>
      <c r="CV30" s="1394" t="n"/>
      <c r="CW30" s="1394" t="n"/>
      <c r="CX30" s="1396" t="n"/>
    </row>
    <row r="31" ht="16.5" customHeight="1" s="838">
      <c r="B31" s="756" t="n"/>
      <c r="C31" s="666" t="inlineStr">
        <is>
          <t>인건비</t>
        </is>
      </c>
      <c r="D31" s="1360" t="n">
        <v>33.084154</v>
      </c>
      <c r="E31" s="1361" t="n">
        <v>37.111761</v>
      </c>
      <c r="F31" s="1361" t="n">
        <v>73.146286</v>
      </c>
      <c r="G31" s="1361" t="n">
        <v>32.499095</v>
      </c>
      <c r="H31" s="1361" t="n">
        <v>19.366313</v>
      </c>
      <c r="I31" s="1361" t="n">
        <v>17.328253</v>
      </c>
      <c r="J31" s="1361" t="n">
        <v>33.084154</v>
      </c>
      <c r="K31" s="1361" t="n">
        <v>34.693815</v>
      </c>
      <c r="L31" s="1361" t="n">
        <v>37.173353</v>
      </c>
      <c r="M31" s="1361" t="n">
        <v>36.206176</v>
      </c>
      <c r="N31" s="1361" t="n">
        <v>17.242908</v>
      </c>
      <c r="O31" s="1361" t="n">
        <v>18.643462</v>
      </c>
      <c r="P31" s="1362">
        <f>SUM(D31:O31)</f>
        <v/>
      </c>
      <c r="Q31" s="1360" t="n">
        <v>31.618519</v>
      </c>
      <c r="R31" s="1361" t="n">
        <v>53.552917</v>
      </c>
      <c r="S31" s="1361" t="n">
        <v>16.688764</v>
      </c>
      <c r="T31" s="1361" t="n">
        <v>24.126692</v>
      </c>
      <c r="U31" s="1361" t="n">
        <v>21.007382</v>
      </c>
      <c r="V31" s="1361" t="n">
        <v>42.703856</v>
      </c>
      <c r="W31" s="1361" t="n">
        <v>17.328253</v>
      </c>
      <c r="X31" s="1361" t="n">
        <v>59.73971</v>
      </c>
      <c r="Y31" s="1361" t="n">
        <v>33.084154</v>
      </c>
      <c r="Z31" s="1361" t="n">
        <v>21.007382</v>
      </c>
      <c r="AA31" s="1361" t="n">
        <v>36.206176</v>
      </c>
      <c r="AB31" s="1361" t="n">
        <v>16.215853</v>
      </c>
      <c r="AC31" s="1362">
        <f>SUM(Q31:AB31)</f>
        <v/>
      </c>
      <c r="AD31" s="1363" t="n">
        <v>195.887684</v>
      </c>
      <c r="AE31" s="1364" t="n">
        <v>310.190738</v>
      </c>
      <c r="AF31" s="1364" t="n">
        <v>174.682909</v>
      </c>
      <c r="AG31" s="1364" t="n">
        <v>310.190738</v>
      </c>
      <c r="AH31" s="1364" t="n">
        <v>174.682909</v>
      </c>
      <c r="AI31" s="1365" t="n">
        <v>310.190738</v>
      </c>
      <c r="AJ31" s="1391" t="n">
        <v>444.597048</v>
      </c>
      <c r="AK31" s="1364" t="n">
        <v>230.598421</v>
      </c>
      <c r="AL31" s="1364" t="n">
        <v>230.598421</v>
      </c>
      <c r="AM31" s="1364" t="n">
        <v>230.598421</v>
      </c>
      <c r="AN31" s="1365" t="n">
        <v>230.598421</v>
      </c>
      <c r="AO31" s="1391" t="n">
        <v>134.444105</v>
      </c>
      <c r="AP31" s="1365" t="n">
        <v>451.657967</v>
      </c>
      <c r="AQ31" s="1392" t="n">
        <v>451.657967</v>
      </c>
      <c r="AR31" s="1392" t="n">
        <v>451.657967</v>
      </c>
      <c r="AS31" s="1392" t="n">
        <v>451.657967</v>
      </c>
      <c r="AT31" s="1392" t="n">
        <v>451.657967</v>
      </c>
      <c r="AU31" s="1391" t="n">
        <v>231.459523</v>
      </c>
      <c r="AV31" s="1364" t="n">
        <v>271.870302</v>
      </c>
      <c r="AW31" s="1364" t="n">
        <v>271.870302</v>
      </c>
      <c r="AX31" s="1364" t="n">
        <v>194.456725</v>
      </c>
      <c r="AY31" s="1364" t="n">
        <v>271.870302</v>
      </c>
      <c r="AZ31" s="1365" t="n">
        <v>194.456725</v>
      </c>
      <c r="BA31" s="1393" t="n"/>
      <c r="BB31" s="1394" t="n"/>
      <c r="BC31" s="1394" t="n"/>
      <c r="BD31" s="1394" t="n"/>
      <c r="BE31" s="1394" t="n"/>
      <c r="BF31" s="1394" t="n"/>
      <c r="BG31" s="1395" t="n"/>
      <c r="BH31" s="1393" t="n"/>
      <c r="BI31" s="1394" t="n"/>
      <c r="BJ31" s="1394" t="n"/>
      <c r="BK31" s="1394" t="n"/>
      <c r="BL31" s="1394" t="n"/>
      <c r="BM31" s="1395" t="n"/>
      <c r="BN31" s="1393" t="n"/>
      <c r="BO31" s="1394" t="n"/>
      <c r="BP31" s="1394" t="n"/>
      <c r="BQ31" s="1394" t="n"/>
      <c r="BR31" s="1394" t="n"/>
      <c r="BS31" s="1395" t="n"/>
      <c r="BT31" s="1393" t="n"/>
      <c r="BU31" s="1394" t="n"/>
      <c r="BV31" s="1394" t="n"/>
      <c r="BW31" s="1394" t="n"/>
      <c r="BX31" s="1394" t="n"/>
      <c r="BY31" s="1394" t="n"/>
      <c r="BZ31" s="1395" t="n"/>
      <c r="CA31" s="1393" t="n"/>
      <c r="CB31" s="1394" t="n"/>
      <c r="CC31" s="1394" t="n"/>
      <c r="CD31" s="1394" t="n"/>
      <c r="CE31" s="1394" t="n"/>
      <c r="CF31" s="1395" t="n"/>
      <c r="CG31" s="1393" t="n"/>
      <c r="CH31" s="1394" t="n"/>
      <c r="CI31" s="1394" t="n"/>
      <c r="CJ31" s="1394" t="n"/>
      <c r="CK31" s="1394" t="n"/>
      <c r="CL31" s="1395" t="n"/>
      <c r="CM31" s="1393" t="n"/>
      <c r="CN31" s="1394" t="n"/>
      <c r="CO31" s="1394" t="n"/>
      <c r="CP31" s="1394" t="n"/>
      <c r="CQ31" s="1394" t="n"/>
      <c r="CR31" s="1395" t="n"/>
      <c r="CS31" s="1393" t="n"/>
      <c r="CT31" s="1394" t="n"/>
      <c r="CU31" s="1394" t="n"/>
      <c r="CV31" s="1394" t="n"/>
      <c r="CW31" s="1394" t="n"/>
      <c r="CX31" s="1396" t="n"/>
    </row>
    <row r="32" ht="16.5" customHeight="1" s="838">
      <c r="B32" s="756" t="n"/>
      <c r="C32" s="666" t="inlineStr">
        <is>
          <t>물류비</t>
        </is>
      </c>
      <c r="D32" s="1360" t="n">
        <v>18.643462</v>
      </c>
      <c r="E32" s="1361" t="n">
        <v>33.084154</v>
      </c>
      <c r="F32" s="1361" t="n">
        <v>35.296292</v>
      </c>
      <c r="G32" s="1361" t="n">
        <v>18.643462</v>
      </c>
      <c r="H32" s="1361" t="n">
        <v>31.618519</v>
      </c>
      <c r="I32" s="1361" t="n">
        <v>32.499095</v>
      </c>
      <c r="J32" s="1361" t="n">
        <v>53.552917</v>
      </c>
      <c r="K32" s="1361" t="n">
        <v>21.007382</v>
      </c>
      <c r="L32" s="1361" t="n">
        <v>11.908059</v>
      </c>
      <c r="M32" s="1361" t="n">
        <v>39.526994</v>
      </c>
      <c r="N32" s="1361" t="n">
        <v>19.366313</v>
      </c>
      <c r="O32" s="1361" t="n">
        <v>9.255420000000001</v>
      </c>
      <c r="P32" s="1362">
        <f>SUM(D32:O32)</f>
        <v/>
      </c>
      <c r="Q32" s="1360" t="n">
        <v>21.007382</v>
      </c>
      <c r="R32" s="1361" t="n">
        <v>28.31935</v>
      </c>
      <c r="S32" s="1361" t="n">
        <v>37.737699</v>
      </c>
      <c r="T32" s="1361" t="n">
        <v>28.31935</v>
      </c>
      <c r="U32" s="1361" t="n">
        <v>73.146286</v>
      </c>
      <c r="V32" s="1361" t="n">
        <v>9.255420000000001</v>
      </c>
      <c r="W32" s="1361" t="n">
        <v>17.242908</v>
      </c>
      <c r="X32" s="1361" t="n">
        <v>37.194064</v>
      </c>
      <c r="Y32" s="1361" t="n">
        <v>34.693815</v>
      </c>
      <c r="Z32" s="1361" t="n">
        <v>27.693252</v>
      </c>
      <c r="AA32" s="1361" t="n">
        <v>34.5171</v>
      </c>
      <c r="AB32" s="1361" t="n">
        <v>21.007382</v>
      </c>
      <c r="AC32" s="1362">
        <f>SUM(Q32:AB32)</f>
        <v/>
      </c>
      <c r="AD32" s="1363" t="n">
        <v>6.811171</v>
      </c>
      <c r="AE32" s="1364" t="n">
        <v>21.12452</v>
      </c>
      <c r="AF32" s="1364" t="n">
        <v>21.12452</v>
      </c>
      <c r="AG32" s="1364" t="n">
        <v>21.12452</v>
      </c>
      <c r="AH32" s="1364" t="n">
        <v>21.12452</v>
      </c>
      <c r="AI32" s="1365" t="n">
        <v>21.12452</v>
      </c>
      <c r="AJ32" s="1391" t="n">
        <v>29.399474</v>
      </c>
      <c r="AK32" s="1364" t="n">
        <v>18.90738</v>
      </c>
      <c r="AL32" s="1364" t="n">
        <v>18.90738</v>
      </c>
      <c r="AM32" s="1364" t="n">
        <v>18.90738</v>
      </c>
      <c r="AN32" s="1365" t="n">
        <v>18.90738</v>
      </c>
      <c r="AO32" s="1391" t="n">
        <v>28.361229</v>
      </c>
      <c r="AP32" s="1365" t="n">
        <v>24.843065</v>
      </c>
      <c r="AQ32" s="1392" t="n">
        <v>24.843065</v>
      </c>
      <c r="AR32" s="1392" t="n">
        <v>24.843065</v>
      </c>
      <c r="AS32" s="1392" t="n">
        <v>24.843065</v>
      </c>
      <c r="AT32" s="1392" t="n">
        <v>24.843065</v>
      </c>
      <c r="AU32" s="1391" t="n">
        <v>19.901803</v>
      </c>
      <c r="AV32" s="1364" t="n">
        <v>24.814958</v>
      </c>
      <c r="AW32" s="1364" t="n">
        <v>24.814958</v>
      </c>
      <c r="AX32" s="1364" t="n">
        <v>24.814958</v>
      </c>
      <c r="AY32" s="1364" t="n">
        <v>24.814958</v>
      </c>
      <c r="AZ32" s="1365" t="n">
        <v>24.814958</v>
      </c>
      <c r="BA32" s="1393" t="n"/>
      <c r="BB32" s="1394" t="n"/>
      <c r="BC32" s="1394" t="n"/>
      <c r="BD32" s="1394" t="n"/>
      <c r="BE32" s="1394" t="n"/>
      <c r="BF32" s="1394" t="n"/>
      <c r="BG32" s="1395" t="n"/>
      <c r="BH32" s="1393" t="n"/>
      <c r="BI32" s="1394" t="n"/>
      <c r="BJ32" s="1394" t="n"/>
      <c r="BK32" s="1394" t="n"/>
      <c r="BL32" s="1394" t="n"/>
      <c r="BM32" s="1395" t="n"/>
      <c r="BN32" s="1393" t="n"/>
      <c r="BO32" s="1394" t="n"/>
      <c r="BP32" s="1394" t="n"/>
      <c r="BQ32" s="1394" t="n"/>
      <c r="BR32" s="1394" t="n"/>
      <c r="BS32" s="1395" t="n"/>
      <c r="BT32" s="1393" t="n"/>
      <c r="BU32" s="1394" t="n"/>
      <c r="BV32" s="1394" t="n"/>
      <c r="BW32" s="1394" t="n"/>
      <c r="BX32" s="1394" t="n"/>
      <c r="BY32" s="1394" t="n"/>
      <c r="BZ32" s="1395" t="n"/>
      <c r="CA32" s="1393" t="n"/>
      <c r="CB32" s="1394" t="n"/>
      <c r="CC32" s="1394" t="n"/>
      <c r="CD32" s="1394" t="n"/>
      <c r="CE32" s="1394" t="n"/>
      <c r="CF32" s="1395" t="n"/>
      <c r="CG32" s="1393" t="n"/>
      <c r="CH32" s="1394" t="n"/>
      <c r="CI32" s="1394" t="n"/>
      <c r="CJ32" s="1394" t="n"/>
      <c r="CK32" s="1394" t="n"/>
      <c r="CL32" s="1395" t="n"/>
      <c r="CM32" s="1393" t="n"/>
      <c r="CN32" s="1394" t="n"/>
      <c r="CO32" s="1394" t="n"/>
      <c r="CP32" s="1394" t="n"/>
      <c r="CQ32" s="1394" t="n"/>
      <c r="CR32" s="1395" t="n"/>
      <c r="CS32" s="1393" t="n"/>
      <c r="CT32" s="1394" t="n"/>
      <c r="CU32" s="1394" t="n"/>
      <c r="CV32" s="1394" t="n"/>
      <c r="CW32" s="1394" t="n"/>
      <c r="CX32" s="1396" t="n"/>
    </row>
    <row r="33" ht="16.5" customHeight="1" s="838">
      <c r="B33" s="756" t="n"/>
      <c r="C33" s="666" t="inlineStr">
        <is>
          <t>서비스비</t>
        </is>
      </c>
      <c r="D33" s="1360" t="n">
        <v>37.111761</v>
      </c>
      <c r="E33" s="1361" t="n">
        <v>34.812547</v>
      </c>
      <c r="F33" s="1361" t="n">
        <v>34.812547</v>
      </c>
      <c r="G33" s="1361" t="n">
        <v>34.693815</v>
      </c>
      <c r="H33" s="1361" t="n">
        <v>33.167683</v>
      </c>
      <c r="I33" s="1361" t="n">
        <v>19.393389</v>
      </c>
      <c r="J33" s="1361" t="n">
        <v>34.833263</v>
      </c>
      <c r="K33" s="1361" t="n">
        <v>33.084154</v>
      </c>
      <c r="L33" s="1361" t="n">
        <v>29.236404</v>
      </c>
      <c r="M33" s="1361" t="n">
        <v>21.007382</v>
      </c>
      <c r="N33" s="1361" t="n">
        <v>15.438232</v>
      </c>
      <c r="O33" s="1361" t="n">
        <v>35.296292</v>
      </c>
      <c r="P33" s="1362">
        <f>SUM(D33:O33)</f>
        <v/>
      </c>
      <c r="Q33" s="1360" t="n">
        <v>15.438232</v>
      </c>
      <c r="R33" s="1361" t="n">
        <v>53.552917</v>
      </c>
      <c r="S33" s="1361" t="n">
        <v>24.320362</v>
      </c>
      <c r="T33" s="1361" t="n">
        <v>21.007382</v>
      </c>
      <c r="U33" s="1361" t="n">
        <v>9.696059</v>
      </c>
      <c r="V33" s="1361" t="n">
        <v>33.167683</v>
      </c>
      <c r="W33" s="1361" t="n">
        <v>73.146286</v>
      </c>
      <c r="X33" s="1361" t="n">
        <v>24.126692</v>
      </c>
      <c r="Y33" s="1361" t="n">
        <v>9.255420000000001</v>
      </c>
      <c r="Z33" s="1361" t="n">
        <v>31.618519</v>
      </c>
      <c r="AA33" s="1361" t="n">
        <v>16.688764</v>
      </c>
      <c r="AB33" s="1361" t="n">
        <v>14.656931</v>
      </c>
      <c r="AC33" s="1362">
        <f>SUM(Q33:AB33)</f>
        <v/>
      </c>
      <c r="AD33" s="1363" t="n">
        <v>12.999696</v>
      </c>
      <c r="AE33" s="1364" t="n">
        <v>45.881635</v>
      </c>
      <c r="AF33" s="1364" t="n">
        <v>45.881635</v>
      </c>
      <c r="AG33" s="1364" t="n">
        <v>45.881635</v>
      </c>
      <c r="AH33" s="1364" t="n">
        <v>45.881635</v>
      </c>
      <c r="AI33" s="1365" t="n">
        <v>45.881635</v>
      </c>
      <c r="AJ33" s="1391" t="n">
        <v>12.202052</v>
      </c>
      <c r="AK33" s="1364" t="n">
        <v>31.427837</v>
      </c>
      <c r="AL33" s="1364" t="n">
        <v>31.427837</v>
      </c>
      <c r="AM33" s="1364" t="n">
        <v>31.427837</v>
      </c>
      <c r="AN33" s="1365" t="n">
        <v>31.427837</v>
      </c>
      <c r="AO33" s="1391" t="n">
        <v>24.932863</v>
      </c>
      <c r="AP33" s="1365" t="n">
        <v>23.4532</v>
      </c>
      <c r="AQ33" s="1392" t="n">
        <v>23.4532</v>
      </c>
      <c r="AR33" s="1392" t="n">
        <v>23.4532</v>
      </c>
      <c r="AS33" s="1392" t="n">
        <v>23.4532</v>
      </c>
      <c r="AT33" s="1392" t="n">
        <v>23.4532</v>
      </c>
      <c r="AU33" s="1391" t="n">
        <v>29.536459</v>
      </c>
      <c r="AV33" s="1364" t="n">
        <v>59.138633</v>
      </c>
      <c r="AW33" s="1364" t="n">
        <v>59.138633</v>
      </c>
      <c r="AX33" s="1364" t="n">
        <v>59.138633</v>
      </c>
      <c r="AY33" s="1364" t="n">
        <v>59.138633</v>
      </c>
      <c r="AZ33" s="1365" t="n">
        <v>59.138633</v>
      </c>
      <c r="BA33" s="1393" t="n"/>
      <c r="BB33" s="1394" t="n"/>
      <c r="BC33" s="1394" t="n"/>
      <c r="BD33" s="1394" t="n"/>
      <c r="BE33" s="1394" t="n"/>
      <c r="BF33" s="1394" t="n"/>
      <c r="BG33" s="1395" t="n"/>
      <c r="BH33" s="1393" t="n"/>
      <c r="BI33" s="1394" t="n"/>
      <c r="BJ33" s="1394" t="n"/>
      <c r="BK33" s="1394" t="n"/>
      <c r="BL33" s="1394" t="n"/>
      <c r="BM33" s="1395" t="n"/>
      <c r="BN33" s="1393" t="n"/>
      <c r="BO33" s="1394" t="n"/>
      <c r="BP33" s="1394" t="n"/>
      <c r="BQ33" s="1394" t="n"/>
      <c r="BR33" s="1394" t="n"/>
      <c r="BS33" s="1395" t="n"/>
      <c r="BT33" s="1393" t="n"/>
      <c r="BU33" s="1394" t="n"/>
      <c r="BV33" s="1394" t="n"/>
      <c r="BW33" s="1394" t="n"/>
      <c r="BX33" s="1394" t="n"/>
      <c r="BY33" s="1394" t="n"/>
      <c r="BZ33" s="1395" t="n"/>
      <c r="CA33" s="1393" t="n"/>
      <c r="CB33" s="1394" t="n"/>
      <c r="CC33" s="1394" t="n"/>
      <c r="CD33" s="1394" t="n"/>
      <c r="CE33" s="1394" t="n"/>
      <c r="CF33" s="1395" t="n"/>
      <c r="CG33" s="1393" t="n"/>
      <c r="CH33" s="1394" t="n"/>
      <c r="CI33" s="1394" t="n"/>
      <c r="CJ33" s="1394" t="n"/>
      <c r="CK33" s="1394" t="n"/>
      <c r="CL33" s="1395" t="n"/>
      <c r="CM33" s="1393" t="n"/>
      <c r="CN33" s="1394" t="n"/>
      <c r="CO33" s="1394" t="n"/>
      <c r="CP33" s="1394" t="n"/>
      <c r="CQ33" s="1394" t="n"/>
      <c r="CR33" s="1395" t="n"/>
      <c r="CS33" s="1393" t="n"/>
      <c r="CT33" s="1394" t="n"/>
      <c r="CU33" s="1394" t="n"/>
      <c r="CV33" s="1394" t="n"/>
      <c r="CW33" s="1394" t="n"/>
      <c r="CX33" s="1396" t="n"/>
    </row>
    <row r="34" ht="16.5" customHeight="1" s="838">
      <c r="B34" s="756" t="n"/>
      <c r="C34" s="666" t="inlineStr">
        <is>
          <t>지급수수료</t>
        </is>
      </c>
      <c r="D34" s="1360" t="n">
        <v>37.737699</v>
      </c>
      <c r="E34" s="1361" t="n">
        <v>53.552917</v>
      </c>
      <c r="F34" s="1361" t="n">
        <v>29.236404</v>
      </c>
      <c r="G34" s="1361" t="n">
        <v>31.618519</v>
      </c>
      <c r="H34" s="1361" t="n">
        <v>31.618519</v>
      </c>
      <c r="I34" s="1361" t="n">
        <v>37.111761</v>
      </c>
      <c r="J34" s="1361" t="n">
        <v>53.552917</v>
      </c>
      <c r="K34" s="1361" t="n">
        <v>37.194064</v>
      </c>
      <c r="L34" s="1361" t="n">
        <v>19.393389</v>
      </c>
      <c r="M34" s="1361" t="n">
        <v>34.5171</v>
      </c>
      <c r="N34" s="1361" t="n">
        <v>29.236404</v>
      </c>
      <c r="O34" s="1361" t="n">
        <v>24.126692</v>
      </c>
      <c r="P34" s="1362">
        <f>SUM(D34:O34)</f>
        <v/>
      </c>
      <c r="Q34" s="1360" t="n">
        <v>31.373747</v>
      </c>
      <c r="R34" s="1361" t="n">
        <v>53.552917</v>
      </c>
      <c r="S34" s="1361" t="n">
        <v>24.126692</v>
      </c>
      <c r="T34" s="1361" t="n">
        <v>34.833263</v>
      </c>
      <c r="U34" s="1361" t="n">
        <v>22.257288</v>
      </c>
      <c r="V34" s="1361" t="n">
        <v>37.173353</v>
      </c>
      <c r="W34" s="1361" t="n">
        <v>19.366313</v>
      </c>
      <c r="X34" s="1361" t="n">
        <v>4.420408</v>
      </c>
      <c r="Y34" s="1361" t="n">
        <v>18.643462</v>
      </c>
      <c r="Z34" s="1361" t="n">
        <v>29.383119</v>
      </c>
      <c r="AA34" s="1361" t="n">
        <v>16.215853</v>
      </c>
      <c r="AB34" s="1361" t="n">
        <v>32.499095</v>
      </c>
      <c r="AC34" s="1362">
        <f>SUM(Q34:AB34)</f>
        <v/>
      </c>
      <c r="AD34" s="1363" t="n">
        <v>72.10579799999999</v>
      </c>
      <c r="AE34" s="1364" t="n">
        <v>109.764483</v>
      </c>
      <c r="AF34" s="1364" t="n">
        <v>109.764483</v>
      </c>
      <c r="AG34" s="1364" t="n">
        <v>109.764483</v>
      </c>
      <c r="AH34" s="1364" t="n">
        <v>109.764483</v>
      </c>
      <c r="AI34" s="1365" t="n">
        <v>109.764483</v>
      </c>
      <c r="AJ34" s="1391" t="n">
        <v>157.978486</v>
      </c>
      <c r="AK34" s="1364" t="n">
        <v>69.545614</v>
      </c>
      <c r="AL34" s="1364" t="n">
        <v>69.545614</v>
      </c>
      <c r="AM34" s="1364" t="n">
        <v>69.545614</v>
      </c>
      <c r="AN34" s="1365" t="n">
        <v>69.545614</v>
      </c>
      <c r="AO34" s="1391" t="n">
        <v>54.93584</v>
      </c>
      <c r="AP34" s="1365" t="n">
        <v>95.42740999999999</v>
      </c>
      <c r="AQ34" s="1392" t="n">
        <v>95.42740999999999</v>
      </c>
      <c r="AR34" s="1392" t="n">
        <v>95.42740999999999</v>
      </c>
      <c r="AS34" s="1392" t="n">
        <v>95.42740999999999</v>
      </c>
      <c r="AT34" s="1392" t="n">
        <v>95.42740999999999</v>
      </c>
      <c r="AU34" s="1391" t="n">
        <v>139.934621</v>
      </c>
      <c r="AV34" s="1364" t="n">
        <v>39.428172</v>
      </c>
      <c r="AW34" s="1364" t="n">
        <v>39.428172</v>
      </c>
      <c r="AX34" s="1364" t="n">
        <v>227.011631</v>
      </c>
      <c r="AY34" s="1364" t="n">
        <v>39.428172</v>
      </c>
      <c r="AZ34" s="1365" t="n">
        <v>227.011631</v>
      </c>
      <c r="BA34" s="1393" t="n"/>
      <c r="BB34" s="1394" t="n"/>
      <c r="BC34" s="1394" t="n"/>
      <c r="BD34" s="1394" t="n"/>
      <c r="BE34" s="1394" t="n"/>
      <c r="BF34" s="1394" t="n"/>
      <c r="BG34" s="1395" t="n"/>
      <c r="BH34" s="1393" t="n"/>
      <c r="BI34" s="1394" t="n"/>
      <c r="BJ34" s="1394" t="n"/>
      <c r="BK34" s="1394" t="n"/>
      <c r="BL34" s="1394" t="n"/>
      <c r="BM34" s="1395" t="n"/>
      <c r="BN34" s="1393" t="n"/>
      <c r="BO34" s="1394" t="n"/>
      <c r="BP34" s="1394" t="n"/>
      <c r="BQ34" s="1394" t="n"/>
      <c r="BR34" s="1394" t="n"/>
      <c r="BS34" s="1395" t="n"/>
      <c r="BT34" s="1393" t="n"/>
      <c r="BU34" s="1394" t="n"/>
      <c r="BV34" s="1394" t="n"/>
      <c r="BW34" s="1394" t="n"/>
      <c r="BX34" s="1394" t="n"/>
      <c r="BY34" s="1394" t="n"/>
      <c r="BZ34" s="1395" t="n"/>
      <c r="CA34" s="1393" t="n"/>
      <c r="CB34" s="1394" t="n"/>
      <c r="CC34" s="1394" t="n"/>
      <c r="CD34" s="1394" t="n"/>
      <c r="CE34" s="1394" t="n"/>
      <c r="CF34" s="1395" t="n"/>
      <c r="CG34" s="1393" t="n"/>
      <c r="CH34" s="1394" t="n"/>
      <c r="CI34" s="1394" t="n"/>
      <c r="CJ34" s="1394" t="n"/>
      <c r="CK34" s="1394" t="n"/>
      <c r="CL34" s="1395" t="n"/>
      <c r="CM34" s="1393" t="n"/>
      <c r="CN34" s="1394" t="n"/>
      <c r="CO34" s="1394" t="n"/>
      <c r="CP34" s="1394" t="n"/>
      <c r="CQ34" s="1394" t="n"/>
      <c r="CR34" s="1395" t="n"/>
      <c r="CS34" s="1393" t="n"/>
      <c r="CT34" s="1394" t="n"/>
      <c r="CU34" s="1394" t="n"/>
      <c r="CV34" s="1394" t="n"/>
      <c r="CW34" s="1394" t="n"/>
      <c r="CX34" s="1396" t="n"/>
    </row>
    <row r="35" ht="16.5" customHeight="1" s="838">
      <c r="B35" s="756" t="n"/>
      <c r="C35" s="666" t="inlineStr">
        <is>
          <t>감가상각비</t>
        </is>
      </c>
      <c r="D35" s="1360" t="n">
        <v>37.194064</v>
      </c>
      <c r="E35" s="1361" t="n">
        <v>31.618519</v>
      </c>
      <c r="F35" s="1361" t="n">
        <v>35.296292</v>
      </c>
      <c r="G35" s="1361" t="n">
        <v>73.146286</v>
      </c>
      <c r="H35" s="1361" t="n">
        <v>14.656931</v>
      </c>
      <c r="I35" s="1361" t="n">
        <v>29.383119</v>
      </c>
      <c r="J35" s="1361" t="n">
        <v>27.25241</v>
      </c>
      <c r="K35" s="1361" t="n">
        <v>32.499095</v>
      </c>
      <c r="L35" s="1361" t="n">
        <v>33.167683</v>
      </c>
      <c r="M35" s="1361" t="n">
        <v>34.5171</v>
      </c>
      <c r="N35" s="1361" t="n">
        <v>37.111761</v>
      </c>
      <c r="O35" s="1361" t="n">
        <v>27.25241</v>
      </c>
      <c r="P35" s="1362">
        <f>SUM(D35:O35)</f>
        <v/>
      </c>
      <c r="Q35" s="1360" t="n">
        <v>31.373747</v>
      </c>
      <c r="R35" s="1361" t="n">
        <v>14.656931</v>
      </c>
      <c r="S35" s="1361" t="n">
        <v>35.296292</v>
      </c>
      <c r="T35" s="1361" t="n">
        <v>36.206176</v>
      </c>
      <c r="U35" s="1361" t="n">
        <v>24.320362</v>
      </c>
      <c r="V35" s="1361" t="n">
        <v>37.173353</v>
      </c>
      <c r="W35" s="1361" t="n">
        <v>21.007382</v>
      </c>
      <c r="X35" s="1361" t="n">
        <v>31.618519</v>
      </c>
      <c r="Y35" s="1361" t="n">
        <v>34.812547</v>
      </c>
      <c r="Z35" s="1361" t="n">
        <v>59.73971</v>
      </c>
      <c r="AA35" s="1361" t="n">
        <v>25.333354</v>
      </c>
      <c r="AB35" s="1361" t="n">
        <v>24.126692</v>
      </c>
      <c r="AC35" s="1362">
        <f>SUM(Q35:AB35)</f>
        <v/>
      </c>
      <c r="AD35" s="1363" t="n">
        <v>87.213356</v>
      </c>
      <c r="AE35" s="1364" t="n">
        <v>188.065115</v>
      </c>
      <c r="AF35" s="1364" t="n">
        <v>188.065115</v>
      </c>
      <c r="AG35" s="1364" t="n">
        <v>188.065115</v>
      </c>
      <c r="AH35" s="1364" t="n">
        <v>188.065115</v>
      </c>
      <c r="AI35" s="1365" t="n">
        <v>188.065115</v>
      </c>
      <c r="AJ35" s="1391" t="n">
        <v>128.647717</v>
      </c>
      <c r="AK35" s="1364" t="n">
        <v>188.065115</v>
      </c>
      <c r="AL35" s="1364" t="n">
        <v>188.065115</v>
      </c>
      <c r="AM35" s="1364" t="n">
        <v>188.065115</v>
      </c>
      <c r="AN35" s="1365" t="n">
        <v>188.065115</v>
      </c>
      <c r="AO35" s="1391" t="n">
        <v>44.41674</v>
      </c>
      <c r="AP35" s="1365" t="n">
        <v>188.065115</v>
      </c>
      <c r="AQ35" s="1392" t="n">
        <v>188.065115</v>
      </c>
      <c r="AR35" s="1392" t="n">
        <v>188.065115</v>
      </c>
      <c r="AS35" s="1392" t="n">
        <v>188.065115</v>
      </c>
      <c r="AT35" s="1392" t="n">
        <v>188.065115</v>
      </c>
      <c r="AU35" s="1391" t="n">
        <v>106.196069</v>
      </c>
      <c r="AV35" s="1364" t="n">
        <v>188.065115</v>
      </c>
      <c r="AW35" s="1364" t="n">
        <v>188.065115</v>
      </c>
      <c r="AX35" s="1364" t="n">
        <v>96.74592</v>
      </c>
      <c r="AY35" s="1364" t="n">
        <v>188.065115</v>
      </c>
      <c r="AZ35" s="1365" t="n">
        <v>96.74592</v>
      </c>
      <c r="BA35" s="1393" t="n"/>
      <c r="BB35" s="1394" t="n"/>
      <c r="BC35" s="1394" t="n"/>
      <c r="BD35" s="1394" t="n"/>
      <c r="BE35" s="1394" t="n"/>
      <c r="BF35" s="1394" t="n"/>
      <c r="BG35" s="1395" t="n"/>
      <c r="BH35" s="1393" t="n"/>
      <c r="BI35" s="1394" t="n"/>
      <c r="BJ35" s="1394" t="n"/>
      <c r="BK35" s="1394" t="n"/>
      <c r="BL35" s="1394" t="n"/>
      <c r="BM35" s="1395" t="n"/>
      <c r="BN35" s="1393" t="n"/>
      <c r="BO35" s="1394" t="n"/>
      <c r="BP35" s="1394" t="n"/>
      <c r="BQ35" s="1394" t="n"/>
      <c r="BR35" s="1394" t="n"/>
      <c r="BS35" s="1395" t="n"/>
      <c r="BT35" s="1393" t="n"/>
      <c r="BU35" s="1394" t="n"/>
      <c r="BV35" s="1394" t="n"/>
      <c r="BW35" s="1394" t="n"/>
      <c r="BX35" s="1394" t="n"/>
      <c r="BY35" s="1394" t="n"/>
      <c r="BZ35" s="1395" t="n"/>
      <c r="CA35" s="1393" t="n"/>
      <c r="CB35" s="1394" t="n"/>
      <c r="CC35" s="1394" t="n"/>
      <c r="CD35" s="1394" t="n"/>
      <c r="CE35" s="1394" t="n"/>
      <c r="CF35" s="1395" t="n"/>
      <c r="CG35" s="1393" t="n"/>
      <c r="CH35" s="1394" t="n"/>
      <c r="CI35" s="1394" t="n"/>
      <c r="CJ35" s="1394" t="n"/>
      <c r="CK35" s="1394" t="n"/>
      <c r="CL35" s="1395" t="n"/>
      <c r="CM35" s="1393" t="n"/>
      <c r="CN35" s="1394" t="n"/>
      <c r="CO35" s="1394" t="n"/>
      <c r="CP35" s="1394" t="n"/>
      <c r="CQ35" s="1394" t="n"/>
      <c r="CR35" s="1395" t="n"/>
      <c r="CS35" s="1393" t="n"/>
      <c r="CT35" s="1394" t="n"/>
      <c r="CU35" s="1394" t="n"/>
      <c r="CV35" s="1394" t="n"/>
      <c r="CW35" s="1394" t="n"/>
      <c r="CX35" s="1396" t="n"/>
    </row>
    <row r="36" ht="16.5" customHeight="1" s="838">
      <c r="B36" s="756" t="n"/>
      <c r="C36" s="666" t="inlineStr">
        <is>
          <t>로열티</t>
        </is>
      </c>
      <c r="D36" s="1360" t="n">
        <v>27.693252</v>
      </c>
      <c r="E36" s="1361" t="n">
        <v>35.296292</v>
      </c>
      <c r="F36" s="1361" t="n">
        <v>34.693815</v>
      </c>
      <c r="G36" s="1361" t="n">
        <v>15.438232</v>
      </c>
      <c r="H36" s="1361" t="n">
        <v>16.688764</v>
      </c>
      <c r="I36" s="1361" t="n">
        <v>33.084154</v>
      </c>
      <c r="J36" s="1361" t="n">
        <v>16.215853</v>
      </c>
      <c r="K36" s="1361" t="n">
        <v>9.255420000000001</v>
      </c>
      <c r="L36" s="1361" t="n">
        <v>9.696059</v>
      </c>
      <c r="M36" s="1361" t="n">
        <v>53.552917</v>
      </c>
      <c r="N36" s="1361" t="n">
        <v>39.526994</v>
      </c>
      <c r="O36" s="1361" t="n">
        <v>32.499095</v>
      </c>
      <c r="P36" s="1362">
        <f>SUM(D36:O36)</f>
        <v/>
      </c>
      <c r="Q36" s="1360" t="n">
        <v>16.688764</v>
      </c>
      <c r="R36" s="1361" t="n">
        <v>35.296292</v>
      </c>
      <c r="S36" s="1361" t="n">
        <v>37.194064</v>
      </c>
      <c r="T36" s="1361" t="n">
        <v>17.328253</v>
      </c>
      <c r="U36" s="1361" t="n">
        <v>10.573024</v>
      </c>
      <c r="V36" s="1361" t="n">
        <v>20.228582</v>
      </c>
      <c r="W36" s="1361" t="n">
        <v>35.296292</v>
      </c>
      <c r="X36" s="1361" t="n">
        <v>34.812547</v>
      </c>
      <c r="Y36" s="1361" t="n">
        <v>24.296677</v>
      </c>
      <c r="Z36" s="1361" t="n">
        <v>28.31935</v>
      </c>
      <c r="AA36" s="1361" t="n">
        <v>17.328253</v>
      </c>
      <c r="AB36" s="1361" t="n">
        <v>59.73971</v>
      </c>
      <c r="AC36" s="1362">
        <f>SUM(Q36:AB36)</f>
        <v/>
      </c>
      <c r="AD36" s="1363" t="n">
        <v>2.773634</v>
      </c>
      <c r="AE36" s="1364" t="n">
        <v>0.431617</v>
      </c>
      <c r="AF36" s="1364" t="n">
        <v>0.431617</v>
      </c>
      <c r="AG36" s="1364" t="n">
        <v>0.431617</v>
      </c>
      <c r="AH36" s="1364" t="n">
        <v>0.431617</v>
      </c>
      <c r="AI36" s="1365" t="n">
        <v>0.431617</v>
      </c>
      <c r="AJ36" s="1391" t="n">
        <v>4.016015</v>
      </c>
      <c r="AK36" s="1364" t="n">
        <v>3.44859</v>
      </c>
      <c r="AL36" s="1364" t="n">
        <v>3.44859</v>
      </c>
      <c r="AM36" s="1364" t="n">
        <v>3.44859</v>
      </c>
      <c r="AN36" s="1365" t="n">
        <v>3.44859</v>
      </c>
      <c r="AO36" s="1391" t="n">
        <v>-0.899601</v>
      </c>
      <c r="AP36" s="1365" t="n">
        <v>3.663459</v>
      </c>
      <c r="AQ36" s="1392" t="n">
        <v>3.663459</v>
      </c>
      <c r="AR36" s="1392" t="n">
        <v>3.663459</v>
      </c>
      <c r="AS36" s="1392" t="n">
        <v>3.663459</v>
      </c>
      <c r="AT36" s="1392" t="n">
        <v>3.663459</v>
      </c>
      <c r="AU36" s="1391" t="n">
        <v>1.127328</v>
      </c>
      <c r="AV36" s="1364" t="n">
        <v>2.365131</v>
      </c>
      <c r="AW36" s="1364" t="n">
        <v>2.365131</v>
      </c>
      <c r="AX36" s="1364" t="n">
        <v>2.967926</v>
      </c>
      <c r="AY36" s="1364" t="n">
        <v>2.365131</v>
      </c>
      <c r="AZ36" s="1365" t="n">
        <v>2.967926</v>
      </c>
      <c r="BA36" s="1393" t="n"/>
      <c r="BB36" s="1394" t="n"/>
      <c r="BC36" s="1394" t="n"/>
      <c r="BD36" s="1394" t="n"/>
      <c r="BE36" s="1394" t="n"/>
      <c r="BF36" s="1394" t="n"/>
      <c r="BG36" s="1395" t="n"/>
      <c r="BH36" s="1393" t="n"/>
      <c r="BI36" s="1394" t="n"/>
      <c r="BJ36" s="1394" t="n"/>
      <c r="BK36" s="1394" t="n"/>
      <c r="BL36" s="1394" t="n"/>
      <c r="BM36" s="1395" t="n"/>
      <c r="BN36" s="1393" t="n"/>
      <c r="BO36" s="1394" t="n"/>
      <c r="BP36" s="1394" t="n"/>
      <c r="BQ36" s="1394" t="n"/>
      <c r="BR36" s="1394" t="n"/>
      <c r="BS36" s="1395" t="n"/>
      <c r="BT36" s="1393" t="n"/>
      <c r="BU36" s="1394" t="n"/>
      <c r="BV36" s="1394" t="n"/>
      <c r="BW36" s="1394" t="n"/>
      <c r="BX36" s="1394" t="n"/>
      <c r="BY36" s="1394" t="n"/>
      <c r="BZ36" s="1395" t="n"/>
      <c r="CA36" s="1393" t="n"/>
      <c r="CB36" s="1394" t="n"/>
      <c r="CC36" s="1394" t="n"/>
      <c r="CD36" s="1394" t="n"/>
      <c r="CE36" s="1394" t="n"/>
      <c r="CF36" s="1395" t="n"/>
      <c r="CG36" s="1393" t="n"/>
      <c r="CH36" s="1394" t="n"/>
      <c r="CI36" s="1394" t="n"/>
      <c r="CJ36" s="1394" t="n"/>
      <c r="CK36" s="1394" t="n"/>
      <c r="CL36" s="1395" t="n"/>
      <c r="CM36" s="1393" t="n"/>
      <c r="CN36" s="1394" t="n"/>
      <c r="CO36" s="1394" t="n"/>
      <c r="CP36" s="1394" t="n"/>
      <c r="CQ36" s="1394" t="n"/>
      <c r="CR36" s="1395" t="n"/>
      <c r="CS36" s="1393" t="n"/>
      <c r="CT36" s="1394" t="n"/>
      <c r="CU36" s="1394" t="n"/>
      <c r="CV36" s="1394" t="n"/>
      <c r="CW36" s="1394" t="n"/>
      <c r="CX36" s="1396" t="n"/>
    </row>
    <row r="37" ht="16.5" customHeight="1" s="838">
      <c r="B37" s="756" t="n"/>
      <c r="C37" s="666" t="inlineStr">
        <is>
          <t>소모품비</t>
        </is>
      </c>
      <c r="D37" s="1360" t="n">
        <v>11.908059</v>
      </c>
      <c r="E37" s="1361" t="n">
        <v>24.296677</v>
      </c>
      <c r="F37" s="1361" t="n">
        <v>37.111761</v>
      </c>
      <c r="G37" s="1361" t="n">
        <v>16.215853</v>
      </c>
      <c r="H37" s="1361" t="n">
        <v>17.328253</v>
      </c>
      <c r="I37" s="1361" t="n">
        <v>21.007382</v>
      </c>
      <c r="J37" s="1361" t="n">
        <v>35.296292</v>
      </c>
      <c r="K37" s="1361" t="n">
        <v>37.111761</v>
      </c>
      <c r="L37" s="1361" t="n">
        <v>20.103841</v>
      </c>
      <c r="M37" s="1361" t="n">
        <v>9.255420000000001</v>
      </c>
      <c r="N37" s="1361" t="n">
        <v>27.693252</v>
      </c>
      <c r="O37" s="1361" t="n">
        <v>27.25241</v>
      </c>
      <c r="P37" s="1362">
        <f>SUM(D37:O37)</f>
        <v/>
      </c>
      <c r="Q37" s="1360" t="n">
        <v>17.242908</v>
      </c>
      <c r="R37" s="1361" t="n">
        <v>42.703856</v>
      </c>
      <c r="S37" s="1361" t="n">
        <v>35.296292</v>
      </c>
      <c r="T37" s="1361" t="n">
        <v>34.693815</v>
      </c>
      <c r="U37" s="1361" t="n">
        <v>22.257288</v>
      </c>
      <c r="V37" s="1361" t="n">
        <v>59.73971</v>
      </c>
      <c r="W37" s="1361" t="n">
        <v>34.812547</v>
      </c>
      <c r="X37" s="1361" t="n">
        <v>27.25241</v>
      </c>
      <c r="Y37" s="1361" t="n">
        <v>19.393389</v>
      </c>
      <c r="Z37" s="1361" t="n">
        <v>33.084154</v>
      </c>
      <c r="AA37" s="1361" t="n">
        <v>34.812547</v>
      </c>
      <c r="AB37" s="1361" t="n">
        <v>24.296677</v>
      </c>
      <c r="AC37" s="1362">
        <f>SUM(Q37:AB37)</f>
        <v/>
      </c>
      <c r="AD37" s="1363" t="n">
        <v>12.147245</v>
      </c>
      <c r="AE37" s="1364" t="n">
        <v>6.110655</v>
      </c>
      <c r="AF37" s="1364" t="n">
        <v>6.110655</v>
      </c>
      <c r="AG37" s="1364" t="n">
        <v>6.110655</v>
      </c>
      <c r="AH37" s="1364" t="n">
        <v>6.110655</v>
      </c>
      <c r="AI37" s="1365" t="n">
        <v>6.110655</v>
      </c>
      <c r="AJ37" s="1391" t="n">
        <v>3.756358</v>
      </c>
      <c r="AK37" s="1364" t="n">
        <v>10.018118</v>
      </c>
      <c r="AL37" s="1364" t="n">
        <v>10.018118</v>
      </c>
      <c r="AM37" s="1364" t="n">
        <v>10.018118</v>
      </c>
      <c r="AN37" s="1365" t="n">
        <v>10.018118</v>
      </c>
      <c r="AO37" s="1391" t="n">
        <v>4.76023</v>
      </c>
      <c r="AP37" s="1365" t="n">
        <v>5.931726</v>
      </c>
      <c r="AQ37" s="1392" t="n">
        <v>5.931726</v>
      </c>
      <c r="AR37" s="1392" t="n">
        <v>5.931726</v>
      </c>
      <c r="AS37" s="1392" t="n">
        <v>5.931726</v>
      </c>
      <c r="AT37" s="1392" t="n">
        <v>5.931726</v>
      </c>
      <c r="AU37" s="1391" t="n">
        <v>21.646754</v>
      </c>
      <c r="AV37" s="1364" t="n">
        <v>11.491494</v>
      </c>
      <c r="AW37" s="1364" t="n">
        <v>11.491494</v>
      </c>
      <c r="AX37" s="1364" t="n">
        <v>7.265538</v>
      </c>
      <c r="AY37" s="1364" t="n">
        <v>11.491494</v>
      </c>
      <c r="AZ37" s="1365" t="n">
        <v>7.265538</v>
      </c>
      <c r="BA37" s="1393" t="n"/>
      <c r="BB37" s="1394" t="n"/>
      <c r="BC37" s="1394" t="n"/>
      <c r="BD37" s="1394" t="n"/>
      <c r="BE37" s="1394" t="n"/>
      <c r="BF37" s="1394" t="n"/>
      <c r="BG37" s="1395" t="n"/>
      <c r="BH37" s="1393" t="n"/>
      <c r="BI37" s="1394" t="n"/>
      <c r="BJ37" s="1394" t="n"/>
      <c r="BK37" s="1394" t="n"/>
      <c r="BL37" s="1394" t="n"/>
      <c r="BM37" s="1395" t="n"/>
      <c r="BN37" s="1393" t="n"/>
      <c r="BO37" s="1394" t="n"/>
      <c r="BP37" s="1394" t="n"/>
      <c r="BQ37" s="1394" t="n"/>
      <c r="BR37" s="1394" t="n"/>
      <c r="BS37" s="1395" t="n"/>
      <c r="BT37" s="1393" t="n"/>
      <c r="BU37" s="1394" t="n"/>
      <c r="BV37" s="1394" t="n"/>
      <c r="BW37" s="1394" t="n"/>
      <c r="BX37" s="1394" t="n"/>
      <c r="BY37" s="1394" t="n"/>
      <c r="BZ37" s="1395" t="n"/>
      <c r="CA37" s="1393" t="n"/>
      <c r="CB37" s="1394" t="n"/>
      <c r="CC37" s="1394" t="n"/>
      <c r="CD37" s="1394" t="n"/>
      <c r="CE37" s="1394" t="n"/>
      <c r="CF37" s="1395" t="n"/>
      <c r="CG37" s="1393" t="n"/>
      <c r="CH37" s="1394" t="n"/>
      <c r="CI37" s="1394" t="n"/>
      <c r="CJ37" s="1394" t="n"/>
      <c r="CK37" s="1394" t="n"/>
      <c r="CL37" s="1395" t="n"/>
      <c r="CM37" s="1393" t="n"/>
      <c r="CN37" s="1394" t="n"/>
      <c r="CO37" s="1394" t="n"/>
      <c r="CP37" s="1394" t="n"/>
      <c r="CQ37" s="1394" t="n"/>
      <c r="CR37" s="1395" t="n"/>
      <c r="CS37" s="1393" t="n"/>
      <c r="CT37" s="1394" t="n"/>
      <c r="CU37" s="1394" t="n"/>
      <c r="CV37" s="1394" t="n"/>
      <c r="CW37" s="1394" t="n"/>
      <c r="CX37" s="1396" t="n"/>
    </row>
    <row r="38" ht="16.5" customHeight="1" s="838">
      <c r="B38" s="756" t="n"/>
      <c r="C38" s="666" t="inlineStr">
        <is>
          <t>임차료</t>
        </is>
      </c>
      <c r="D38" s="1360" t="n">
        <v>32.499095</v>
      </c>
      <c r="E38" s="1361" t="n">
        <v>14.656931</v>
      </c>
      <c r="F38" s="1361" t="n">
        <v>39.526994</v>
      </c>
      <c r="G38" s="1361" t="n">
        <v>17.328253</v>
      </c>
      <c r="H38" s="1361" t="n">
        <v>35.296292</v>
      </c>
      <c r="I38" s="1361" t="n">
        <v>34.693815</v>
      </c>
      <c r="J38" s="1361" t="n">
        <v>37.194064</v>
      </c>
      <c r="K38" s="1361" t="n">
        <v>59.73971</v>
      </c>
      <c r="L38" s="1361" t="n">
        <v>11.908059</v>
      </c>
      <c r="M38" s="1361" t="n">
        <v>17.328253</v>
      </c>
      <c r="N38" s="1361" t="n">
        <v>37.194064</v>
      </c>
      <c r="O38" s="1361" t="n">
        <v>9.696059</v>
      </c>
      <c r="P38" s="1362">
        <f>SUM(D38:O38)</f>
        <v/>
      </c>
      <c r="Q38" s="1360" t="n">
        <v>16.688764</v>
      </c>
      <c r="R38" s="1361" t="n">
        <v>20.103841</v>
      </c>
      <c r="S38" s="1361" t="n">
        <v>4.420408</v>
      </c>
      <c r="T38" s="1361" t="n">
        <v>33.167683</v>
      </c>
      <c r="U38" s="1361" t="n">
        <v>14.656931</v>
      </c>
      <c r="V38" s="1361" t="n">
        <v>17.242908</v>
      </c>
      <c r="W38" s="1361" t="n">
        <v>34.812547</v>
      </c>
      <c r="X38" s="1361" t="n">
        <v>31.618519</v>
      </c>
      <c r="Y38" s="1361" t="n">
        <v>34.833263</v>
      </c>
      <c r="Z38" s="1361" t="n">
        <v>34.833263</v>
      </c>
      <c r="AA38" s="1361" t="n">
        <v>37.111761</v>
      </c>
      <c r="AB38" s="1361" t="n">
        <v>24.320362</v>
      </c>
      <c r="AC38" s="1362">
        <f>SUM(Q38:AB38)</f>
        <v/>
      </c>
      <c r="AD38" s="1363" t="n">
        <v>19.320945</v>
      </c>
      <c r="AE38" s="1364" t="n">
        <v>13.872463</v>
      </c>
      <c r="AF38" s="1364" t="n">
        <v>13.872463</v>
      </c>
      <c r="AG38" s="1364" t="n">
        <v>13.872463</v>
      </c>
      <c r="AH38" s="1364" t="n">
        <v>13.872463</v>
      </c>
      <c r="AI38" s="1365" t="n">
        <v>13.872463</v>
      </c>
      <c r="AJ38" s="1391" t="n">
        <v>28.358718</v>
      </c>
      <c r="AK38" s="1364" t="n">
        <v>20.679463</v>
      </c>
      <c r="AL38" s="1364" t="n">
        <v>20.679463</v>
      </c>
      <c r="AM38" s="1364" t="n">
        <v>20.679463</v>
      </c>
      <c r="AN38" s="1365" t="n">
        <v>20.679463</v>
      </c>
      <c r="AO38" s="1391" t="n">
        <v>10.831927</v>
      </c>
      <c r="AP38" s="1365" t="n">
        <v>22.278498</v>
      </c>
      <c r="AQ38" s="1392" t="n">
        <v>22.278498</v>
      </c>
      <c r="AR38" s="1392" t="n">
        <v>22.278498</v>
      </c>
      <c r="AS38" s="1392" t="n">
        <v>22.278498</v>
      </c>
      <c r="AT38" s="1392" t="n">
        <v>22.278498</v>
      </c>
      <c r="AU38" s="1391" t="n">
        <v>18.873382</v>
      </c>
      <c r="AV38" s="1364" t="n">
        <v>20.569504</v>
      </c>
      <c r="AW38" s="1364" t="n">
        <v>20.569504</v>
      </c>
      <c r="AX38" s="1364" t="n">
        <v>17.464422</v>
      </c>
      <c r="AY38" s="1364" t="n">
        <v>20.569504</v>
      </c>
      <c r="AZ38" s="1365" t="n">
        <v>17.464422</v>
      </c>
      <c r="BA38" s="1393" t="n"/>
      <c r="BB38" s="1394" t="n"/>
      <c r="BC38" s="1394" t="n"/>
      <c r="BD38" s="1394" t="n"/>
      <c r="BE38" s="1394" t="n"/>
      <c r="BF38" s="1394" t="n"/>
      <c r="BG38" s="1395" t="n"/>
      <c r="BH38" s="1393" t="n"/>
      <c r="BI38" s="1394" t="n"/>
      <c r="BJ38" s="1394" t="n"/>
      <c r="BK38" s="1394" t="n"/>
      <c r="BL38" s="1394" t="n"/>
      <c r="BM38" s="1395" t="n"/>
      <c r="BN38" s="1393" t="n"/>
      <c r="BO38" s="1394" t="n"/>
      <c r="BP38" s="1394" t="n"/>
      <c r="BQ38" s="1394" t="n"/>
      <c r="BR38" s="1394" t="n"/>
      <c r="BS38" s="1395" t="n"/>
      <c r="BT38" s="1393" t="n"/>
      <c r="BU38" s="1394" t="n"/>
      <c r="BV38" s="1394" t="n"/>
      <c r="BW38" s="1394" t="n"/>
      <c r="BX38" s="1394" t="n"/>
      <c r="BY38" s="1394" t="n"/>
      <c r="BZ38" s="1395" t="n"/>
      <c r="CA38" s="1393" t="n"/>
      <c r="CB38" s="1394" t="n"/>
      <c r="CC38" s="1394" t="n"/>
      <c r="CD38" s="1394" t="n"/>
      <c r="CE38" s="1394" t="n"/>
      <c r="CF38" s="1395" t="n"/>
      <c r="CG38" s="1393" t="n"/>
      <c r="CH38" s="1394" t="n"/>
      <c r="CI38" s="1394" t="n"/>
      <c r="CJ38" s="1394" t="n"/>
      <c r="CK38" s="1394" t="n"/>
      <c r="CL38" s="1395" t="n"/>
      <c r="CM38" s="1393" t="n"/>
      <c r="CN38" s="1394" t="n"/>
      <c r="CO38" s="1394" t="n"/>
      <c r="CP38" s="1394" t="n"/>
      <c r="CQ38" s="1394" t="n"/>
      <c r="CR38" s="1395" t="n"/>
      <c r="CS38" s="1393" t="n"/>
      <c r="CT38" s="1394" t="n"/>
      <c r="CU38" s="1394" t="n"/>
      <c r="CV38" s="1394" t="n"/>
      <c r="CW38" s="1394" t="n"/>
      <c r="CX38" s="1396" t="n"/>
    </row>
    <row r="39" ht="16.5" customHeight="1" s="838">
      <c r="B39" s="756" t="n"/>
      <c r="C39" s="666" t="inlineStr">
        <is>
          <t>세금과공과</t>
        </is>
      </c>
      <c r="D39" s="1360" t="n">
        <v>37.111761</v>
      </c>
      <c r="E39" s="1361" t="n">
        <v>34.693815</v>
      </c>
      <c r="F39" s="1361" t="n">
        <v>42.703856</v>
      </c>
      <c r="G39" s="1361" t="n">
        <v>16.215853</v>
      </c>
      <c r="H39" s="1361" t="n">
        <v>35.296292</v>
      </c>
      <c r="I39" s="1361" t="n">
        <v>31.618519</v>
      </c>
      <c r="J39" s="1361" t="n">
        <v>42.703856</v>
      </c>
      <c r="K39" s="1361" t="n">
        <v>39.526994</v>
      </c>
      <c r="L39" s="1361" t="n">
        <v>21.007382</v>
      </c>
      <c r="M39" s="1361" t="n">
        <v>17.242908</v>
      </c>
      <c r="N39" s="1361" t="n">
        <v>31.618519</v>
      </c>
      <c r="O39" s="1361" t="n">
        <v>31.373747</v>
      </c>
      <c r="P39" s="1362">
        <f>SUM(D39:O39)</f>
        <v/>
      </c>
      <c r="Q39" s="1360" t="n">
        <v>34.5171</v>
      </c>
      <c r="R39" s="1361" t="n">
        <v>32.499095</v>
      </c>
      <c r="S39" s="1361" t="n">
        <v>14.656931</v>
      </c>
      <c r="T39" s="1361" t="n">
        <v>19.602052</v>
      </c>
      <c r="U39" s="1361" t="n">
        <v>11.908059</v>
      </c>
      <c r="V39" s="1361" t="n">
        <v>19.366313</v>
      </c>
      <c r="W39" s="1361" t="n">
        <v>33.167683</v>
      </c>
      <c r="X39" s="1361" t="n">
        <v>36.206176</v>
      </c>
      <c r="Y39" s="1361" t="n">
        <v>37.737699</v>
      </c>
      <c r="Z39" s="1361" t="n">
        <v>20.228582</v>
      </c>
      <c r="AA39" s="1361" t="n">
        <v>7.709729</v>
      </c>
      <c r="AB39" s="1361" t="n">
        <v>36.206176</v>
      </c>
      <c r="AC39" s="1362">
        <f>SUM(Q39:AB39)</f>
        <v/>
      </c>
      <c r="AD39" s="1363" t="n">
        <v>23.926037</v>
      </c>
      <c r="AE39" s="1364" t="n">
        <v>17.935545</v>
      </c>
      <c r="AF39" s="1364" t="n">
        <v>17.935545</v>
      </c>
      <c r="AG39" s="1364" t="n">
        <v>17.935545</v>
      </c>
      <c r="AH39" s="1364" t="n">
        <v>17.935545</v>
      </c>
      <c r="AI39" s="1365" t="n">
        <v>17.935545</v>
      </c>
      <c r="AJ39" s="1391" t="n">
        <v>12.118066</v>
      </c>
      <c r="AK39" s="1364" t="n">
        <v>14.600014</v>
      </c>
      <c r="AL39" s="1364" t="n">
        <v>14.600014</v>
      </c>
      <c r="AM39" s="1364" t="n">
        <v>14.600014</v>
      </c>
      <c r="AN39" s="1365" t="n">
        <v>14.600014</v>
      </c>
      <c r="AO39" s="1391" t="n">
        <v>21.768485</v>
      </c>
      <c r="AP39" s="1365" t="n">
        <v>13.305512</v>
      </c>
      <c r="AQ39" s="1392" t="n">
        <v>13.305512</v>
      </c>
      <c r="AR39" s="1392" t="n">
        <v>13.305512</v>
      </c>
      <c r="AS39" s="1392" t="n">
        <v>13.305512</v>
      </c>
      <c r="AT39" s="1392" t="n">
        <v>13.305512</v>
      </c>
      <c r="AU39" s="1391" t="n">
        <v>13.950572</v>
      </c>
      <c r="AV39" s="1364" t="n">
        <v>21.62219</v>
      </c>
      <c r="AW39" s="1364" t="n">
        <v>21.62219</v>
      </c>
      <c r="AX39" s="1364" t="n">
        <v>23.980135</v>
      </c>
      <c r="AY39" s="1364" t="n">
        <v>21.62219</v>
      </c>
      <c r="AZ39" s="1365" t="n">
        <v>23.980135</v>
      </c>
      <c r="BA39" s="1393" t="n"/>
      <c r="BB39" s="1394" t="n"/>
      <c r="BC39" s="1394" t="n"/>
      <c r="BD39" s="1394" t="n"/>
      <c r="BE39" s="1394" t="n"/>
      <c r="BF39" s="1394" t="n"/>
      <c r="BG39" s="1395" t="n"/>
      <c r="BH39" s="1393" t="n"/>
      <c r="BI39" s="1394" t="n"/>
      <c r="BJ39" s="1394" t="n"/>
      <c r="BK39" s="1394" t="n"/>
      <c r="BL39" s="1394" t="n"/>
      <c r="BM39" s="1395" t="n"/>
      <c r="BN39" s="1393" t="n"/>
      <c r="BO39" s="1394" t="n"/>
      <c r="BP39" s="1394" t="n"/>
      <c r="BQ39" s="1394" t="n"/>
      <c r="BR39" s="1394" t="n"/>
      <c r="BS39" s="1395" t="n"/>
      <c r="BT39" s="1393" t="n"/>
      <c r="BU39" s="1394" t="n"/>
      <c r="BV39" s="1394" t="n"/>
      <c r="BW39" s="1394" t="n"/>
      <c r="BX39" s="1394" t="n"/>
      <c r="BY39" s="1394" t="n"/>
      <c r="BZ39" s="1395" t="n"/>
      <c r="CA39" s="1393" t="n"/>
      <c r="CB39" s="1394" t="n"/>
      <c r="CC39" s="1394" t="n"/>
      <c r="CD39" s="1394" t="n"/>
      <c r="CE39" s="1394" t="n"/>
      <c r="CF39" s="1395" t="n"/>
      <c r="CG39" s="1393" t="n"/>
      <c r="CH39" s="1394" t="n"/>
      <c r="CI39" s="1394" t="n"/>
      <c r="CJ39" s="1394" t="n"/>
      <c r="CK39" s="1394" t="n"/>
      <c r="CL39" s="1395" t="n"/>
      <c r="CM39" s="1393" t="n"/>
      <c r="CN39" s="1394" t="n"/>
      <c r="CO39" s="1394" t="n"/>
      <c r="CP39" s="1394" t="n"/>
      <c r="CQ39" s="1394" t="n"/>
      <c r="CR39" s="1395" t="n"/>
      <c r="CS39" s="1393" t="n"/>
      <c r="CT39" s="1394" t="n"/>
      <c r="CU39" s="1394" t="n"/>
      <c r="CV39" s="1394" t="n"/>
      <c r="CW39" s="1394" t="n"/>
      <c r="CX39" s="1396" t="n"/>
    </row>
    <row r="40" ht="16.5" customHeight="1" s="838">
      <c r="B40" s="756" t="n"/>
      <c r="C40" s="682" t="inlineStr">
        <is>
          <t>IT.</t>
        </is>
      </c>
      <c r="D40" s="1360" t="n">
        <v>42.703856</v>
      </c>
      <c r="E40" s="1361" t="n">
        <v>9.255420000000001</v>
      </c>
      <c r="F40" s="1361" t="n">
        <v>35.296292</v>
      </c>
      <c r="G40" s="1361" t="n">
        <v>53.552917</v>
      </c>
      <c r="H40" s="1361" t="n">
        <v>9.696059</v>
      </c>
      <c r="I40" s="1361" t="n">
        <v>24.320362</v>
      </c>
      <c r="J40" s="1361" t="n">
        <v>53.552917</v>
      </c>
      <c r="K40" s="1361" t="n">
        <v>39.526994</v>
      </c>
      <c r="L40" s="1361" t="n">
        <v>24.320362</v>
      </c>
      <c r="M40" s="1361" t="n">
        <v>21.007382</v>
      </c>
      <c r="N40" s="1361" t="n">
        <v>14.656931</v>
      </c>
      <c r="O40" s="1361" t="n">
        <v>20.103841</v>
      </c>
      <c r="P40" s="1362">
        <f>SUM(D40:O40)</f>
        <v/>
      </c>
      <c r="Q40" s="1360" t="n">
        <v>29.383119</v>
      </c>
      <c r="R40" s="1361" t="n">
        <v>15.438232</v>
      </c>
      <c r="S40" s="1361" t="n">
        <v>42.703856</v>
      </c>
      <c r="T40" s="1361" t="n">
        <v>19.602052</v>
      </c>
      <c r="U40" s="1361" t="n">
        <v>33.167683</v>
      </c>
      <c r="V40" s="1361" t="n">
        <v>34.5171</v>
      </c>
      <c r="W40" s="1361" t="n">
        <v>35.296292</v>
      </c>
      <c r="X40" s="1361" t="n">
        <v>29.383119</v>
      </c>
      <c r="Y40" s="1361" t="n">
        <v>16.688764</v>
      </c>
      <c r="Z40" s="1361" t="n">
        <v>18.643462</v>
      </c>
      <c r="AA40" s="1361" t="n">
        <v>20.103841</v>
      </c>
      <c r="AB40" s="1361" t="n">
        <v>59.73971</v>
      </c>
      <c r="AC40" s="1362">
        <f>SUM(Q40:AB40)</f>
        <v/>
      </c>
      <c r="AD40" s="1363" t="n">
        <v>50.910216</v>
      </c>
      <c r="AE40" s="1364" t="n">
        <v>34.480535</v>
      </c>
      <c r="AF40" s="1364" t="n">
        <v>34.480535</v>
      </c>
      <c r="AG40" s="1364" t="n">
        <v>34.480535</v>
      </c>
      <c r="AH40" s="1364" t="n">
        <v>34.480535</v>
      </c>
      <c r="AI40" s="1365" t="n">
        <v>34.480535</v>
      </c>
      <c r="AJ40" s="1391" t="n">
        <v>107.197446</v>
      </c>
      <c r="AK40" s="1364" t="n">
        <v>16.88072</v>
      </c>
      <c r="AL40" s="1364" t="n">
        <v>16.88072</v>
      </c>
      <c r="AM40" s="1364" t="n">
        <v>16.88072</v>
      </c>
      <c r="AN40" s="1365" t="n">
        <v>16.88072</v>
      </c>
      <c r="AO40" s="1391" t="n">
        <v>48.925833</v>
      </c>
      <c r="AP40" s="1365" t="n">
        <v>20.189489</v>
      </c>
      <c r="AQ40" s="1392" t="n">
        <v>20.189489</v>
      </c>
      <c r="AR40" s="1392" t="n">
        <v>20.189489</v>
      </c>
      <c r="AS40" s="1392" t="n">
        <v>20.189489</v>
      </c>
      <c r="AT40" s="1392" t="n">
        <v>20.189489</v>
      </c>
      <c r="AU40" s="1391" t="n">
        <v>56.929103</v>
      </c>
      <c r="AV40" s="1364" t="n">
        <v>51.794698</v>
      </c>
      <c r="AW40" s="1364" t="n">
        <v>51.794698</v>
      </c>
      <c r="AX40" s="1364" t="n">
        <v>34.066364</v>
      </c>
      <c r="AY40" s="1364" t="n">
        <v>51.794698</v>
      </c>
      <c r="AZ40" s="1365" t="n">
        <v>34.066364</v>
      </c>
      <c r="BA40" s="1393" t="n"/>
      <c r="BB40" s="1394" t="n"/>
      <c r="BC40" s="1394" t="n"/>
      <c r="BD40" s="1394" t="n"/>
      <c r="BE40" s="1394" t="n"/>
      <c r="BF40" s="1394" t="n"/>
      <c r="BG40" s="1395" t="n"/>
      <c r="BH40" s="1393" t="n"/>
      <c r="BI40" s="1394" t="n"/>
      <c r="BJ40" s="1394" t="n"/>
      <c r="BK40" s="1394" t="n"/>
      <c r="BL40" s="1394" t="n"/>
      <c r="BM40" s="1395" t="n"/>
      <c r="BN40" s="1393" t="n"/>
      <c r="BO40" s="1394" t="n"/>
      <c r="BP40" s="1394" t="n"/>
      <c r="BQ40" s="1394" t="n"/>
      <c r="BR40" s="1394" t="n"/>
      <c r="BS40" s="1395" t="n"/>
      <c r="BT40" s="1393" t="n"/>
      <c r="BU40" s="1394" t="n"/>
      <c r="BV40" s="1394" t="n"/>
      <c r="BW40" s="1394" t="n"/>
      <c r="BX40" s="1394" t="n"/>
      <c r="BY40" s="1394" t="n"/>
      <c r="BZ40" s="1395" t="n"/>
      <c r="CA40" s="1393" t="n"/>
      <c r="CB40" s="1394" t="n"/>
      <c r="CC40" s="1394" t="n"/>
      <c r="CD40" s="1394" t="n"/>
      <c r="CE40" s="1394" t="n"/>
      <c r="CF40" s="1395" t="n"/>
      <c r="CG40" s="1393" t="n"/>
      <c r="CH40" s="1394" t="n"/>
      <c r="CI40" s="1394" t="n"/>
      <c r="CJ40" s="1394" t="n"/>
      <c r="CK40" s="1394" t="n"/>
      <c r="CL40" s="1395" t="n"/>
      <c r="CM40" s="1393" t="n"/>
      <c r="CN40" s="1394" t="n"/>
      <c r="CO40" s="1394" t="n"/>
      <c r="CP40" s="1394" t="n"/>
      <c r="CQ40" s="1394" t="n"/>
      <c r="CR40" s="1395" t="n"/>
      <c r="CS40" s="1393" t="n"/>
      <c r="CT40" s="1394" t="n"/>
      <c r="CU40" s="1394" t="n"/>
      <c r="CV40" s="1394" t="n"/>
      <c r="CW40" s="1394" t="n"/>
      <c r="CX40" s="1396" t="n"/>
    </row>
    <row r="41" ht="16.5" customHeight="1" s="838">
      <c r="B41" s="756" t="n"/>
      <c r="C41" s="706" t="inlineStr">
        <is>
          <t>법무수수료</t>
        </is>
      </c>
      <c r="D41" s="1397" t="n">
        <v>22.257288</v>
      </c>
      <c r="E41" s="1398" t="n">
        <v>31.618519</v>
      </c>
      <c r="F41" s="1398" t="n">
        <v>14.656931</v>
      </c>
      <c r="G41" s="1398" t="n">
        <v>24.126692</v>
      </c>
      <c r="H41" s="1398" t="n">
        <v>39.526994</v>
      </c>
      <c r="I41" s="1398" t="n">
        <v>4.420408</v>
      </c>
      <c r="J41" s="1398" t="n">
        <v>27.25241</v>
      </c>
      <c r="K41" s="1398" t="n">
        <v>22.257288</v>
      </c>
      <c r="L41" s="1398" t="n">
        <v>14.656931</v>
      </c>
      <c r="M41" s="1398" t="n">
        <v>4.420408</v>
      </c>
      <c r="N41" s="1398" t="n">
        <v>42.703856</v>
      </c>
      <c r="O41" s="1398" t="n">
        <v>33.084154</v>
      </c>
      <c r="P41" s="1362">
        <f>SUM(D41:O41)</f>
        <v/>
      </c>
      <c r="Q41" s="1397" t="n">
        <v>7.709729</v>
      </c>
      <c r="R41" s="1398" t="n">
        <v>34.5171</v>
      </c>
      <c r="S41" s="1398" t="n">
        <v>37.194064</v>
      </c>
      <c r="T41" s="1398" t="n">
        <v>15.438232</v>
      </c>
      <c r="U41" s="1398" t="n">
        <v>11.908059</v>
      </c>
      <c r="V41" s="1398" t="n">
        <v>7.709729</v>
      </c>
      <c r="W41" s="1398" t="n">
        <v>24.320362</v>
      </c>
      <c r="X41" s="1398" t="n">
        <v>17.328253</v>
      </c>
      <c r="Y41" s="1398" t="n">
        <v>17.328253</v>
      </c>
      <c r="Z41" s="1398" t="n">
        <v>42.703856</v>
      </c>
      <c r="AA41" s="1398" t="n">
        <v>31.373747</v>
      </c>
      <c r="AB41" s="1398" t="n">
        <v>17.328253</v>
      </c>
      <c r="AC41" s="1362">
        <f>SUM(Q41:AB41)</f>
        <v/>
      </c>
      <c r="AD41" s="1399" t="n">
        <v>25.507959</v>
      </c>
      <c r="AE41" s="1263" t="n">
        <v>34.247384</v>
      </c>
      <c r="AF41" s="1263" t="n">
        <v>42.289621</v>
      </c>
      <c r="AG41" s="1263" t="n">
        <v>34.247384</v>
      </c>
      <c r="AH41" s="1263" t="n">
        <v>42.289621</v>
      </c>
      <c r="AI41" s="1265" t="n">
        <v>34.247384</v>
      </c>
      <c r="AJ41" s="1264" t="n">
        <v>9.148996</v>
      </c>
      <c r="AK41" s="1263" t="n">
        <v>6.87779</v>
      </c>
      <c r="AL41" s="1263" t="n">
        <v>6.87779</v>
      </c>
      <c r="AM41" s="1263" t="n">
        <v>6.87779</v>
      </c>
      <c r="AN41" s="1265" t="n">
        <v>6.87779</v>
      </c>
      <c r="AO41" s="1264" t="n">
        <v>14.799747</v>
      </c>
      <c r="AP41" s="1265" t="n">
        <v>15.920055</v>
      </c>
      <c r="AQ41" s="1306" t="n">
        <v>15.920055</v>
      </c>
      <c r="AR41" s="1306" t="n">
        <v>15.920055</v>
      </c>
      <c r="AS41" s="1306" t="n">
        <v>15.920055</v>
      </c>
      <c r="AT41" s="1306" t="n">
        <v>15.920055</v>
      </c>
      <c r="AU41" s="1391" t="n">
        <v>14.945441</v>
      </c>
      <c r="AV41" s="1263" t="n">
        <v>19.991158</v>
      </c>
      <c r="AW41" s="1263" t="n">
        <v>19.991158</v>
      </c>
      <c r="AX41" s="1263" t="n">
        <v>8.621164</v>
      </c>
      <c r="AY41" s="1263" t="n">
        <v>19.991158</v>
      </c>
      <c r="AZ41" s="1265" t="n">
        <v>8.621164</v>
      </c>
      <c r="BA41" s="1400" t="n"/>
      <c r="BB41" s="1401" t="n"/>
      <c r="BC41" s="1401" t="n"/>
      <c r="BD41" s="1401" t="n"/>
      <c r="BE41" s="1401" t="n"/>
      <c r="BF41" s="1401" t="n"/>
      <c r="BG41" s="1402" t="n"/>
      <c r="BH41" s="1400" t="n"/>
      <c r="BI41" s="1401" t="n"/>
      <c r="BJ41" s="1401" t="n"/>
      <c r="BK41" s="1401" t="n"/>
      <c r="BL41" s="1401" t="n"/>
      <c r="BM41" s="1402" t="n"/>
      <c r="BN41" s="1400" t="n"/>
      <c r="BO41" s="1401" t="n"/>
      <c r="BP41" s="1401" t="n"/>
      <c r="BQ41" s="1401" t="n"/>
      <c r="BR41" s="1401" t="n"/>
      <c r="BS41" s="1402" t="n"/>
      <c r="BT41" s="1400" t="n"/>
      <c r="BU41" s="1401" t="n"/>
      <c r="BV41" s="1401" t="n"/>
      <c r="BW41" s="1401" t="n"/>
      <c r="BX41" s="1401" t="n"/>
      <c r="BY41" s="1401" t="n"/>
      <c r="BZ41" s="1402" t="n"/>
      <c r="CA41" s="1400" t="n"/>
      <c r="CB41" s="1401" t="n"/>
      <c r="CC41" s="1401" t="n"/>
      <c r="CD41" s="1401" t="n"/>
      <c r="CE41" s="1401" t="n"/>
      <c r="CF41" s="1402" t="n"/>
      <c r="CG41" s="1400" t="n"/>
      <c r="CH41" s="1401" t="n"/>
      <c r="CI41" s="1401" t="n"/>
      <c r="CJ41" s="1401" t="n"/>
      <c r="CK41" s="1401" t="n"/>
      <c r="CL41" s="1402" t="n"/>
      <c r="CM41" s="1400" t="n"/>
      <c r="CN41" s="1401" t="n"/>
      <c r="CO41" s="1401" t="n"/>
      <c r="CP41" s="1401" t="n"/>
      <c r="CQ41" s="1401" t="n"/>
      <c r="CR41" s="1402" t="n"/>
      <c r="CS41" s="1400" t="n"/>
      <c r="CT41" s="1401" t="n"/>
      <c r="CU41" s="1401" t="n"/>
      <c r="CV41" s="1401" t="n"/>
      <c r="CW41" s="1401" t="n"/>
      <c r="CX41" s="1403" t="n"/>
    </row>
    <row r="42" ht="16.5" customHeight="1" s="838">
      <c r="B42" s="756" t="n"/>
      <c r="C42" s="706" t="inlineStr">
        <is>
          <t>출장비</t>
        </is>
      </c>
      <c r="D42" s="1397" t="n">
        <v>19.602052</v>
      </c>
      <c r="E42" s="1398" t="n">
        <v>35.296292</v>
      </c>
      <c r="F42" s="1398" t="n">
        <v>15.438232</v>
      </c>
      <c r="G42" s="1398" t="n">
        <v>9.696059</v>
      </c>
      <c r="H42" s="1398" t="n">
        <v>73.146286</v>
      </c>
      <c r="I42" s="1398" t="n">
        <v>31.373747</v>
      </c>
      <c r="J42" s="1398" t="n">
        <v>16.688764</v>
      </c>
      <c r="K42" s="1398" t="n">
        <v>16.215853</v>
      </c>
      <c r="L42" s="1398" t="n">
        <v>16.215853</v>
      </c>
      <c r="M42" s="1398" t="n">
        <v>29.383119</v>
      </c>
      <c r="N42" s="1398" t="n">
        <v>19.393389</v>
      </c>
      <c r="O42" s="1398" t="n">
        <v>27.25241</v>
      </c>
      <c r="P42" s="1362">
        <f>SUM(D42:O42)</f>
        <v/>
      </c>
      <c r="Q42" s="1397" t="n">
        <v>27.693252</v>
      </c>
      <c r="R42" s="1398" t="n">
        <v>19.602052</v>
      </c>
      <c r="S42" s="1398" t="n">
        <v>9.255420000000001</v>
      </c>
      <c r="T42" s="1398" t="n">
        <v>29.383119</v>
      </c>
      <c r="U42" s="1398" t="n">
        <v>27.693252</v>
      </c>
      <c r="V42" s="1398" t="n">
        <v>17.328253</v>
      </c>
      <c r="W42" s="1398" t="n">
        <v>10.573024</v>
      </c>
      <c r="X42" s="1398" t="n">
        <v>37.194064</v>
      </c>
      <c r="Y42" s="1398" t="n">
        <v>31.618519</v>
      </c>
      <c r="Z42" s="1398" t="n">
        <v>37.173353</v>
      </c>
      <c r="AA42" s="1398" t="n">
        <v>24.126692</v>
      </c>
      <c r="AB42" s="1398" t="n">
        <v>29.176663</v>
      </c>
      <c r="AC42" s="1362">
        <f>SUM(Q42:AB42)</f>
        <v/>
      </c>
      <c r="AD42" s="1399" t="n">
        <v>19.547332</v>
      </c>
      <c r="AE42" s="1263" t="n">
        <v>12.901206</v>
      </c>
      <c r="AF42" s="1263" t="n">
        <v>12.901206</v>
      </c>
      <c r="AG42" s="1263" t="n">
        <v>12.901206</v>
      </c>
      <c r="AH42" s="1263" t="n">
        <v>12.901206</v>
      </c>
      <c r="AI42" s="1265" t="n">
        <v>12.901206</v>
      </c>
      <c r="AJ42" s="1264" t="n">
        <v>23.84922</v>
      </c>
      <c r="AK42" s="1263" t="n">
        <v>15.783297</v>
      </c>
      <c r="AL42" s="1263" t="n">
        <v>15.783297</v>
      </c>
      <c r="AM42" s="1263" t="n">
        <v>15.783297</v>
      </c>
      <c r="AN42" s="1265" t="n">
        <v>15.783297</v>
      </c>
      <c r="AO42" s="1264" t="n">
        <v>29.377779</v>
      </c>
      <c r="AP42" s="1265" t="n">
        <v>18.440283</v>
      </c>
      <c r="AQ42" s="1306" t="n">
        <v>18.440283</v>
      </c>
      <c r="AR42" s="1306" t="n">
        <v>18.440283</v>
      </c>
      <c r="AS42" s="1306" t="n">
        <v>18.440283</v>
      </c>
      <c r="AT42" s="1306" t="n">
        <v>18.440283</v>
      </c>
      <c r="AU42" s="1391" t="n">
        <v>40.637211</v>
      </c>
      <c r="AV42" s="1263" t="n">
        <v>33.639855</v>
      </c>
      <c r="AW42" s="1263" t="n">
        <v>33.639855</v>
      </c>
      <c r="AX42" s="1263" t="n">
        <v>46.510196</v>
      </c>
      <c r="AY42" s="1263" t="n">
        <v>33.639855</v>
      </c>
      <c r="AZ42" s="1265" t="n">
        <v>46.510196</v>
      </c>
      <c r="BA42" s="1400" t="n"/>
      <c r="BB42" s="1401" t="n"/>
      <c r="BC42" s="1401" t="n"/>
      <c r="BD42" s="1401" t="n"/>
      <c r="BE42" s="1401" t="n"/>
      <c r="BF42" s="1401" t="n"/>
      <c r="BG42" s="1402" t="n"/>
      <c r="BH42" s="1400" t="n"/>
      <c r="BI42" s="1401" t="n"/>
      <c r="BJ42" s="1401" t="n"/>
      <c r="BK42" s="1401" t="n"/>
      <c r="BL42" s="1401" t="n"/>
      <c r="BM42" s="1402" t="n"/>
      <c r="BN42" s="1400" t="n"/>
      <c r="BO42" s="1401" t="n"/>
      <c r="BP42" s="1401" t="n"/>
      <c r="BQ42" s="1401" t="n"/>
      <c r="BR42" s="1401" t="n"/>
      <c r="BS42" s="1402" t="n"/>
      <c r="BT42" s="1400" t="n"/>
      <c r="BU42" s="1401" t="n"/>
      <c r="BV42" s="1401" t="n"/>
      <c r="BW42" s="1401" t="n"/>
      <c r="BX42" s="1401" t="n"/>
      <c r="BY42" s="1401" t="n"/>
      <c r="BZ42" s="1402" t="n"/>
      <c r="CA42" s="1400" t="n"/>
      <c r="CB42" s="1401" t="n"/>
      <c r="CC42" s="1401" t="n"/>
      <c r="CD42" s="1401" t="n"/>
      <c r="CE42" s="1401" t="n"/>
      <c r="CF42" s="1402" t="n"/>
      <c r="CG42" s="1400" t="n"/>
      <c r="CH42" s="1401" t="n"/>
      <c r="CI42" s="1401" t="n"/>
      <c r="CJ42" s="1401" t="n"/>
      <c r="CK42" s="1401" t="n"/>
      <c r="CL42" s="1402" t="n"/>
      <c r="CM42" s="1400" t="n"/>
      <c r="CN42" s="1401" t="n"/>
      <c r="CO42" s="1401" t="n"/>
      <c r="CP42" s="1401" t="n"/>
      <c r="CQ42" s="1401" t="n"/>
      <c r="CR42" s="1402" t="n"/>
      <c r="CS42" s="1400" t="n"/>
      <c r="CT42" s="1401" t="n"/>
      <c r="CU42" s="1401" t="n"/>
      <c r="CV42" s="1401" t="n"/>
      <c r="CW42" s="1401" t="n"/>
      <c r="CX42" s="1403" t="n"/>
    </row>
    <row r="43" ht="16.5" customHeight="1" s="838">
      <c r="B43" s="756" t="n"/>
      <c r="C43" s="706" t="inlineStr">
        <is>
          <t>업무추진비</t>
        </is>
      </c>
      <c r="D43" s="1397" t="n">
        <v>7.709729</v>
      </c>
      <c r="E43" s="1398" t="n">
        <v>73.146286</v>
      </c>
      <c r="F43" s="1398" t="n">
        <v>9.255420000000001</v>
      </c>
      <c r="G43" s="1398" t="n">
        <v>59.73971</v>
      </c>
      <c r="H43" s="1398" t="n">
        <v>33.084154</v>
      </c>
      <c r="I43" s="1398" t="n">
        <v>33.167683</v>
      </c>
      <c r="J43" s="1398" t="n">
        <v>16.688764</v>
      </c>
      <c r="K43" s="1398" t="n">
        <v>32.499095</v>
      </c>
      <c r="L43" s="1398" t="n">
        <v>22.257288</v>
      </c>
      <c r="M43" s="1398" t="n">
        <v>4.420408</v>
      </c>
      <c r="N43" s="1398" t="n">
        <v>31.618519</v>
      </c>
      <c r="O43" s="1398" t="n">
        <v>59.73971</v>
      </c>
      <c r="P43" s="1362">
        <f>SUM(D43:O43)</f>
        <v/>
      </c>
      <c r="Q43" s="1397" t="n">
        <v>22.257288</v>
      </c>
      <c r="R43" s="1398" t="n">
        <v>19.366313</v>
      </c>
      <c r="S43" s="1398" t="n">
        <v>17.328253</v>
      </c>
      <c r="T43" s="1398" t="n">
        <v>39.526994</v>
      </c>
      <c r="U43" s="1398" t="n">
        <v>18.643462</v>
      </c>
      <c r="V43" s="1398" t="n">
        <v>28.31935</v>
      </c>
      <c r="W43" s="1398" t="n">
        <v>17.328253</v>
      </c>
      <c r="X43" s="1398" t="n">
        <v>34.812547</v>
      </c>
      <c r="Y43" s="1398" t="n">
        <v>31.373747</v>
      </c>
      <c r="Z43" s="1398" t="n">
        <v>37.737699</v>
      </c>
      <c r="AA43" s="1398" t="n">
        <v>34.833263</v>
      </c>
      <c r="AB43" s="1398" t="n">
        <v>29.176663</v>
      </c>
      <c r="AC43" s="1362">
        <f>SUM(Q43:AB43)</f>
        <v/>
      </c>
      <c r="AD43" s="1399" t="n">
        <v>6.043521</v>
      </c>
      <c r="AE43" s="1263" t="n">
        <v>2.885992</v>
      </c>
      <c r="AF43" s="1263" t="n">
        <v>2.885992</v>
      </c>
      <c r="AG43" s="1263" t="n">
        <v>2.885992</v>
      </c>
      <c r="AH43" s="1263" t="n">
        <v>2.885992</v>
      </c>
      <c r="AI43" s="1265" t="n">
        <v>2.885992</v>
      </c>
      <c r="AJ43" s="1264" t="n">
        <v>9.295005</v>
      </c>
      <c r="AK43" s="1263" t="n">
        <v>14.525298</v>
      </c>
      <c r="AL43" s="1263" t="n">
        <v>14.525298</v>
      </c>
      <c r="AM43" s="1263" t="n">
        <v>14.525298</v>
      </c>
      <c r="AN43" s="1265" t="n">
        <v>14.525298</v>
      </c>
      <c r="AO43" s="1264" t="n">
        <v>15.348726</v>
      </c>
      <c r="AP43" s="1265" t="n">
        <v>6.527187</v>
      </c>
      <c r="AQ43" s="1306" t="n">
        <v>6.527187</v>
      </c>
      <c r="AR43" s="1306" t="n">
        <v>6.527187</v>
      </c>
      <c r="AS43" s="1306" t="n">
        <v>6.527187</v>
      </c>
      <c r="AT43" s="1306" t="n">
        <v>6.527187</v>
      </c>
      <c r="AU43" s="1391" t="n">
        <v>11.311771</v>
      </c>
      <c r="AV43" s="1263" t="n">
        <v>15.689238</v>
      </c>
      <c r="AW43" s="1263" t="n">
        <v>15.689238</v>
      </c>
      <c r="AX43" s="1263" t="n">
        <v>15.348726</v>
      </c>
      <c r="AY43" s="1263" t="n">
        <v>15.689238</v>
      </c>
      <c r="AZ43" s="1265" t="n">
        <v>15.348726</v>
      </c>
      <c r="BA43" s="1400" t="n"/>
      <c r="BB43" s="1401" t="n"/>
      <c r="BC43" s="1401" t="n"/>
      <c r="BD43" s="1401" t="n"/>
      <c r="BE43" s="1401" t="n"/>
      <c r="BF43" s="1401" t="n"/>
      <c r="BG43" s="1402" t="n"/>
      <c r="BH43" s="1400" t="n"/>
      <c r="BI43" s="1401" t="n"/>
      <c r="BJ43" s="1401" t="n"/>
      <c r="BK43" s="1401" t="n"/>
      <c r="BL43" s="1401" t="n"/>
      <c r="BM43" s="1402" t="n"/>
      <c r="BN43" s="1400" t="n"/>
      <c r="BO43" s="1401" t="n"/>
      <c r="BP43" s="1401" t="n"/>
      <c r="BQ43" s="1401" t="n"/>
      <c r="BR43" s="1401" t="n"/>
      <c r="BS43" s="1402" t="n"/>
      <c r="BT43" s="1400" t="n"/>
      <c r="BU43" s="1401" t="n"/>
      <c r="BV43" s="1401" t="n"/>
      <c r="BW43" s="1401" t="n"/>
      <c r="BX43" s="1401" t="n"/>
      <c r="BY43" s="1401" t="n"/>
      <c r="BZ43" s="1402" t="n"/>
      <c r="CA43" s="1400" t="n"/>
      <c r="CB43" s="1401" t="n"/>
      <c r="CC43" s="1401" t="n"/>
      <c r="CD43" s="1401" t="n"/>
      <c r="CE43" s="1401" t="n"/>
      <c r="CF43" s="1402" t="n"/>
      <c r="CG43" s="1400" t="n"/>
      <c r="CH43" s="1401" t="n"/>
      <c r="CI43" s="1401" t="n"/>
      <c r="CJ43" s="1401" t="n"/>
      <c r="CK43" s="1401" t="n"/>
      <c r="CL43" s="1402" t="n"/>
      <c r="CM43" s="1400" t="n"/>
      <c r="CN43" s="1401" t="n"/>
      <c r="CO43" s="1401" t="n"/>
      <c r="CP43" s="1401" t="n"/>
      <c r="CQ43" s="1401" t="n"/>
      <c r="CR43" s="1402" t="n"/>
      <c r="CS43" s="1400" t="n"/>
      <c r="CT43" s="1401" t="n"/>
      <c r="CU43" s="1401" t="n"/>
      <c r="CV43" s="1401" t="n"/>
      <c r="CW43" s="1401" t="n"/>
      <c r="CX43" s="1403" t="n"/>
    </row>
    <row r="44" ht="16.5" customHeight="1" s="838">
      <c r="B44" s="756" t="n"/>
      <c r="C44" s="706" t="inlineStr">
        <is>
          <t>수도광열비</t>
        </is>
      </c>
      <c r="D44" s="1397" t="n">
        <v>22.257288</v>
      </c>
      <c r="E44" s="1398" t="n">
        <v>34.833263</v>
      </c>
      <c r="F44" s="1398" t="n">
        <v>9.696059</v>
      </c>
      <c r="G44" s="1398" t="n">
        <v>17.328253</v>
      </c>
      <c r="H44" s="1398" t="n">
        <v>36.206176</v>
      </c>
      <c r="I44" s="1398" t="n">
        <v>34.833263</v>
      </c>
      <c r="J44" s="1398" t="n">
        <v>42.703856</v>
      </c>
      <c r="K44" s="1398" t="n">
        <v>29.176663</v>
      </c>
      <c r="L44" s="1398" t="n">
        <v>31.618519</v>
      </c>
      <c r="M44" s="1398" t="n">
        <v>31.373747</v>
      </c>
      <c r="N44" s="1398" t="n">
        <v>73.146286</v>
      </c>
      <c r="O44" s="1398" t="n">
        <v>9.696059</v>
      </c>
      <c r="P44" s="1362">
        <f>SUM(D44:O44)</f>
        <v/>
      </c>
      <c r="Q44" s="1397" t="n">
        <v>42.703856</v>
      </c>
      <c r="R44" s="1398" t="n">
        <v>9.255420000000001</v>
      </c>
      <c r="S44" s="1398" t="n">
        <v>31.618519</v>
      </c>
      <c r="T44" s="1398" t="n">
        <v>15.438232</v>
      </c>
      <c r="U44" s="1398" t="n">
        <v>42.703856</v>
      </c>
      <c r="V44" s="1398" t="n">
        <v>28.31935</v>
      </c>
      <c r="W44" s="1398" t="n">
        <v>18.643462</v>
      </c>
      <c r="X44" s="1398" t="n">
        <v>9.255420000000001</v>
      </c>
      <c r="Y44" s="1398" t="n">
        <v>42.703856</v>
      </c>
      <c r="Z44" s="1398" t="n">
        <v>24.320362</v>
      </c>
      <c r="AA44" s="1398" t="n">
        <v>34.5171</v>
      </c>
      <c r="AB44" s="1398" t="n">
        <v>19.393389</v>
      </c>
      <c r="AC44" s="1362">
        <f>SUM(Q44:AB44)</f>
        <v/>
      </c>
      <c r="AD44" s="1399" t="n">
        <v>15.775382</v>
      </c>
      <c r="AE44" s="1263" t="n">
        <v>14.885291</v>
      </c>
      <c r="AF44" s="1263" t="n">
        <v>14.885291</v>
      </c>
      <c r="AG44" s="1263" t="n">
        <v>14.885291</v>
      </c>
      <c r="AH44" s="1263" t="n">
        <v>14.885291</v>
      </c>
      <c r="AI44" s="1265" t="n">
        <v>14.885291</v>
      </c>
      <c r="AJ44" s="1264" t="n">
        <v>19.540485</v>
      </c>
      <c r="AK44" s="1263" t="n">
        <v>7.273357</v>
      </c>
      <c r="AL44" s="1263" t="n">
        <v>7.273357</v>
      </c>
      <c r="AM44" s="1263" t="n">
        <v>7.273357</v>
      </c>
      <c r="AN44" s="1265" t="n">
        <v>7.273357</v>
      </c>
      <c r="AO44" s="1264" t="n">
        <v>10.69605</v>
      </c>
      <c r="AP44" s="1265" t="n">
        <v>17.926384</v>
      </c>
      <c r="AQ44" s="1306" t="n">
        <v>17.926384</v>
      </c>
      <c r="AR44" s="1306" t="n">
        <v>17.926384</v>
      </c>
      <c r="AS44" s="1306" t="n">
        <v>17.926384</v>
      </c>
      <c r="AT44" s="1306" t="n">
        <v>17.926384</v>
      </c>
      <c r="AU44" s="1391" t="n">
        <v>10.703887</v>
      </c>
      <c r="AV44" s="1263" t="n">
        <v>18.126255</v>
      </c>
      <c r="AW44" s="1263" t="n">
        <v>18.126255</v>
      </c>
      <c r="AX44" s="1263" t="n">
        <v>20.469438</v>
      </c>
      <c r="AY44" s="1263" t="n">
        <v>18.126255</v>
      </c>
      <c r="AZ44" s="1265" t="n">
        <v>20.469438</v>
      </c>
      <c r="BA44" s="1400" t="n"/>
      <c r="BB44" s="1401" t="n"/>
      <c r="BC44" s="1401" t="n"/>
      <c r="BD44" s="1401" t="n"/>
      <c r="BE44" s="1401" t="n"/>
      <c r="BF44" s="1401" t="n"/>
      <c r="BG44" s="1402" t="n"/>
      <c r="BH44" s="1400" t="n"/>
      <c r="BI44" s="1401" t="n"/>
      <c r="BJ44" s="1401" t="n"/>
      <c r="BK44" s="1401" t="n"/>
      <c r="BL44" s="1401" t="n"/>
      <c r="BM44" s="1402" t="n"/>
      <c r="BN44" s="1400" t="n"/>
      <c r="BO44" s="1401" t="n"/>
      <c r="BP44" s="1401" t="n"/>
      <c r="BQ44" s="1401" t="n"/>
      <c r="BR44" s="1401" t="n"/>
      <c r="BS44" s="1402" t="n"/>
      <c r="BT44" s="1400" t="n"/>
      <c r="BU44" s="1401" t="n"/>
      <c r="BV44" s="1401" t="n"/>
      <c r="BW44" s="1401" t="n"/>
      <c r="BX44" s="1401" t="n"/>
      <c r="BY44" s="1401" t="n"/>
      <c r="BZ44" s="1402" t="n"/>
      <c r="CA44" s="1400" t="n"/>
      <c r="CB44" s="1401" t="n"/>
      <c r="CC44" s="1401" t="n"/>
      <c r="CD44" s="1401" t="n"/>
      <c r="CE44" s="1401" t="n"/>
      <c r="CF44" s="1402" t="n"/>
      <c r="CG44" s="1400" t="n"/>
      <c r="CH44" s="1401" t="n"/>
      <c r="CI44" s="1401" t="n"/>
      <c r="CJ44" s="1401" t="n"/>
      <c r="CK44" s="1401" t="n"/>
      <c r="CL44" s="1402" t="n"/>
      <c r="CM44" s="1400" t="n"/>
      <c r="CN44" s="1401" t="n"/>
      <c r="CO44" s="1401" t="n"/>
      <c r="CP44" s="1401" t="n"/>
      <c r="CQ44" s="1401" t="n"/>
      <c r="CR44" s="1402" t="n"/>
      <c r="CS44" s="1400" t="n"/>
      <c r="CT44" s="1401" t="n"/>
      <c r="CU44" s="1401" t="n"/>
      <c r="CV44" s="1401" t="n"/>
      <c r="CW44" s="1401" t="n"/>
      <c r="CX44" s="1403" t="n"/>
    </row>
    <row r="45" ht="16.5" customHeight="1" s="838">
      <c r="B45" s="756" t="n"/>
      <c r="C45" s="706" t="inlineStr">
        <is>
          <t>보험료</t>
        </is>
      </c>
      <c r="D45" s="1397" t="n">
        <v>37.173353</v>
      </c>
      <c r="E45" s="1398" t="n">
        <v>42.703856</v>
      </c>
      <c r="F45" s="1398" t="n">
        <v>29.176663</v>
      </c>
      <c r="G45" s="1398" t="n">
        <v>22.257288</v>
      </c>
      <c r="H45" s="1398" t="n">
        <v>31.618519</v>
      </c>
      <c r="I45" s="1398" t="n">
        <v>35.296292</v>
      </c>
      <c r="J45" s="1398" t="n">
        <v>24.296677</v>
      </c>
      <c r="K45" s="1398" t="n">
        <v>34.5171</v>
      </c>
      <c r="L45" s="1398" t="n">
        <v>16.215853</v>
      </c>
      <c r="M45" s="1398" t="n">
        <v>4.420408</v>
      </c>
      <c r="N45" s="1398" t="n">
        <v>37.111761</v>
      </c>
      <c r="O45" s="1398" t="n">
        <v>34.833263</v>
      </c>
      <c r="P45" s="1362">
        <f>SUM(D45:O45)</f>
        <v/>
      </c>
      <c r="Q45" s="1397" t="n">
        <v>34.693815</v>
      </c>
      <c r="R45" s="1398" t="n">
        <v>37.173353</v>
      </c>
      <c r="S45" s="1398" t="n">
        <v>39.526994</v>
      </c>
      <c r="T45" s="1398" t="n">
        <v>29.383119</v>
      </c>
      <c r="U45" s="1398" t="n">
        <v>14.656931</v>
      </c>
      <c r="V45" s="1398" t="n">
        <v>11.908059</v>
      </c>
      <c r="W45" s="1398" t="n">
        <v>16.688764</v>
      </c>
      <c r="X45" s="1398" t="n">
        <v>16.215853</v>
      </c>
      <c r="Y45" s="1398" t="n">
        <v>21.007382</v>
      </c>
      <c r="Z45" s="1398" t="n">
        <v>9.255420000000001</v>
      </c>
      <c r="AA45" s="1398" t="n">
        <v>73.146286</v>
      </c>
      <c r="AB45" s="1398" t="n">
        <v>37.173353</v>
      </c>
      <c r="AC45" s="1362">
        <f>SUM(Q45:AB45)</f>
        <v/>
      </c>
      <c r="AD45" s="1399" t="n">
        <v>18.47349</v>
      </c>
      <c r="AE45" s="1263" t="n">
        <v>18.436743</v>
      </c>
      <c r="AF45" s="1263" t="n">
        <v>18.436743</v>
      </c>
      <c r="AG45" s="1263" t="n">
        <v>18.436743</v>
      </c>
      <c r="AH45" s="1263" t="n">
        <v>18.436743</v>
      </c>
      <c r="AI45" s="1265" t="n">
        <v>18.436743</v>
      </c>
      <c r="AJ45" s="1264" t="n">
        <v>30.368884</v>
      </c>
      <c r="AK45" s="1263" t="n">
        <v>8.63381</v>
      </c>
      <c r="AL45" s="1263" t="n">
        <v>8.63381</v>
      </c>
      <c r="AM45" s="1263" t="n">
        <v>8.63381</v>
      </c>
      <c r="AN45" s="1265" t="n">
        <v>8.63381</v>
      </c>
      <c r="AO45" s="1264" t="n">
        <v>23.679562</v>
      </c>
      <c r="AP45" s="1265" t="n">
        <v>25.546656</v>
      </c>
      <c r="AQ45" s="1306" t="n">
        <v>25.546656</v>
      </c>
      <c r="AR45" s="1306" t="n">
        <v>25.546656</v>
      </c>
      <c r="AS45" s="1306" t="n">
        <v>25.546656</v>
      </c>
      <c r="AT45" s="1306" t="n">
        <v>25.546656</v>
      </c>
      <c r="AU45" s="1391" t="n">
        <v>28.048729</v>
      </c>
      <c r="AV45" s="1263" t="n">
        <v>33.760888</v>
      </c>
      <c r="AW45" s="1263" t="n">
        <v>33.760888</v>
      </c>
      <c r="AX45" s="1263" t="n">
        <v>19.614233</v>
      </c>
      <c r="AY45" s="1263" t="n">
        <v>33.760888</v>
      </c>
      <c r="AZ45" s="1265" t="n">
        <v>19.614233</v>
      </c>
      <c r="BA45" s="1400" t="n"/>
      <c r="BB45" s="1401" t="n"/>
      <c r="BC45" s="1401" t="n"/>
      <c r="BD45" s="1401" t="n"/>
      <c r="BE45" s="1401" t="n"/>
      <c r="BF45" s="1401" t="n"/>
      <c r="BG45" s="1402" t="n"/>
      <c r="BH45" s="1400" t="n"/>
      <c r="BI45" s="1401" t="n"/>
      <c r="BJ45" s="1401" t="n"/>
      <c r="BK45" s="1401" t="n"/>
      <c r="BL45" s="1401" t="n"/>
      <c r="BM45" s="1402" t="n"/>
      <c r="BN45" s="1400" t="n"/>
      <c r="BO45" s="1401" t="n"/>
      <c r="BP45" s="1401" t="n"/>
      <c r="BQ45" s="1401" t="n"/>
      <c r="BR45" s="1401" t="n"/>
      <c r="BS45" s="1402" t="n"/>
      <c r="BT45" s="1400" t="n"/>
      <c r="BU45" s="1401" t="n"/>
      <c r="BV45" s="1401" t="n"/>
      <c r="BW45" s="1401" t="n"/>
      <c r="BX45" s="1401" t="n"/>
      <c r="BY45" s="1401" t="n"/>
      <c r="BZ45" s="1402" t="n"/>
      <c r="CA45" s="1400" t="n"/>
      <c r="CB45" s="1401" t="n"/>
      <c r="CC45" s="1401" t="n"/>
      <c r="CD45" s="1401" t="n"/>
      <c r="CE45" s="1401" t="n"/>
      <c r="CF45" s="1402" t="n"/>
      <c r="CG45" s="1400" t="n"/>
      <c r="CH45" s="1401" t="n"/>
      <c r="CI45" s="1401" t="n"/>
      <c r="CJ45" s="1401" t="n"/>
      <c r="CK45" s="1401" t="n"/>
      <c r="CL45" s="1402" t="n"/>
      <c r="CM45" s="1400" t="n"/>
      <c r="CN45" s="1401" t="n"/>
      <c r="CO45" s="1401" t="n"/>
      <c r="CP45" s="1401" t="n"/>
      <c r="CQ45" s="1401" t="n"/>
      <c r="CR45" s="1402" t="n"/>
      <c r="CS45" s="1400" t="n"/>
      <c r="CT45" s="1401" t="n"/>
      <c r="CU45" s="1401" t="n"/>
      <c r="CV45" s="1401" t="n"/>
      <c r="CW45" s="1401" t="n"/>
      <c r="CX45" s="1403" t="n"/>
    </row>
    <row r="46" ht="16.5" customHeight="1" s="838">
      <c r="B46" s="756" t="n"/>
      <c r="C46" s="706" t="inlineStr">
        <is>
          <t>수선비</t>
        </is>
      </c>
      <c r="D46" s="1397" t="n">
        <v>37.173353</v>
      </c>
      <c r="E46" s="1398" t="n">
        <v>20.228582</v>
      </c>
      <c r="F46" s="1398" t="n">
        <v>9.696059</v>
      </c>
      <c r="G46" s="1398" t="n">
        <v>20.228582</v>
      </c>
      <c r="H46" s="1398" t="n">
        <v>11.908059</v>
      </c>
      <c r="I46" s="1398" t="n">
        <v>17.242908</v>
      </c>
      <c r="J46" s="1398" t="n">
        <v>18.643462</v>
      </c>
      <c r="K46" s="1398" t="n">
        <v>34.833263</v>
      </c>
      <c r="L46" s="1398" t="n">
        <v>24.296677</v>
      </c>
      <c r="M46" s="1398" t="n">
        <v>24.126692</v>
      </c>
      <c r="N46" s="1398" t="n">
        <v>34.5171</v>
      </c>
      <c r="O46" s="1398" t="n">
        <v>19.366313</v>
      </c>
      <c r="P46" s="1362">
        <f>SUM(D46:O46)</f>
        <v/>
      </c>
      <c r="Q46" s="1397" t="n">
        <v>21.007382</v>
      </c>
      <c r="R46" s="1398" t="n">
        <v>15.438232</v>
      </c>
      <c r="S46" s="1398" t="n">
        <v>37.173353</v>
      </c>
      <c r="T46" s="1398" t="n">
        <v>31.618519</v>
      </c>
      <c r="U46" s="1398" t="n">
        <v>18.643462</v>
      </c>
      <c r="V46" s="1398" t="n">
        <v>24.296677</v>
      </c>
      <c r="W46" s="1398" t="n">
        <v>34.5171</v>
      </c>
      <c r="X46" s="1398" t="n">
        <v>20.103841</v>
      </c>
      <c r="Y46" s="1398" t="n">
        <v>33.084154</v>
      </c>
      <c r="Z46" s="1398" t="n">
        <v>29.176663</v>
      </c>
      <c r="AA46" s="1398" t="n">
        <v>19.602052</v>
      </c>
      <c r="AB46" s="1398" t="n">
        <v>35.296292</v>
      </c>
      <c r="AC46" s="1362">
        <f>SUM(Q46:AB46)</f>
        <v/>
      </c>
      <c r="AD46" s="1399" t="n">
        <v>9.143326999999999</v>
      </c>
      <c r="AE46" s="1263" t="n">
        <v>20.05092</v>
      </c>
      <c r="AF46" s="1263" t="n">
        <v>20.05092</v>
      </c>
      <c r="AG46" s="1263" t="n">
        <v>20.05092</v>
      </c>
      <c r="AH46" s="1263" t="n">
        <v>20.05092</v>
      </c>
      <c r="AI46" s="1265" t="n">
        <v>20.05092</v>
      </c>
      <c r="AJ46" s="1264" t="n">
        <v>13.018732</v>
      </c>
      <c r="AK46" s="1263" t="n">
        <v>22.197621</v>
      </c>
      <c r="AL46" s="1263" t="n">
        <v>22.197621</v>
      </c>
      <c r="AM46" s="1263" t="n">
        <v>22.197621</v>
      </c>
      <c r="AN46" s="1265" t="n">
        <v>22.197621</v>
      </c>
      <c r="AO46" s="1264" t="n">
        <v>36.574791</v>
      </c>
      <c r="AP46" s="1265" t="n">
        <v>22.972762</v>
      </c>
      <c r="AQ46" s="1306" t="n">
        <v>22.972762</v>
      </c>
      <c r="AR46" s="1306" t="n">
        <v>22.972762</v>
      </c>
      <c r="AS46" s="1306" t="n">
        <v>22.972762</v>
      </c>
      <c r="AT46" s="1306" t="n">
        <v>22.972762</v>
      </c>
      <c r="AU46" s="1391" t="n">
        <v>19.31582</v>
      </c>
      <c r="AV46" s="1263" t="n">
        <v>11.108259</v>
      </c>
      <c r="AW46" s="1263" t="n">
        <v>11.108259</v>
      </c>
      <c r="AX46" s="1263" t="n">
        <v>25.166377</v>
      </c>
      <c r="AY46" s="1263" t="n">
        <v>11.108259</v>
      </c>
      <c r="AZ46" s="1265" t="n">
        <v>25.166377</v>
      </c>
      <c r="BA46" s="1400" t="n"/>
      <c r="BB46" s="1401" t="n"/>
      <c r="BC46" s="1401" t="n"/>
      <c r="BD46" s="1401" t="n"/>
      <c r="BE46" s="1401" t="n"/>
      <c r="BF46" s="1401" t="n"/>
      <c r="BG46" s="1402" t="n"/>
      <c r="BH46" s="1400" t="n"/>
      <c r="BI46" s="1401" t="n"/>
      <c r="BJ46" s="1401" t="n"/>
      <c r="BK46" s="1401" t="n"/>
      <c r="BL46" s="1401" t="n"/>
      <c r="BM46" s="1402" t="n"/>
      <c r="BN46" s="1400" t="n"/>
      <c r="BO46" s="1401" t="n"/>
      <c r="BP46" s="1401" t="n"/>
      <c r="BQ46" s="1401" t="n"/>
      <c r="BR46" s="1401" t="n"/>
      <c r="BS46" s="1402" t="n"/>
      <c r="BT46" s="1400" t="n"/>
      <c r="BU46" s="1401" t="n"/>
      <c r="BV46" s="1401" t="n"/>
      <c r="BW46" s="1401" t="n"/>
      <c r="BX46" s="1401" t="n"/>
      <c r="BY46" s="1401" t="n"/>
      <c r="BZ46" s="1402" t="n"/>
      <c r="CA46" s="1400" t="n"/>
      <c r="CB46" s="1401" t="n"/>
      <c r="CC46" s="1401" t="n"/>
      <c r="CD46" s="1401" t="n"/>
      <c r="CE46" s="1401" t="n"/>
      <c r="CF46" s="1402" t="n"/>
      <c r="CG46" s="1400" t="n"/>
      <c r="CH46" s="1401" t="n"/>
      <c r="CI46" s="1401" t="n"/>
      <c r="CJ46" s="1401" t="n"/>
      <c r="CK46" s="1401" t="n"/>
      <c r="CL46" s="1402" t="n"/>
      <c r="CM46" s="1400" t="n"/>
      <c r="CN46" s="1401" t="n"/>
      <c r="CO46" s="1401" t="n"/>
      <c r="CP46" s="1401" t="n"/>
      <c r="CQ46" s="1401" t="n"/>
      <c r="CR46" s="1402" t="n"/>
      <c r="CS46" s="1400" t="n"/>
      <c r="CT46" s="1401" t="n"/>
      <c r="CU46" s="1401" t="n"/>
      <c r="CV46" s="1401" t="n"/>
      <c r="CW46" s="1401" t="n"/>
      <c r="CX46" s="1403" t="n"/>
    </row>
    <row r="47" ht="16.5" customHeight="1" s="838">
      <c r="B47" s="756" t="n"/>
      <c r="C47" s="706" t="inlineStr">
        <is>
          <t>통신비</t>
        </is>
      </c>
      <c r="D47" s="1397" t="n">
        <v>19.366313</v>
      </c>
      <c r="E47" s="1398" t="n">
        <v>33.084154</v>
      </c>
      <c r="F47" s="1398" t="n">
        <v>53.552917</v>
      </c>
      <c r="G47" s="1398" t="n">
        <v>59.73971</v>
      </c>
      <c r="H47" s="1398" t="n">
        <v>37.111761</v>
      </c>
      <c r="I47" s="1398" t="n">
        <v>31.618519</v>
      </c>
      <c r="J47" s="1398" t="n">
        <v>17.328253</v>
      </c>
      <c r="K47" s="1398" t="n">
        <v>29.176663</v>
      </c>
      <c r="L47" s="1398" t="n">
        <v>37.173353</v>
      </c>
      <c r="M47" s="1398" t="n">
        <v>35.296292</v>
      </c>
      <c r="N47" s="1398" t="n">
        <v>34.5171</v>
      </c>
      <c r="O47" s="1398" t="n">
        <v>25.333354</v>
      </c>
      <c r="P47" s="1362">
        <f>SUM(D47:O47)</f>
        <v/>
      </c>
      <c r="Q47" s="1397" t="n">
        <v>37.111761</v>
      </c>
      <c r="R47" s="1398" t="n">
        <v>37.194064</v>
      </c>
      <c r="S47" s="1398" t="n">
        <v>42.703856</v>
      </c>
      <c r="T47" s="1398" t="n">
        <v>29.236404</v>
      </c>
      <c r="U47" s="1398" t="n">
        <v>16.215853</v>
      </c>
      <c r="V47" s="1398" t="n">
        <v>29.236404</v>
      </c>
      <c r="W47" s="1398" t="n">
        <v>22.257288</v>
      </c>
      <c r="X47" s="1398" t="n">
        <v>19.393389</v>
      </c>
      <c r="Y47" s="1398" t="n">
        <v>34.812547</v>
      </c>
      <c r="Z47" s="1398" t="n">
        <v>29.176663</v>
      </c>
      <c r="AA47" s="1398" t="n">
        <v>17.328253</v>
      </c>
      <c r="AB47" s="1398" t="n">
        <v>15.438232</v>
      </c>
      <c r="AC47" s="1362">
        <f>SUM(Q47:AB47)</f>
        <v/>
      </c>
      <c r="AD47" s="1399" t="n">
        <v>8.319483999999999</v>
      </c>
      <c r="AE47" s="1263" t="n">
        <v>3.527648</v>
      </c>
      <c r="AF47" s="1263" t="n">
        <v>3.527648</v>
      </c>
      <c r="AG47" s="1263" t="n">
        <v>3.527648</v>
      </c>
      <c r="AH47" s="1263" t="n">
        <v>3.527648</v>
      </c>
      <c r="AI47" s="1265" t="n">
        <v>3.527648</v>
      </c>
      <c r="AJ47" s="1264" t="n">
        <v>12.965185</v>
      </c>
      <c r="AK47" s="1263" t="n">
        <v>7.440787</v>
      </c>
      <c r="AL47" s="1263" t="n">
        <v>7.440787</v>
      </c>
      <c r="AM47" s="1263" t="n">
        <v>7.440787</v>
      </c>
      <c r="AN47" s="1265" t="n">
        <v>7.440787</v>
      </c>
      <c r="AO47" s="1264" t="n">
        <v>8.199201</v>
      </c>
      <c r="AP47" s="1265" t="n">
        <v>5.52078</v>
      </c>
      <c r="AQ47" s="1306" t="n">
        <v>5.52078</v>
      </c>
      <c r="AR47" s="1306" t="n">
        <v>5.52078</v>
      </c>
      <c r="AS47" s="1306" t="n">
        <v>5.52078</v>
      </c>
      <c r="AT47" s="1306" t="n">
        <v>5.52078</v>
      </c>
      <c r="AU47" s="1391" t="n">
        <v>11.864125</v>
      </c>
      <c r="AV47" s="1263" t="n">
        <v>16.383437</v>
      </c>
      <c r="AW47" s="1263" t="n">
        <v>16.383437</v>
      </c>
      <c r="AX47" s="1263" t="n">
        <v>16.383437</v>
      </c>
      <c r="AY47" s="1263" t="n">
        <v>16.383437</v>
      </c>
      <c r="AZ47" s="1265" t="n">
        <v>16.383437</v>
      </c>
      <c r="BA47" s="1400" t="n"/>
      <c r="BB47" s="1401" t="n"/>
      <c r="BC47" s="1401" t="n"/>
      <c r="BD47" s="1401" t="n"/>
      <c r="BE47" s="1401" t="n"/>
      <c r="BF47" s="1401" t="n"/>
      <c r="BG47" s="1402" t="n"/>
      <c r="BH47" s="1400" t="n"/>
      <c r="BI47" s="1401" t="n"/>
      <c r="BJ47" s="1401" t="n"/>
      <c r="BK47" s="1401" t="n"/>
      <c r="BL47" s="1401" t="n"/>
      <c r="BM47" s="1402" t="n"/>
      <c r="BN47" s="1400" t="n"/>
      <c r="BO47" s="1401" t="n"/>
      <c r="BP47" s="1401" t="n"/>
      <c r="BQ47" s="1401" t="n"/>
      <c r="BR47" s="1401" t="n"/>
      <c r="BS47" s="1402" t="n"/>
      <c r="BT47" s="1400" t="n"/>
      <c r="BU47" s="1401" t="n"/>
      <c r="BV47" s="1401" t="n"/>
      <c r="BW47" s="1401" t="n"/>
      <c r="BX47" s="1401" t="n"/>
      <c r="BY47" s="1401" t="n"/>
      <c r="BZ47" s="1402" t="n"/>
      <c r="CA47" s="1400" t="n"/>
      <c r="CB47" s="1401" t="n"/>
      <c r="CC47" s="1401" t="n"/>
      <c r="CD47" s="1401" t="n"/>
      <c r="CE47" s="1401" t="n"/>
      <c r="CF47" s="1402" t="n"/>
      <c r="CG47" s="1400" t="n"/>
      <c r="CH47" s="1401" t="n"/>
      <c r="CI47" s="1401" t="n"/>
      <c r="CJ47" s="1401" t="n"/>
      <c r="CK47" s="1401" t="n"/>
      <c r="CL47" s="1402" t="n"/>
      <c r="CM47" s="1400" t="n"/>
      <c r="CN47" s="1401" t="n"/>
      <c r="CO47" s="1401" t="n"/>
      <c r="CP47" s="1401" t="n"/>
      <c r="CQ47" s="1401" t="n"/>
      <c r="CR47" s="1402" t="n"/>
      <c r="CS47" s="1400" t="n"/>
      <c r="CT47" s="1401" t="n"/>
      <c r="CU47" s="1401" t="n"/>
      <c r="CV47" s="1401" t="n"/>
      <c r="CW47" s="1401" t="n"/>
      <c r="CX47" s="1403" t="n"/>
    </row>
    <row r="48" ht="16.5" customHeight="1" s="838">
      <c r="B48" s="756" t="n"/>
      <c r="C48" s="706" t="inlineStr">
        <is>
          <t>샘플비</t>
        </is>
      </c>
      <c r="D48" s="1397" t="n">
        <v>34.693815</v>
      </c>
      <c r="E48" s="1398" t="n">
        <v>10.573024</v>
      </c>
      <c r="F48" s="1398" t="n">
        <v>17.328253</v>
      </c>
      <c r="G48" s="1398" t="n">
        <v>16.215853</v>
      </c>
      <c r="H48" s="1398" t="n">
        <v>10.573024</v>
      </c>
      <c r="I48" s="1398" t="n">
        <v>20.103841</v>
      </c>
      <c r="J48" s="1398" t="n">
        <v>16.215853</v>
      </c>
      <c r="K48" s="1398" t="n">
        <v>4.420408</v>
      </c>
      <c r="L48" s="1398" t="n">
        <v>34.5171</v>
      </c>
      <c r="M48" s="1398" t="n">
        <v>37.737699</v>
      </c>
      <c r="N48" s="1398" t="n">
        <v>34.693815</v>
      </c>
      <c r="O48" s="1398" t="n">
        <v>33.084154</v>
      </c>
      <c r="P48" s="1362">
        <f>SUM(D48:O48)</f>
        <v/>
      </c>
      <c r="Q48" s="1397" t="n">
        <v>18.643462</v>
      </c>
      <c r="R48" s="1398" t="n">
        <v>29.176663</v>
      </c>
      <c r="S48" s="1398" t="n">
        <v>19.366313</v>
      </c>
      <c r="T48" s="1398" t="n">
        <v>11.908059</v>
      </c>
      <c r="U48" s="1398" t="n">
        <v>21.007382</v>
      </c>
      <c r="V48" s="1398" t="n">
        <v>27.693252</v>
      </c>
      <c r="W48" s="1398" t="n">
        <v>73.146286</v>
      </c>
      <c r="X48" s="1398" t="n">
        <v>34.693815</v>
      </c>
      <c r="Y48" s="1398" t="n">
        <v>59.73971</v>
      </c>
      <c r="Z48" s="1398" t="n">
        <v>24.296677</v>
      </c>
      <c r="AA48" s="1398" t="n">
        <v>35.296292</v>
      </c>
      <c r="AB48" s="1398" t="n">
        <v>34.833263</v>
      </c>
      <c r="AC48" s="1362">
        <f>SUM(Q48:AB48)</f>
        <v/>
      </c>
      <c r="AD48" s="1399" t="n">
        <v>7.250877</v>
      </c>
      <c r="AE48" s="1263" t="n">
        <v>3.458559</v>
      </c>
      <c r="AF48" s="1263" t="n">
        <v>3.458559</v>
      </c>
      <c r="AG48" s="1263" t="n">
        <v>3.458559</v>
      </c>
      <c r="AH48" s="1263" t="n">
        <v>3.458559</v>
      </c>
      <c r="AI48" s="1265" t="n">
        <v>3.458559</v>
      </c>
      <c r="AJ48" s="1264" t="n">
        <v>4.260596</v>
      </c>
      <c r="AK48" s="1263" t="n">
        <v>3.009502</v>
      </c>
      <c r="AL48" s="1263" t="n">
        <v>3.009502</v>
      </c>
      <c r="AM48" s="1263" t="n">
        <v>3.009502</v>
      </c>
      <c r="AN48" s="1265" t="n">
        <v>3.009502</v>
      </c>
      <c r="AO48" s="1264" t="n">
        <v>6.674418</v>
      </c>
      <c r="AP48" s="1265" t="n">
        <v>6.757948</v>
      </c>
      <c r="AQ48" s="1306" t="n">
        <v>6.757948</v>
      </c>
      <c r="AR48" s="1306" t="n">
        <v>6.757948</v>
      </c>
      <c r="AS48" s="1306" t="n">
        <v>6.757948</v>
      </c>
      <c r="AT48" s="1306" t="n">
        <v>6.757948</v>
      </c>
      <c r="AU48" s="1391" t="n">
        <v>7.168591</v>
      </c>
      <c r="AV48" s="1263" t="n">
        <v>4.929226</v>
      </c>
      <c r="AW48" s="1263" t="n">
        <v>4.929226</v>
      </c>
      <c r="AX48" s="1263" t="n">
        <v>4.929226</v>
      </c>
      <c r="AY48" s="1263" t="n">
        <v>4.929226</v>
      </c>
      <c r="AZ48" s="1265" t="n">
        <v>4.929226</v>
      </c>
      <c r="BA48" s="1400" t="n"/>
      <c r="BB48" s="1401" t="n"/>
      <c r="BC48" s="1401" t="n"/>
      <c r="BD48" s="1401" t="n"/>
      <c r="BE48" s="1401" t="n"/>
      <c r="BF48" s="1401" t="n"/>
      <c r="BG48" s="1402" t="n"/>
      <c r="BH48" s="1400" t="n"/>
      <c r="BI48" s="1401" t="n"/>
      <c r="BJ48" s="1401" t="n"/>
      <c r="BK48" s="1401" t="n"/>
      <c r="BL48" s="1401" t="n"/>
      <c r="BM48" s="1402" t="n"/>
      <c r="BN48" s="1400" t="n"/>
      <c r="BO48" s="1401" t="n"/>
      <c r="BP48" s="1401" t="n"/>
      <c r="BQ48" s="1401" t="n"/>
      <c r="BR48" s="1401" t="n"/>
      <c r="BS48" s="1402" t="n"/>
      <c r="BT48" s="1400" t="n"/>
      <c r="BU48" s="1401" t="n"/>
      <c r="BV48" s="1401" t="n"/>
      <c r="BW48" s="1401" t="n"/>
      <c r="BX48" s="1401" t="n"/>
      <c r="BY48" s="1401" t="n"/>
      <c r="BZ48" s="1402" t="n"/>
      <c r="CA48" s="1400" t="n"/>
      <c r="CB48" s="1401" t="n"/>
      <c r="CC48" s="1401" t="n"/>
      <c r="CD48" s="1401" t="n"/>
      <c r="CE48" s="1401" t="n"/>
      <c r="CF48" s="1402" t="n"/>
      <c r="CG48" s="1400" t="n"/>
      <c r="CH48" s="1401" t="n"/>
      <c r="CI48" s="1401" t="n"/>
      <c r="CJ48" s="1401" t="n"/>
      <c r="CK48" s="1401" t="n"/>
      <c r="CL48" s="1402" t="n"/>
      <c r="CM48" s="1400" t="n"/>
      <c r="CN48" s="1401" t="n"/>
      <c r="CO48" s="1401" t="n"/>
      <c r="CP48" s="1401" t="n"/>
      <c r="CQ48" s="1401" t="n"/>
      <c r="CR48" s="1402" t="n"/>
      <c r="CS48" s="1400" t="n"/>
      <c r="CT48" s="1401" t="n"/>
      <c r="CU48" s="1401" t="n"/>
      <c r="CV48" s="1401" t="n"/>
      <c r="CW48" s="1401" t="n"/>
      <c r="CX48" s="1403" t="n"/>
    </row>
    <row r="49" ht="16.5" customHeight="1" s="838">
      <c r="B49" s="756" t="n"/>
      <c r="C49" s="706" t="inlineStr">
        <is>
          <t>교육비</t>
        </is>
      </c>
      <c r="D49" s="1397" t="n">
        <v>35.296292</v>
      </c>
      <c r="E49" s="1398" t="n">
        <v>34.693815</v>
      </c>
      <c r="F49" s="1398" t="n">
        <v>7.709729</v>
      </c>
      <c r="G49" s="1398" t="n">
        <v>35.296292</v>
      </c>
      <c r="H49" s="1398" t="n">
        <v>34.812547</v>
      </c>
      <c r="I49" s="1398" t="n">
        <v>37.173353</v>
      </c>
      <c r="J49" s="1398" t="n">
        <v>20.103841</v>
      </c>
      <c r="K49" s="1398" t="n">
        <v>31.373747</v>
      </c>
      <c r="L49" s="1398" t="n">
        <v>42.703856</v>
      </c>
      <c r="M49" s="1398" t="n">
        <v>37.737699</v>
      </c>
      <c r="N49" s="1398" t="n">
        <v>29.236404</v>
      </c>
      <c r="O49" s="1398" t="n">
        <v>31.618519</v>
      </c>
      <c r="P49" s="1362">
        <f>SUM(D49:O49)</f>
        <v/>
      </c>
      <c r="Q49" s="1397" t="n">
        <v>37.194064</v>
      </c>
      <c r="R49" s="1398" t="n">
        <v>17.242908</v>
      </c>
      <c r="S49" s="1398" t="n">
        <v>29.176663</v>
      </c>
      <c r="T49" s="1398" t="n">
        <v>20.103841</v>
      </c>
      <c r="U49" s="1398" t="n">
        <v>27.693252</v>
      </c>
      <c r="V49" s="1398" t="n">
        <v>33.167683</v>
      </c>
      <c r="W49" s="1398" t="n">
        <v>24.126692</v>
      </c>
      <c r="X49" s="1398" t="n">
        <v>10.573024</v>
      </c>
      <c r="Y49" s="1398" t="n">
        <v>36.206176</v>
      </c>
      <c r="Z49" s="1398" t="n">
        <v>34.812547</v>
      </c>
      <c r="AA49" s="1398" t="n">
        <v>33.084154</v>
      </c>
      <c r="AB49" s="1398" t="n">
        <v>25.333354</v>
      </c>
      <c r="AC49" s="1362">
        <f>SUM(Q49:AB49)</f>
        <v/>
      </c>
      <c r="AD49" s="1399" t="n">
        <v>8.459002999999999</v>
      </c>
      <c r="AE49" s="1263" t="n">
        <v>13.682343</v>
      </c>
      <c r="AF49" s="1263" t="n">
        <v>13.682343</v>
      </c>
      <c r="AG49" s="1263" t="n">
        <v>13.682343</v>
      </c>
      <c r="AH49" s="1263" t="n">
        <v>13.682343</v>
      </c>
      <c r="AI49" s="1265" t="n">
        <v>13.682343</v>
      </c>
      <c r="AJ49" s="1264" t="n">
        <v>10.087155</v>
      </c>
      <c r="AK49" s="1263" t="n">
        <v>7.938531</v>
      </c>
      <c r="AL49" s="1263" t="n">
        <v>7.938531</v>
      </c>
      <c r="AM49" s="1263" t="n">
        <v>7.938531</v>
      </c>
      <c r="AN49" s="1265" t="n">
        <v>7.938531</v>
      </c>
      <c r="AO49" s="1264" t="n">
        <v>14.953967</v>
      </c>
      <c r="AP49" s="1265" t="n">
        <v>25.718858</v>
      </c>
      <c r="AQ49" s="1306" t="n">
        <v>25.718858</v>
      </c>
      <c r="AR49" s="1306" t="n">
        <v>25.718858</v>
      </c>
      <c r="AS49" s="1306" t="n">
        <v>25.718858</v>
      </c>
      <c r="AT49" s="1306" t="n">
        <v>25.718858</v>
      </c>
      <c r="AU49" s="1391" t="n">
        <v>12.233704</v>
      </c>
      <c r="AV49" s="1263" t="n">
        <v>26.857728</v>
      </c>
      <c r="AW49" s="1263" t="n">
        <v>26.857728</v>
      </c>
      <c r="AX49" s="1263" t="n">
        <v>26.857728</v>
      </c>
      <c r="AY49" s="1263" t="n">
        <v>26.857728</v>
      </c>
      <c r="AZ49" s="1265" t="n">
        <v>26.857728</v>
      </c>
      <c r="BA49" s="1400" t="n"/>
      <c r="BB49" s="1401" t="n"/>
      <c r="BC49" s="1401" t="n"/>
      <c r="BD49" s="1401" t="n"/>
      <c r="BE49" s="1401" t="n"/>
      <c r="BF49" s="1401" t="n"/>
      <c r="BG49" s="1402" t="n"/>
      <c r="BH49" s="1400" t="n"/>
      <c r="BI49" s="1401" t="n"/>
      <c r="BJ49" s="1401" t="n"/>
      <c r="BK49" s="1401" t="n"/>
      <c r="BL49" s="1401" t="n"/>
      <c r="BM49" s="1402" t="n"/>
      <c r="BN49" s="1400" t="n"/>
      <c r="BO49" s="1401" t="n"/>
      <c r="BP49" s="1401" t="n"/>
      <c r="BQ49" s="1401" t="n"/>
      <c r="BR49" s="1401" t="n"/>
      <c r="BS49" s="1402" t="n"/>
      <c r="BT49" s="1400" t="n"/>
      <c r="BU49" s="1401" t="n"/>
      <c r="BV49" s="1401" t="n"/>
      <c r="BW49" s="1401" t="n"/>
      <c r="BX49" s="1401" t="n"/>
      <c r="BY49" s="1401" t="n"/>
      <c r="BZ49" s="1402" t="n"/>
      <c r="CA49" s="1400" t="n"/>
      <c r="CB49" s="1401" t="n"/>
      <c r="CC49" s="1401" t="n"/>
      <c r="CD49" s="1401" t="n"/>
      <c r="CE49" s="1401" t="n"/>
      <c r="CF49" s="1402" t="n"/>
      <c r="CG49" s="1400" t="n"/>
      <c r="CH49" s="1401" t="n"/>
      <c r="CI49" s="1401" t="n"/>
      <c r="CJ49" s="1401" t="n"/>
      <c r="CK49" s="1401" t="n"/>
      <c r="CL49" s="1402" t="n"/>
      <c r="CM49" s="1400" t="n"/>
      <c r="CN49" s="1401" t="n"/>
      <c r="CO49" s="1401" t="n"/>
      <c r="CP49" s="1401" t="n"/>
      <c r="CQ49" s="1401" t="n"/>
      <c r="CR49" s="1402" t="n"/>
      <c r="CS49" s="1400" t="n"/>
      <c r="CT49" s="1401" t="n"/>
      <c r="CU49" s="1401" t="n"/>
      <c r="CV49" s="1401" t="n"/>
      <c r="CW49" s="1401" t="n"/>
      <c r="CX49" s="1403" t="n"/>
    </row>
    <row r="50" ht="17.25" customHeight="1" s="838">
      <c r="B50" s="770" t="n"/>
      <c r="C50" s="683" t="inlineStr">
        <is>
          <t>기타</t>
        </is>
      </c>
      <c r="D50" s="1375" t="n">
        <v>-3.427021</v>
      </c>
      <c r="E50" s="1376" t="n">
        <v>-7.119582</v>
      </c>
      <c r="F50" s="1376" t="n">
        <v>-16.966691</v>
      </c>
      <c r="G50" s="1376" t="n">
        <v>-15.204066</v>
      </c>
      <c r="H50" s="1376" t="n">
        <v>-7.119582</v>
      </c>
      <c r="I50" s="1376" t="n">
        <v>-7.119582</v>
      </c>
      <c r="J50" s="1376" t="n">
        <v>-17.488066</v>
      </c>
      <c r="K50" s="1376" t="n">
        <v>-6.804284</v>
      </c>
      <c r="L50" s="1376" t="n">
        <v>-17.488066</v>
      </c>
      <c r="M50" s="1376" t="n">
        <v>-15.204066</v>
      </c>
      <c r="N50" s="1376" t="n">
        <v>-8.091125</v>
      </c>
      <c r="O50" s="1376" t="n">
        <v>-15.204066</v>
      </c>
      <c r="P50" s="1377">
        <f>SUM(D50:O50)</f>
        <v/>
      </c>
      <c r="Q50" s="1375" t="n">
        <v>-3.427021</v>
      </c>
      <c r="R50" s="1376" t="n">
        <v>-16.966691</v>
      </c>
      <c r="S50" s="1376" t="n">
        <v>-15.204066</v>
      </c>
      <c r="T50" s="1376" t="n">
        <v>-8.091125</v>
      </c>
      <c r="U50" s="1376" t="n">
        <v>-3.427021</v>
      </c>
      <c r="V50" s="1376" t="n">
        <v>-7.119582</v>
      </c>
      <c r="W50" s="1376" t="n">
        <v>-6.804284</v>
      </c>
      <c r="X50" s="1376" t="n">
        <v>-15.204066</v>
      </c>
      <c r="Y50" s="1376" t="n">
        <v>-17.735068</v>
      </c>
      <c r="Z50" s="1376" t="n">
        <v>-6.732074</v>
      </c>
      <c r="AA50" s="1376" t="n">
        <v>-16.966691</v>
      </c>
      <c r="AB50" s="1376" t="n">
        <v>-7.119582</v>
      </c>
      <c r="AC50" s="1377">
        <f>SUM(Q50:AB50)</f>
        <v/>
      </c>
      <c r="AD50" s="1399" t="n">
        <v>-22.916873</v>
      </c>
      <c r="AE50" s="1263" t="n">
        <v>-44.521948</v>
      </c>
      <c r="AF50" s="1263" t="n">
        <v>-21.058774</v>
      </c>
      <c r="AG50" s="1263" t="n">
        <v>-44.521948</v>
      </c>
      <c r="AH50" s="1263" t="n">
        <v>-21.058774</v>
      </c>
      <c r="AI50" s="1265" t="n">
        <v>-44.521948</v>
      </c>
      <c r="AJ50" s="1264" t="n">
        <v>-49.797101</v>
      </c>
      <c r="AK50" s="1263" t="n">
        <v>-26.314601</v>
      </c>
      <c r="AL50" s="1263" t="n">
        <v>-26.314601</v>
      </c>
      <c r="AM50" s="1263" t="n">
        <v>-26.314601</v>
      </c>
      <c r="AN50" s="1265" t="n">
        <v>-26.314601</v>
      </c>
      <c r="AO50" s="1264" t="n">
        <v>-56.370179</v>
      </c>
      <c r="AP50" s="1265" t="n">
        <v>-40.500968</v>
      </c>
      <c r="AQ50" s="1306" t="n">
        <v>-40.500968</v>
      </c>
      <c r="AR50" s="1306" t="n">
        <v>-31.520182</v>
      </c>
      <c r="AS50" s="1306" t="n">
        <v>-31.520182</v>
      </c>
      <c r="AT50" s="1306" t="n">
        <v>-31.520182</v>
      </c>
      <c r="AU50" s="1391" t="n">
        <v>-24.199815</v>
      </c>
      <c r="AV50" s="1263" t="n">
        <v>-34.126181</v>
      </c>
      <c r="AW50" s="1263" t="n">
        <v>-34.126181</v>
      </c>
      <c r="AX50" s="1263" t="n">
        <v>-35.257745</v>
      </c>
      <c r="AY50" s="1263" t="n">
        <v>-34.126181</v>
      </c>
      <c r="AZ50" s="1265" t="n">
        <v>-35.257745</v>
      </c>
      <c r="BA50" s="1404" t="n"/>
      <c r="BB50" s="1405" t="n"/>
      <c r="BC50" s="1405" t="n"/>
      <c r="BD50" s="1405" t="n"/>
      <c r="BE50" s="1405" t="n"/>
      <c r="BF50" s="1405" t="n"/>
      <c r="BG50" s="1406" t="n"/>
      <c r="BH50" s="1404" t="n"/>
      <c r="BI50" s="1405" t="n"/>
      <c r="BJ50" s="1405" t="n"/>
      <c r="BK50" s="1405" t="n"/>
      <c r="BL50" s="1405" t="n"/>
      <c r="BM50" s="1406" t="n"/>
      <c r="BN50" s="1404" t="n"/>
      <c r="BO50" s="1405" t="n"/>
      <c r="BP50" s="1405" t="n"/>
      <c r="BQ50" s="1405" t="n"/>
      <c r="BR50" s="1405" t="n"/>
      <c r="BS50" s="1406" t="n"/>
      <c r="BT50" s="1404" t="n"/>
      <c r="BU50" s="1405" t="n"/>
      <c r="BV50" s="1405" t="n"/>
      <c r="BW50" s="1405" t="n"/>
      <c r="BX50" s="1405" t="n"/>
      <c r="BY50" s="1405" t="n"/>
      <c r="BZ50" s="1406" t="n"/>
      <c r="CA50" s="1404" t="n"/>
      <c r="CB50" s="1405" t="n"/>
      <c r="CC50" s="1405" t="n"/>
      <c r="CD50" s="1405" t="n"/>
      <c r="CE50" s="1405" t="n"/>
      <c r="CF50" s="1406" t="n"/>
      <c r="CG50" s="1404" t="n"/>
      <c r="CH50" s="1405" t="n"/>
      <c r="CI50" s="1405" t="n"/>
      <c r="CJ50" s="1405" t="n"/>
      <c r="CK50" s="1405" t="n"/>
      <c r="CL50" s="1406" t="n"/>
      <c r="CM50" s="1404" t="n"/>
      <c r="CN50" s="1405" t="n"/>
      <c r="CO50" s="1405" t="n"/>
      <c r="CP50" s="1405" t="n"/>
      <c r="CQ50" s="1405" t="n"/>
      <c r="CR50" s="1406" t="n"/>
      <c r="CS50" s="1404" t="n"/>
      <c r="CT50" s="1405" t="n"/>
      <c r="CU50" s="1405" t="n"/>
      <c r="CV50" s="1405" t="n"/>
      <c r="CW50" s="1405" t="n"/>
      <c r="CX50" s="1407" t="n"/>
    </row>
    <row r="51" ht="16.5" customHeight="1" s="838">
      <c r="B51" s="820" t="inlineStr">
        <is>
          <t>제품2</t>
        </is>
      </c>
      <c r="C51" s="718" t="inlineStr">
        <is>
          <t>고정비</t>
        </is>
      </c>
      <c r="D51" s="1347">
        <f>SUM(D52:D73)</f>
        <v/>
      </c>
      <c r="E51" s="1348">
        <f>SUM(E52:E73)</f>
        <v/>
      </c>
      <c r="F51" s="1348">
        <f>SUM(F52:F73)</f>
        <v/>
      </c>
      <c r="G51" s="1348">
        <f>SUM(G52:G73)</f>
        <v/>
      </c>
      <c r="H51" s="1348">
        <f>SUM(H52:H73)</f>
        <v/>
      </c>
      <c r="I51" s="1348">
        <f>SUM(I52:I73)</f>
        <v/>
      </c>
      <c r="J51" s="1348">
        <f>SUM(J52:J73)</f>
        <v/>
      </c>
      <c r="K51" s="1348">
        <f>SUM(K52:K73)</f>
        <v/>
      </c>
      <c r="L51" s="1348">
        <f>SUM(L52:L73)</f>
        <v/>
      </c>
      <c r="M51" s="1348">
        <f>SUM(M52:M73)</f>
        <v/>
      </c>
      <c r="N51" s="1348">
        <f>SUM(N52:N73)</f>
        <v/>
      </c>
      <c r="O51" s="1348">
        <f>SUM(O52:O73)</f>
        <v/>
      </c>
      <c r="P51" s="1349">
        <f>SUM(D51:O51)</f>
        <v/>
      </c>
      <c r="Q51" s="1347">
        <f>SUM(Q52:Q73)</f>
        <v/>
      </c>
      <c r="R51" s="1348">
        <f>SUM(R52:R73)</f>
        <v/>
      </c>
      <c r="S51" s="1348">
        <f>SUM(S52:S73)</f>
        <v/>
      </c>
      <c r="T51" s="1348">
        <f>SUM(T52:T73)</f>
        <v/>
      </c>
      <c r="U51" s="1348">
        <f>SUM(U52:U73)</f>
        <v/>
      </c>
      <c r="V51" s="1348">
        <f>SUM(V52:V73)</f>
        <v/>
      </c>
      <c r="W51" s="1348">
        <f>SUM(W52:W73)</f>
        <v/>
      </c>
      <c r="X51" s="1348">
        <f>SUM(X52:X73)</f>
        <v/>
      </c>
      <c r="Y51" s="1348">
        <f>SUM(Y52:Y73)</f>
        <v/>
      </c>
      <c r="Z51" s="1348">
        <f>SUM(Z52:Z73)</f>
        <v/>
      </c>
      <c r="AA51" s="1348">
        <f>SUM(AA52:AA73)</f>
        <v/>
      </c>
      <c r="AB51" s="1348">
        <f>SUM(AB52:AB73)</f>
        <v/>
      </c>
      <c r="AC51" s="1349">
        <f>SUM(Q51:AB51)</f>
        <v/>
      </c>
      <c r="AD51" s="1350">
        <f>SUM(AD52:AD73)</f>
        <v/>
      </c>
      <c r="AE51" s="1351">
        <f>SUM(AE52:AE73)</f>
        <v/>
      </c>
      <c r="AF51" s="1351">
        <f>SUM(AF52:AF73)</f>
        <v/>
      </c>
      <c r="AG51" s="1351">
        <f>SUM(AG52:AG73)</f>
        <v/>
      </c>
      <c r="AH51" s="1351">
        <f>SUM(AH52:AH73)</f>
        <v/>
      </c>
      <c r="AI51" s="1352">
        <f>SUM(AI52:AI73)</f>
        <v/>
      </c>
      <c r="AJ51" s="1353">
        <f>SUM(AJ52:AJ73)</f>
        <v/>
      </c>
      <c r="AK51" s="1351">
        <f>SUM(AK52:AK73)</f>
        <v/>
      </c>
      <c r="AL51" s="1351">
        <f>SUM(AL52:AL73)</f>
        <v/>
      </c>
      <c r="AM51" s="1351">
        <f>SUM(AM52:AM73)</f>
        <v/>
      </c>
      <c r="AN51" s="1352">
        <f>SUM(AN52:AN73)</f>
        <v/>
      </c>
      <c r="AO51" s="1353">
        <f>SUM(AO52:AO73)</f>
        <v/>
      </c>
      <c r="AP51" s="1352">
        <f>SUM(AP52:AP73)</f>
        <v/>
      </c>
      <c r="AQ51" s="1354">
        <f>SUM(AQ52:AQ73)</f>
        <v/>
      </c>
      <c r="AR51" s="1354">
        <f>SUM(AR52:AR73)</f>
        <v/>
      </c>
      <c r="AS51" s="1354">
        <f>SUM(AS52:AS73)</f>
        <v/>
      </c>
      <c r="AT51" s="1354">
        <f>SUM(AT52:AT73)</f>
        <v/>
      </c>
      <c r="AU51" s="1353">
        <f>SUM(AU52:AU73)</f>
        <v/>
      </c>
      <c r="AV51" s="1351">
        <f>SUM(AV52:AV73)</f>
        <v/>
      </c>
      <c r="AW51" s="1351">
        <f>SUM(AW52:AW73)</f>
        <v/>
      </c>
      <c r="AX51" s="1351">
        <f>SUM(AX52:AX73)</f>
        <v/>
      </c>
      <c r="AY51" s="1351">
        <f>SUM(AY52:AY73)</f>
        <v/>
      </c>
      <c r="AZ51" s="1352">
        <f>SUM(AZ52:AZ73)</f>
        <v/>
      </c>
      <c r="BA51" s="1355" t="n"/>
      <c r="BB51" s="1356" t="n"/>
      <c r="BC51" s="1356" t="n"/>
      <c r="BD51" s="1356" t="n"/>
      <c r="BE51" s="1356" t="n"/>
      <c r="BF51" s="1356" t="n"/>
      <c r="BG51" s="1357" t="n"/>
      <c r="BH51" s="1355" t="n"/>
      <c r="BI51" s="1356" t="n"/>
      <c r="BJ51" s="1356" t="n"/>
      <c r="BK51" s="1356" t="n"/>
      <c r="BL51" s="1356" t="n"/>
      <c r="BM51" s="1357" t="n"/>
      <c r="BN51" s="1355" t="n"/>
      <c r="BO51" s="1356" t="n"/>
      <c r="BP51" s="1356" t="n"/>
      <c r="BQ51" s="1356" t="n"/>
      <c r="BR51" s="1356" t="n"/>
      <c r="BS51" s="1357" t="n"/>
      <c r="BT51" s="1355" t="n"/>
      <c r="BU51" s="1356" t="n"/>
      <c r="BV51" s="1356" t="n"/>
      <c r="BW51" s="1356" t="n"/>
      <c r="BX51" s="1356" t="n"/>
      <c r="BY51" s="1356" t="n"/>
      <c r="BZ51" s="1357" t="n"/>
      <c r="CA51" s="1355" t="n"/>
      <c r="CB51" s="1356" t="n"/>
      <c r="CC51" s="1356" t="n"/>
      <c r="CD51" s="1356" t="n"/>
      <c r="CE51" s="1356" t="n"/>
      <c r="CF51" s="1357" t="n"/>
      <c r="CG51" s="1355" t="n"/>
      <c r="CH51" s="1356" t="n"/>
      <c r="CI51" s="1356" t="n"/>
      <c r="CJ51" s="1356" t="n"/>
      <c r="CK51" s="1356" t="n"/>
      <c r="CL51" s="1357" t="n"/>
      <c r="CM51" s="1355" t="n"/>
      <c r="CN51" s="1356" t="n"/>
      <c r="CO51" s="1356" t="n"/>
      <c r="CP51" s="1356" t="n"/>
      <c r="CQ51" s="1356" t="n"/>
      <c r="CR51" s="1357" t="n"/>
      <c r="CS51" s="1355" t="n"/>
      <c r="CT51" s="1408" t="n"/>
      <c r="CU51" s="1356" t="n"/>
      <c r="CV51" s="1356" t="n"/>
      <c r="CW51" s="1356" t="n"/>
      <c r="CX51" s="1390" t="n"/>
    </row>
    <row r="52" ht="16.5" customHeight="1" s="838">
      <c r="B52" s="765" t="n"/>
      <c r="C52" s="720" t="inlineStr">
        <is>
          <t>광고비</t>
        </is>
      </c>
      <c r="D52" s="1360" t="n">
        <v>24.126692</v>
      </c>
      <c r="E52" s="1361" t="n">
        <v>37.194064</v>
      </c>
      <c r="F52" s="1361" t="n">
        <v>35.296292</v>
      </c>
      <c r="G52" s="1361" t="n">
        <v>37.173353</v>
      </c>
      <c r="H52" s="1361" t="n">
        <v>11.908059</v>
      </c>
      <c r="I52" s="1361" t="n">
        <v>32.499095</v>
      </c>
      <c r="J52" s="1361" t="n">
        <v>37.173353</v>
      </c>
      <c r="K52" s="1361" t="n">
        <v>22.257288</v>
      </c>
      <c r="L52" s="1361" t="n">
        <v>37.737699</v>
      </c>
      <c r="M52" s="1361" t="n">
        <v>24.320362</v>
      </c>
      <c r="N52" s="1361" t="n">
        <v>31.618519</v>
      </c>
      <c r="O52" s="1361" t="n">
        <v>22.257288</v>
      </c>
      <c r="P52" s="1362">
        <f>SUM(D52:O52)</f>
        <v/>
      </c>
      <c r="Q52" s="1360" t="n">
        <v>21.007382</v>
      </c>
      <c r="R52" s="1361" t="n">
        <v>16.215853</v>
      </c>
      <c r="S52" s="1361" t="n">
        <v>14.656931</v>
      </c>
      <c r="T52" s="1361" t="n">
        <v>31.618519</v>
      </c>
      <c r="U52" s="1361" t="n">
        <v>34.812547</v>
      </c>
      <c r="V52" s="1361" t="n">
        <v>35.296292</v>
      </c>
      <c r="W52" s="1361" t="n">
        <v>-17.735068</v>
      </c>
      <c r="X52" s="1361" t="n">
        <v>27.25241</v>
      </c>
      <c r="Y52" s="1361" t="n">
        <v>33.084154</v>
      </c>
      <c r="Z52" s="1361" t="n">
        <v>35.296292</v>
      </c>
      <c r="AA52" s="1361" t="n">
        <v>29.236404</v>
      </c>
      <c r="AB52" s="1361" t="n">
        <v>18.643462</v>
      </c>
      <c r="AC52" s="1362">
        <f>SUM(Q52:AB52)</f>
        <v/>
      </c>
      <c r="AD52" s="1363" t="n">
        <v>4.070044</v>
      </c>
      <c r="AE52" s="1364" t="n">
        <v>31.738033</v>
      </c>
      <c r="AF52" s="1364" t="n">
        <v>20.410799</v>
      </c>
      <c r="AG52" s="1364" t="n">
        <v>31.738033</v>
      </c>
      <c r="AH52" s="1364" t="n">
        <v>20.410799</v>
      </c>
      <c r="AI52" s="1365" t="n">
        <v>31.738033</v>
      </c>
      <c r="AJ52" s="1391" t="n">
        <v>30.823488</v>
      </c>
      <c r="AK52" s="1364" t="n">
        <v>9.475343000000001</v>
      </c>
      <c r="AL52" s="1364" t="n">
        <v>9.475343000000001</v>
      </c>
      <c r="AM52" s="1364" t="n">
        <v>9.475343000000001</v>
      </c>
      <c r="AN52" s="1365" t="n">
        <v>9.475343000000001</v>
      </c>
      <c r="AO52" s="1391" t="n">
        <v>12.35291</v>
      </c>
      <c r="AP52" s="1365" t="n">
        <v>16.300144</v>
      </c>
      <c r="AQ52" s="1392" t="n">
        <v>16.300144</v>
      </c>
      <c r="AR52" s="1392" t="n">
        <v>21.109941</v>
      </c>
      <c r="AS52" s="1392" t="n">
        <v>21.109941</v>
      </c>
      <c r="AT52" s="1392" t="n">
        <v>16.658011</v>
      </c>
      <c r="AU52" s="1391" t="n">
        <v>16.810966</v>
      </c>
      <c r="AV52" s="1364" t="n">
        <v>18.410608</v>
      </c>
      <c r="AW52" s="1364" t="n">
        <v>18.410608</v>
      </c>
      <c r="AX52" s="1364" t="n">
        <v>50.303312</v>
      </c>
      <c r="AY52" s="1364" t="n">
        <v>18.410608</v>
      </c>
      <c r="AZ52" s="1365" t="n">
        <v>50.303312</v>
      </c>
      <c r="BA52" s="1393" t="n"/>
      <c r="BB52" s="1394" t="n"/>
      <c r="BC52" s="1394" t="n"/>
      <c r="BD52" s="1394" t="n"/>
      <c r="BE52" s="1394" t="n"/>
      <c r="BF52" s="1394" t="n"/>
      <c r="BG52" s="1395" t="n"/>
      <c r="BH52" s="1393" t="n"/>
      <c r="BI52" s="1394" t="n"/>
      <c r="BJ52" s="1394" t="n"/>
      <c r="BK52" s="1394" t="n"/>
      <c r="BL52" s="1394" t="n"/>
      <c r="BM52" s="1395" t="n"/>
      <c r="BN52" s="1393" t="n"/>
      <c r="BO52" s="1394" t="n"/>
      <c r="BP52" s="1394" t="n"/>
      <c r="BQ52" s="1394" t="n"/>
      <c r="BR52" s="1394" t="n"/>
      <c r="BS52" s="1395" t="n"/>
      <c r="BT52" s="1393" t="n"/>
      <c r="BU52" s="1394" t="n"/>
      <c r="BV52" s="1394" t="n"/>
      <c r="BW52" s="1394" t="n"/>
      <c r="BX52" s="1394" t="n"/>
      <c r="BY52" s="1394" t="n"/>
      <c r="BZ52" s="1395" t="n"/>
      <c r="CA52" s="1393" t="n"/>
      <c r="CB52" s="1394" t="n"/>
      <c r="CC52" s="1394" t="n"/>
      <c r="CD52" s="1394" t="n"/>
      <c r="CE52" s="1394" t="n"/>
      <c r="CF52" s="1395" t="n"/>
      <c r="CG52" s="1393" t="n"/>
      <c r="CH52" s="1394" t="n"/>
      <c r="CI52" s="1394" t="n"/>
      <c r="CJ52" s="1394" t="n"/>
      <c r="CK52" s="1394" t="n"/>
      <c r="CL52" s="1395" t="n"/>
      <c r="CM52" s="1393" t="n"/>
      <c r="CN52" s="1394" t="n"/>
      <c r="CO52" s="1394" t="n"/>
      <c r="CP52" s="1394" t="n"/>
      <c r="CQ52" s="1394" t="n"/>
      <c r="CR52" s="1395" t="n"/>
      <c r="CS52" s="1393" t="n"/>
      <c r="CT52" s="1409" t="n"/>
      <c r="CU52" s="1394" t="n"/>
      <c r="CV52" s="1394" t="n"/>
      <c r="CW52" s="1394" t="n"/>
      <c r="CX52" s="1396" t="n"/>
    </row>
    <row r="53" ht="16.5" customHeight="1" s="838">
      <c r="B53" s="765" t="n"/>
      <c r="C53" s="720" t="inlineStr">
        <is>
          <t>경시비</t>
        </is>
      </c>
      <c r="D53" s="1360" t="n">
        <v>21.007382</v>
      </c>
      <c r="E53" s="1361" t="n">
        <v>37.194064</v>
      </c>
      <c r="F53" s="1361" t="n">
        <v>29.176663</v>
      </c>
      <c r="G53" s="1361" t="n">
        <v>37.194064</v>
      </c>
      <c r="H53" s="1361" t="n">
        <v>10.573024</v>
      </c>
      <c r="I53" s="1361" t="n">
        <v>17.242908</v>
      </c>
      <c r="J53" s="1361" t="n">
        <v>33.084154</v>
      </c>
      <c r="K53" s="1361" t="n">
        <v>37.173353</v>
      </c>
      <c r="L53" s="1361" t="n">
        <v>37.194064</v>
      </c>
      <c r="M53" s="1361" t="n">
        <v>39.526994</v>
      </c>
      <c r="N53" s="1361" t="n">
        <v>37.737699</v>
      </c>
      <c r="O53" s="1361" t="n">
        <v>9.255420000000001</v>
      </c>
      <c r="P53" s="1362">
        <f>SUM(D53:O53)</f>
        <v/>
      </c>
      <c r="Q53" s="1360" t="n">
        <v>17.328253</v>
      </c>
      <c r="R53" s="1361" t="n">
        <v>18.643462</v>
      </c>
      <c r="S53" s="1361" t="n">
        <v>28.31935</v>
      </c>
      <c r="T53" s="1361" t="n">
        <v>20.228582</v>
      </c>
      <c r="U53" s="1361" t="n">
        <v>19.393389</v>
      </c>
      <c r="V53" s="1361" t="n">
        <v>37.173353</v>
      </c>
      <c r="W53" s="1361" t="n">
        <v>7.709729</v>
      </c>
      <c r="X53" s="1361" t="n">
        <v>34.812547</v>
      </c>
      <c r="Y53" s="1361" t="n">
        <v>29.236404</v>
      </c>
      <c r="Z53" s="1361" t="n">
        <v>34.693815</v>
      </c>
      <c r="AA53" s="1361" t="n">
        <v>10.573024</v>
      </c>
      <c r="AB53" s="1361" t="n">
        <v>34.693815</v>
      </c>
      <c r="AC53" s="1362">
        <f>SUM(Q53:AB53)</f>
        <v/>
      </c>
      <c r="AD53" s="1363" t="n">
        <v>27.69353</v>
      </c>
      <c r="AE53" s="1364" t="n">
        <v>12.767782</v>
      </c>
      <c r="AF53" s="1364" t="n">
        <v>12.767782</v>
      </c>
      <c r="AG53" s="1364" t="n">
        <v>12.767782</v>
      </c>
      <c r="AH53" s="1364" t="n">
        <v>12.767782</v>
      </c>
      <c r="AI53" s="1365" t="n">
        <v>12.767782</v>
      </c>
      <c r="AJ53" s="1391" t="n">
        <v>13.332548</v>
      </c>
      <c r="AK53" s="1364" t="n">
        <v>18.857883</v>
      </c>
      <c r="AL53" s="1364" t="n">
        <v>18.857883</v>
      </c>
      <c r="AM53" s="1364" t="n">
        <v>18.857883</v>
      </c>
      <c r="AN53" s="1365" t="n">
        <v>18.857883</v>
      </c>
      <c r="AO53" s="1391" t="n">
        <v>13.108594</v>
      </c>
      <c r="AP53" s="1365" t="n">
        <v>14.449746</v>
      </c>
      <c r="AQ53" s="1392" t="n">
        <v>14.449746</v>
      </c>
      <c r="AR53" s="1392" t="n">
        <v>14.449746</v>
      </c>
      <c r="AS53" s="1392" t="n">
        <v>14.449746</v>
      </c>
      <c r="AT53" s="1392" t="n">
        <v>14.449746</v>
      </c>
      <c r="AU53" s="1391" t="n">
        <v>17.56079</v>
      </c>
      <c r="AV53" s="1364" t="n">
        <v>8.094336999999999</v>
      </c>
      <c r="AW53" s="1364" t="n">
        <v>8.094336999999999</v>
      </c>
      <c r="AX53" s="1364" t="n">
        <v>8.094336999999999</v>
      </c>
      <c r="AY53" s="1364" t="n">
        <v>8.094336999999999</v>
      </c>
      <c r="AZ53" s="1365" t="n">
        <v>8.094336999999999</v>
      </c>
      <c r="BA53" s="1393" t="n"/>
      <c r="BB53" s="1394" t="n"/>
      <c r="BC53" s="1394" t="n"/>
      <c r="BD53" s="1394" t="n"/>
      <c r="BE53" s="1394" t="n"/>
      <c r="BF53" s="1394" t="n"/>
      <c r="BG53" s="1395" t="n"/>
      <c r="BH53" s="1393" t="n"/>
      <c r="BI53" s="1394" t="n"/>
      <c r="BJ53" s="1394" t="n"/>
      <c r="BK53" s="1394" t="n"/>
      <c r="BL53" s="1394" t="n"/>
      <c r="BM53" s="1395" t="n"/>
      <c r="BN53" s="1393" t="n"/>
      <c r="BO53" s="1394" t="n"/>
      <c r="BP53" s="1394" t="n"/>
      <c r="BQ53" s="1394" t="n"/>
      <c r="BR53" s="1394" t="n"/>
      <c r="BS53" s="1395" t="n"/>
      <c r="BT53" s="1393" t="n"/>
      <c r="BU53" s="1394" t="n"/>
      <c r="BV53" s="1394" t="n"/>
      <c r="BW53" s="1394" t="n"/>
      <c r="BX53" s="1394" t="n"/>
      <c r="BY53" s="1394" t="n"/>
      <c r="BZ53" s="1395" t="n"/>
      <c r="CA53" s="1393" t="n"/>
      <c r="CB53" s="1394" t="n"/>
      <c r="CC53" s="1394" t="n"/>
      <c r="CD53" s="1394" t="n"/>
      <c r="CE53" s="1394" t="n"/>
      <c r="CF53" s="1395" t="n"/>
      <c r="CG53" s="1393" t="n"/>
      <c r="CH53" s="1394" t="n"/>
      <c r="CI53" s="1394" t="n"/>
      <c r="CJ53" s="1394" t="n"/>
      <c r="CK53" s="1394" t="n"/>
      <c r="CL53" s="1395" t="n"/>
      <c r="CM53" s="1393" t="n"/>
      <c r="CN53" s="1394" t="n"/>
      <c r="CO53" s="1394" t="n"/>
      <c r="CP53" s="1394" t="n"/>
      <c r="CQ53" s="1394" t="n"/>
      <c r="CR53" s="1395" t="n"/>
      <c r="CS53" s="1393" t="n"/>
      <c r="CT53" s="1409" t="n"/>
      <c r="CU53" s="1394" t="n"/>
      <c r="CV53" s="1394" t="n"/>
      <c r="CW53" s="1394" t="n"/>
      <c r="CX53" s="1396" t="n"/>
    </row>
    <row r="54" ht="16.5" customHeight="1" s="838">
      <c r="B54" s="765" t="n"/>
      <c r="C54" s="720" t="inlineStr">
        <is>
          <t>인건비</t>
        </is>
      </c>
      <c r="D54" s="1360" t="n">
        <v>27.25241</v>
      </c>
      <c r="E54" s="1361" t="n">
        <v>11.908059</v>
      </c>
      <c r="F54" s="1361" t="n">
        <v>19.393389</v>
      </c>
      <c r="G54" s="1361" t="n">
        <v>7.709729</v>
      </c>
      <c r="H54" s="1361" t="n">
        <v>42.703856</v>
      </c>
      <c r="I54" s="1361" t="n">
        <v>25.333354</v>
      </c>
      <c r="J54" s="1361" t="n">
        <v>27.693252</v>
      </c>
      <c r="K54" s="1361" t="n">
        <v>11.908059</v>
      </c>
      <c r="L54" s="1361" t="n">
        <v>29.383119</v>
      </c>
      <c r="M54" s="1361" t="n">
        <v>34.812547</v>
      </c>
      <c r="N54" s="1361" t="n">
        <v>53.552917</v>
      </c>
      <c r="O54" s="1361" t="n">
        <v>27.25241</v>
      </c>
      <c r="P54" s="1362">
        <f>SUM(D54:O54)</f>
        <v/>
      </c>
      <c r="Q54" s="1360" t="n">
        <v>9.255420000000001</v>
      </c>
      <c r="R54" s="1361" t="n">
        <v>14.656931</v>
      </c>
      <c r="S54" s="1361" t="n">
        <v>33.167683</v>
      </c>
      <c r="T54" s="1361" t="n">
        <v>15.438232</v>
      </c>
      <c r="U54" s="1361" t="n">
        <v>37.194064</v>
      </c>
      <c r="V54" s="1361" t="n">
        <v>9.255420000000001</v>
      </c>
      <c r="W54" s="1361" t="n">
        <v>35.296292</v>
      </c>
      <c r="X54" s="1361" t="n">
        <v>24.320362</v>
      </c>
      <c r="Y54" s="1361" t="n">
        <v>22.257288</v>
      </c>
      <c r="Z54" s="1361" t="n">
        <v>17.328253</v>
      </c>
      <c r="AA54" s="1361" t="n">
        <v>14.656931</v>
      </c>
      <c r="AB54" s="1361" t="n">
        <v>24.126692</v>
      </c>
      <c r="AC54" s="1362">
        <f>SUM(Q54:AB54)</f>
        <v/>
      </c>
      <c r="AD54" s="1363" t="n">
        <v>31.002278</v>
      </c>
      <c r="AE54" s="1364" t="n">
        <v>60.153599</v>
      </c>
      <c r="AF54" s="1364" t="n">
        <v>60.153599</v>
      </c>
      <c r="AG54" s="1364" t="n">
        <v>60.153599</v>
      </c>
      <c r="AH54" s="1364" t="n">
        <v>60.153599</v>
      </c>
      <c r="AI54" s="1365" t="n">
        <v>60.153599</v>
      </c>
      <c r="AJ54" s="1391" t="n">
        <v>44.082918</v>
      </c>
      <c r="AK54" s="1364" t="n">
        <v>32.043824</v>
      </c>
      <c r="AL54" s="1364" t="n">
        <v>32.043824</v>
      </c>
      <c r="AM54" s="1364" t="n">
        <v>32.043824</v>
      </c>
      <c r="AN54" s="1365" t="n">
        <v>32.043824</v>
      </c>
      <c r="AO54" s="1391" t="n">
        <v>53.330503</v>
      </c>
      <c r="AP54" s="1365" t="n">
        <v>58.420379</v>
      </c>
      <c r="AQ54" s="1392" t="n">
        <v>58.420379</v>
      </c>
      <c r="AR54" s="1392" t="n">
        <v>58.420379</v>
      </c>
      <c r="AS54" s="1392" t="n">
        <v>58.420379</v>
      </c>
      <c r="AT54" s="1392" t="n">
        <v>58.420379</v>
      </c>
      <c r="AU54" s="1391" t="n">
        <v>68.182529</v>
      </c>
      <c r="AV54" s="1364" t="n">
        <v>112.157508</v>
      </c>
      <c r="AW54" s="1364" t="n">
        <v>112.157508</v>
      </c>
      <c r="AX54" s="1364" t="n">
        <v>112.157508</v>
      </c>
      <c r="AY54" s="1364" t="n">
        <v>112.157508</v>
      </c>
      <c r="AZ54" s="1365" t="n">
        <v>112.157508</v>
      </c>
      <c r="BA54" s="1393" t="n"/>
      <c r="BB54" s="1394" t="n"/>
      <c r="BC54" s="1394" t="n"/>
      <c r="BD54" s="1394" t="n"/>
      <c r="BE54" s="1394" t="n"/>
      <c r="BF54" s="1394" t="n"/>
      <c r="BG54" s="1395" t="n"/>
      <c r="BH54" s="1393" t="n"/>
      <c r="BI54" s="1394" t="n"/>
      <c r="BJ54" s="1394" t="n"/>
      <c r="BK54" s="1394" t="n"/>
      <c r="BL54" s="1394" t="n"/>
      <c r="BM54" s="1395" t="n"/>
      <c r="BN54" s="1393" t="n"/>
      <c r="BO54" s="1394" t="n"/>
      <c r="BP54" s="1394" t="n"/>
      <c r="BQ54" s="1394" t="n"/>
      <c r="BR54" s="1394" t="n"/>
      <c r="BS54" s="1395" t="n"/>
      <c r="BT54" s="1393" t="n"/>
      <c r="BU54" s="1394" t="n"/>
      <c r="BV54" s="1394" t="n"/>
      <c r="BW54" s="1394" t="n"/>
      <c r="BX54" s="1394" t="n"/>
      <c r="BY54" s="1394" t="n"/>
      <c r="BZ54" s="1395" t="n"/>
      <c r="CA54" s="1393" t="n"/>
      <c r="CB54" s="1394" t="n"/>
      <c r="CC54" s="1394" t="n"/>
      <c r="CD54" s="1394" t="n"/>
      <c r="CE54" s="1394" t="n"/>
      <c r="CF54" s="1395" t="n"/>
      <c r="CG54" s="1393" t="n"/>
      <c r="CH54" s="1394" t="n"/>
      <c r="CI54" s="1394" t="n"/>
      <c r="CJ54" s="1394" t="n"/>
      <c r="CK54" s="1394" t="n"/>
      <c r="CL54" s="1395" t="n"/>
      <c r="CM54" s="1393" t="n"/>
      <c r="CN54" s="1394" t="n"/>
      <c r="CO54" s="1394" t="n"/>
      <c r="CP54" s="1394" t="n"/>
      <c r="CQ54" s="1394" t="n"/>
      <c r="CR54" s="1395" t="n"/>
      <c r="CS54" s="1393" t="n"/>
      <c r="CT54" s="1409" t="n"/>
      <c r="CU54" s="1394" t="n"/>
      <c r="CV54" s="1394" t="n"/>
      <c r="CW54" s="1394" t="n"/>
      <c r="CX54" s="1396" t="n"/>
    </row>
    <row r="55" ht="16.5" customHeight="1" s="838">
      <c r="B55" s="765" t="n"/>
      <c r="C55" s="720" t="inlineStr">
        <is>
          <t>물류비</t>
        </is>
      </c>
      <c r="D55" s="1360" t="n">
        <v>10.573024</v>
      </c>
      <c r="E55" s="1361" t="n">
        <v>29.236404</v>
      </c>
      <c r="F55" s="1361" t="n">
        <v>34.693815</v>
      </c>
      <c r="G55" s="1361" t="n">
        <v>22.257288</v>
      </c>
      <c r="H55" s="1361" t="n">
        <v>33.167683</v>
      </c>
      <c r="I55" s="1361" t="n">
        <v>29.176663</v>
      </c>
      <c r="J55" s="1361" t="n">
        <v>31.618519</v>
      </c>
      <c r="K55" s="1361" t="n">
        <v>20.228582</v>
      </c>
      <c r="L55" s="1361" t="n">
        <v>29.176663</v>
      </c>
      <c r="M55" s="1361" t="n">
        <v>29.383119</v>
      </c>
      <c r="N55" s="1361" t="n">
        <v>16.688764</v>
      </c>
      <c r="O55" s="1361" t="n">
        <v>29.383119</v>
      </c>
      <c r="P55" s="1362">
        <f>SUM(D55:O55)</f>
        <v/>
      </c>
      <c r="Q55" s="1360" t="n">
        <v>17.328253</v>
      </c>
      <c r="R55" s="1361" t="n">
        <v>27.25241</v>
      </c>
      <c r="S55" s="1361" t="n">
        <v>20.103841</v>
      </c>
      <c r="T55" s="1361" t="n">
        <v>31.618519</v>
      </c>
      <c r="U55" s="1361" t="n">
        <v>19.602052</v>
      </c>
      <c r="V55" s="1361" t="n">
        <v>18.643462</v>
      </c>
      <c r="W55" s="1361" t="n">
        <v>7.709729</v>
      </c>
      <c r="X55" s="1361" t="n">
        <v>19.602052</v>
      </c>
      <c r="Y55" s="1361" t="n">
        <v>16.215853</v>
      </c>
      <c r="Z55" s="1361" t="n">
        <v>29.176663</v>
      </c>
      <c r="AA55" s="1361" t="n">
        <v>16.688764</v>
      </c>
      <c r="AB55" s="1361" t="n">
        <v>7.709729</v>
      </c>
      <c r="AC55" s="1362">
        <f>SUM(Q55:AB55)</f>
        <v/>
      </c>
      <c r="AD55" s="1363" t="n">
        <v>-2.239089</v>
      </c>
      <c r="AE55" s="1364" t="n">
        <v>1.501438</v>
      </c>
      <c r="AF55" s="1364" t="n">
        <v>1.501438</v>
      </c>
      <c r="AG55" s="1364" t="n">
        <v>1.501438</v>
      </c>
      <c r="AH55" s="1364" t="n">
        <v>1.501438</v>
      </c>
      <c r="AI55" s="1365" t="n">
        <v>1.501438</v>
      </c>
      <c r="AJ55" s="1391" t="n">
        <v>3.473892</v>
      </c>
      <c r="AK55" s="1364" t="n">
        <v>1.501438</v>
      </c>
      <c r="AL55" s="1364" t="n">
        <v>1.501438</v>
      </c>
      <c r="AM55" s="1364" t="n">
        <v>1.501438</v>
      </c>
      <c r="AN55" s="1365" t="n">
        <v>1.501438</v>
      </c>
      <c r="AO55" s="1391" t="n">
        <v>1.29753</v>
      </c>
      <c r="AP55" s="1365" t="n">
        <v>3.473892</v>
      </c>
      <c r="AQ55" s="1392" t="n">
        <v>3.473892</v>
      </c>
      <c r="AR55" s="1392" t="n">
        <v>3.473892</v>
      </c>
      <c r="AS55" s="1392" t="n">
        <v>3.473892</v>
      </c>
      <c r="AT55" s="1392" t="n">
        <v>3.473892</v>
      </c>
      <c r="AU55" s="1391" t="n">
        <v>1.399687</v>
      </c>
      <c r="AV55" s="1364" t="n">
        <v>3.473892</v>
      </c>
      <c r="AW55" s="1364" t="n">
        <v>3.473892</v>
      </c>
      <c r="AX55" s="1364" t="n">
        <v>1.29753</v>
      </c>
      <c r="AY55" s="1364" t="n">
        <v>3.473892</v>
      </c>
      <c r="AZ55" s="1365" t="n">
        <v>1.29753</v>
      </c>
      <c r="BA55" s="1393" t="n"/>
      <c r="BB55" s="1394" t="n"/>
      <c r="BC55" s="1394" t="n"/>
      <c r="BD55" s="1394" t="n"/>
      <c r="BE55" s="1394" t="n"/>
      <c r="BF55" s="1394" t="n"/>
      <c r="BG55" s="1395" t="n"/>
      <c r="BH55" s="1393" t="n"/>
      <c r="BI55" s="1394" t="n"/>
      <c r="BJ55" s="1394" t="n"/>
      <c r="BK55" s="1394" t="n"/>
      <c r="BL55" s="1394" t="n"/>
      <c r="BM55" s="1395" t="n"/>
      <c r="BN55" s="1393" t="n"/>
      <c r="BO55" s="1394" t="n"/>
      <c r="BP55" s="1394" t="n"/>
      <c r="BQ55" s="1394" t="n"/>
      <c r="BR55" s="1394" t="n"/>
      <c r="BS55" s="1395" t="n"/>
      <c r="BT55" s="1393" t="n"/>
      <c r="BU55" s="1394" t="n"/>
      <c r="BV55" s="1394" t="n"/>
      <c r="BW55" s="1394" t="n"/>
      <c r="BX55" s="1394" t="n"/>
      <c r="BY55" s="1394" t="n"/>
      <c r="BZ55" s="1395" t="n"/>
      <c r="CA55" s="1393" t="n"/>
      <c r="CB55" s="1394" t="n"/>
      <c r="CC55" s="1394" t="n"/>
      <c r="CD55" s="1394" t="n"/>
      <c r="CE55" s="1394" t="n"/>
      <c r="CF55" s="1395" t="n"/>
      <c r="CG55" s="1393" t="n"/>
      <c r="CH55" s="1394" t="n"/>
      <c r="CI55" s="1394" t="n"/>
      <c r="CJ55" s="1394" t="n"/>
      <c r="CK55" s="1394" t="n"/>
      <c r="CL55" s="1395" t="n"/>
      <c r="CM55" s="1393" t="n"/>
      <c r="CN55" s="1394" t="n"/>
      <c r="CO55" s="1394" t="n"/>
      <c r="CP55" s="1394" t="n"/>
      <c r="CQ55" s="1394" t="n"/>
      <c r="CR55" s="1395" t="n"/>
      <c r="CS55" s="1393" t="n"/>
      <c r="CT55" s="1409" t="n"/>
      <c r="CU55" s="1394" t="n"/>
      <c r="CV55" s="1394" t="n"/>
      <c r="CW55" s="1394" t="n"/>
      <c r="CX55" s="1396" t="n"/>
    </row>
    <row r="56" ht="16.5" customHeight="1" s="838">
      <c r="B56" s="765" t="n"/>
      <c r="C56" s="720" t="inlineStr">
        <is>
          <t>서비스비</t>
        </is>
      </c>
      <c r="D56" s="1360" t="n">
        <v>20.103841</v>
      </c>
      <c r="E56" s="1361" t="n">
        <v>25.333354</v>
      </c>
      <c r="F56" s="1361" t="n">
        <v>19.366313</v>
      </c>
      <c r="G56" s="1361" t="n">
        <v>73.146286</v>
      </c>
      <c r="H56" s="1361" t="n">
        <v>36.206176</v>
      </c>
      <c r="I56" s="1361" t="n">
        <v>4.420408</v>
      </c>
      <c r="J56" s="1361" t="n">
        <v>39.526994</v>
      </c>
      <c r="K56" s="1361" t="n">
        <v>7.709729</v>
      </c>
      <c r="L56" s="1361" t="n">
        <v>19.366313</v>
      </c>
      <c r="M56" s="1361" t="n">
        <v>29.176663</v>
      </c>
      <c r="N56" s="1361" t="n">
        <v>37.737699</v>
      </c>
      <c r="O56" s="1361" t="n">
        <v>34.5171</v>
      </c>
      <c r="P56" s="1362">
        <f>SUM(D56:O56)</f>
        <v/>
      </c>
      <c r="Q56" s="1360" t="n">
        <v>35.296292</v>
      </c>
      <c r="R56" s="1361" t="n">
        <v>24.126692</v>
      </c>
      <c r="S56" s="1361" t="n">
        <v>17.242908</v>
      </c>
      <c r="T56" s="1361" t="n">
        <v>19.602052</v>
      </c>
      <c r="U56" s="1361" t="n">
        <v>53.552917</v>
      </c>
      <c r="V56" s="1361" t="n">
        <v>14.656931</v>
      </c>
      <c r="W56" s="1361" t="n">
        <v>59.73971</v>
      </c>
      <c r="X56" s="1361" t="n">
        <v>35.296292</v>
      </c>
      <c r="Y56" s="1361" t="n">
        <v>42.703856</v>
      </c>
      <c r="Z56" s="1361" t="n">
        <v>33.167683</v>
      </c>
      <c r="AA56" s="1361" t="n">
        <v>19.393389</v>
      </c>
      <c r="AB56" s="1361" t="n">
        <v>18.643462</v>
      </c>
      <c r="AC56" s="1362">
        <f>SUM(Q56:AB56)</f>
        <v/>
      </c>
      <c r="AD56" s="1363" t="n">
        <v>8.484106000000001</v>
      </c>
      <c r="AE56" s="1364" t="n">
        <v>8.019653</v>
      </c>
      <c r="AF56" s="1364" t="n">
        <v>8.019653</v>
      </c>
      <c r="AG56" s="1364" t="n">
        <v>8.019653</v>
      </c>
      <c r="AH56" s="1364" t="n">
        <v>8.019653</v>
      </c>
      <c r="AI56" s="1365" t="n">
        <v>8.019653</v>
      </c>
      <c r="AJ56" s="1391" t="n">
        <v>6.533824</v>
      </c>
      <c r="AK56" s="1364" t="n">
        <v>8.019653</v>
      </c>
      <c r="AL56" s="1364" t="n">
        <v>8.019653</v>
      </c>
      <c r="AM56" s="1364" t="n">
        <v>8.019653</v>
      </c>
      <c r="AN56" s="1365" t="n">
        <v>8.019653</v>
      </c>
      <c r="AO56" s="1391" t="n">
        <v>13.086268</v>
      </c>
      <c r="AP56" s="1365" t="n">
        <v>6.533824</v>
      </c>
      <c r="AQ56" s="1392" t="n">
        <v>6.533824</v>
      </c>
      <c r="AR56" s="1392" t="n">
        <v>6.533824</v>
      </c>
      <c r="AS56" s="1392" t="n">
        <v>6.533824</v>
      </c>
      <c r="AT56" s="1392" t="n">
        <v>6.533824</v>
      </c>
      <c r="AU56" s="1391" t="n">
        <v>11.306907</v>
      </c>
      <c r="AV56" s="1364" t="n">
        <v>6.533824</v>
      </c>
      <c r="AW56" s="1364" t="n">
        <v>6.533824</v>
      </c>
      <c r="AX56" s="1364" t="n">
        <v>13.086268</v>
      </c>
      <c r="AY56" s="1364" t="n">
        <v>6.533824</v>
      </c>
      <c r="AZ56" s="1365" t="n">
        <v>13.086268</v>
      </c>
      <c r="BA56" s="1393" t="n"/>
      <c r="BB56" s="1394" t="n"/>
      <c r="BC56" s="1394" t="n"/>
      <c r="BD56" s="1394" t="n"/>
      <c r="BE56" s="1394" t="n"/>
      <c r="BF56" s="1394" t="n"/>
      <c r="BG56" s="1395" t="n"/>
      <c r="BH56" s="1393" t="n"/>
      <c r="BI56" s="1394" t="n"/>
      <c r="BJ56" s="1394" t="n"/>
      <c r="BK56" s="1394" t="n"/>
      <c r="BL56" s="1394" t="n"/>
      <c r="BM56" s="1395" t="n"/>
      <c r="BN56" s="1393" t="n"/>
      <c r="BO56" s="1394" t="n"/>
      <c r="BP56" s="1394" t="n"/>
      <c r="BQ56" s="1394" t="n"/>
      <c r="BR56" s="1394" t="n"/>
      <c r="BS56" s="1395" t="n"/>
      <c r="BT56" s="1393" t="n"/>
      <c r="BU56" s="1394" t="n"/>
      <c r="BV56" s="1394" t="n"/>
      <c r="BW56" s="1394" t="n"/>
      <c r="BX56" s="1394" t="n"/>
      <c r="BY56" s="1394" t="n"/>
      <c r="BZ56" s="1395" t="n"/>
      <c r="CA56" s="1393" t="n"/>
      <c r="CB56" s="1394" t="n"/>
      <c r="CC56" s="1394" t="n"/>
      <c r="CD56" s="1394" t="n"/>
      <c r="CE56" s="1394" t="n"/>
      <c r="CF56" s="1395" t="n"/>
      <c r="CG56" s="1393" t="n"/>
      <c r="CH56" s="1394" t="n"/>
      <c r="CI56" s="1394" t="n"/>
      <c r="CJ56" s="1394" t="n"/>
      <c r="CK56" s="1394" t="n"/>
      <c r="CL56" s="1395" t="n"/>
      <c r="CM56" s="1393" t="n"/>
      <c r="CN56" s="1394" t="n"/>
      <c r="CO56" s="1394" t="n"/>
      <c r="CP56" s="1394" t="n"/>
      <c r="CQ56" s="1394" t="n"/>
      <c r="CR56" s="1395" t="n"/>
      <c r="CS56" s="1393" t="n"/>
      <c r="CT56" s="1409" t="n"/>
      <c r="CU56" s="1394" t="n"/>
      <c r="CV56" s="1394" t="n"/>
      <c r="CW56" s="1394" t="n"/>
      <c r="CX56" s="1396" t="n"/>
    </row>
    <row r="57" ht="16.5" customHeight="1" s="838">
      <c r="B57" s="765" t="n"/>
      <c r="C57" s="720" t="inlineStr">
        <is>
          <t>지급수수료</t>
        </is>
      </c>
      <c r="D57" s="1360" t="n">
        <v>33.084154</v>
      </c>
      <c r="E57" s="1361" t="n">
        <v>17.328253</v>
      </c>
      <c r="F57" s="1361" t="n">
        <v>29.383119</v>
      </c>
      <c r="G57" s="1361" t="n">
        <v>19.366313</v>
      </c>
      <c r="H57" s="1361" t="n">
        <v>25.333354</v>
      </c>
      <c r="I57" s="1361" t="n">
        <v>53.552917</v>
      </c>
      <c r="J57" s="1361" t="n">
        <v>17.328253</v>
      </c>
      <c r="K57" s="1361" t="n">
        <v>42.703856</v>
      </c>
      <c r="L57" s="1361" t="n">
        <v>25.333354</v>
      </c>
      <c r="M57" s="1361" t="n">
        <v>42.703856</v>
      </c>
      <c r="N57" s="1361" t="n">
        <v>37.173353</v>
      </c>
      <c r="O57" s="1361" t="n">
        <v>34.833263</v>
      </c>
      <c r="P57" s="1362">
        <f>SUM(D57:O57)</f>
        <v/>
      </c>
      <c r="Q57" s="1360" t="n">
        <v>32.499095</v>
      </c>
      <c r="R57" s="1361" t="n">
        <v>29.383119</v>
      </c>
      <c r="S57" s="1361" t="n">
        <v>15.438232</v>
      </c>
      <c r="T57" s="1361" t="n">
        <v>34.833263</v>
      </c>
      <c r="U57" s="1361" t="n">
        <v>42.703856</v>
      </c>
      <c r="V57" s="1361" t="n">
        <v>22.257288</v>
      </c>
      <c r="W57" s="1361" t="n">
        <v>24.296677</v>
      </c>
      <c r="X57" s="1361" t="n">
        <v>34.693815</v>
      </c>
      <c r="Y57" s="1361" t="n">
        <v>7.709729</v>
      </c>
      <c r="Z57" s="1361" t="n">
        <v>37.737699</v>
      </c>
      <c r="AA57" s="1361" t="n">
        <v>4.420408</v>
      </c>
      <c r="AB57" s="1361" t="n">
        <v>29.236404</v>
      </c>
      <c r="AC57" s="1362">
        <f>SUM(Q57:AB57)</f>
        <v/>
      </c>
      <c r="AD57" s="1363" t="n">
        <v>27.535188</v>
      </c>
      <c r="AE57" s="1364" t="n">
        <v>74.21533100000001</v>
      </c>
      <c r="AF57" s="1364" t="n">
        <v>74.21533100000001</v>
      </c>
      <c r="AG57" s="1364" t="n">
        <v>74.21533100000001</v>
      </c>
      <c r="AH57" s="1364" t="n">
        <v>74.21533100000001</v>
      </c>
      <c r="AI57" s="1365" t="n">
        <v>74.21533100000001</v>
      </c>
      <c r="AJ57" s="1391" t="n">
        <v>73.252657</v>
      </c>
      <c r="AK57" s="1364" t="n">
        <v>44.04265</v>
      </c>
      <c r="AL57" s="1364" t="n">
        <v>44.04265</v>
      </c>
      <c r="AM57" s="1364" t="n">
        <v>44.04265</v>
      </c>
      <c r="AN57" s="1365" t="n">
        <v>44.04265</v>
      </c>
      <c r="AO57" s="1391" t="n">
        <v>10.028028</v>
      </c>
      <c r="AP57" s="1365" t="n">
        <v>18.017595</v>
      </c>
      <c r="AQ57" s="1392" t="n">
        <v>18.017595</v>
      </c>
      <c r="AR57" s="1392" t="n">
        <v>18.017595</v>
      </c>
      <c r="AS57" s="1392" t="n">
        <v>18.017595</v>
      </c>
      <c r="AT57" s="1392" t="n">
        <v>18.017595</v>
      </c>
      <c r="AU57" s="1391" t="n">
        <v>16.485542</v>
      </c>
      <c r="AV57" s="1364" t="n">
        <v>18.017595</v>
      </c>
      <c r="AW57" s="1364" t="n">
        <v>18.017595</v>
      </c>
      <c r="AX57" s="1364" t="n">
        <v>12.324437</v>
      </c>
      <c r="AY57" s="1364" t="n">
        <v>18.017595</v>
      </c>
      <c r="AZ57" s="1365" t="n">
        <v>12.324437</v>
      </c>
      <c r="BA57" s="1393" t="n"/>
      <c r="BB57" s="1394" t="n"/>
      <c r="BC57" s="1394" t="n"/>
      <c r="BD57" s="1394" t="n"/>
      <c r="BE57" s="1394" t="n"/>
      <c r="BF57" s="1394" t="n"/>
      <c r="BG57" s="1395" t="n"/>
      <c r="BH57" s="1393" t="n"/>
      <c r="BI57" s="1394" t="n"/>
      <c r="BJ57" s="1394" t="n"/>
      <c r="BK57" s="1394" t="n"/>
      <c r="BL57" s="1394" t="n"/>
      <c r="BM57" s="1395" t="n"/>
      <c r="BN57" s="1393" t="n"/>
      <c r="BO57" s="1394" t="n"/>
      <c r="BP57" s="1394" t="n"/>
      <c r="BQ57" s="1394" t="n"/>
      <c r="BR57" s="1394" t="n"/>
      <c r="BS57" s="1395" t="n"/>
      <c r="BT57" s="1393" t="n"/>
      <c r="BU57" s="1394" t="n"/>
      <c r="BV57" s="1394" t="n"/>
      <c r="BW57" s="1394" t="n"/>
      <c r="BX57" s="1394" t="n"/>
      <c r="BY57" s="1394" t="n"/>
      <c r="BZ57" s="1395" t="n"/>
      <c r="CA57" s="1393" t="n"/>
      <c r="CB57" s="1394" t="n"/>
      <c r="CC57" s="1394" t="n"/>
      <c r="CD57" s="1394" t="n"/>
      <c r="CE57" s="1394" t="n"/>
      <c r="CF57" s="1395" t="n"/>
      <c r="CG57" s="1393" t="n"/>
      <c r="CH57" s="1394" t="n"/>
      <c r="CI57" s="1394" t="n"/>
      <c r="CJ57" s="1394" t="n"/>
      <c r="CK57" s="1394" t="n"/>
      <c r="CL57" s="1395" t="n"/>
      <c r="CM57" s="1393" t="n"/>
      <c r="CN57" s="1394" t="n"/>
      <c r="CO57" s="1394" t="n"/>
      <c r="CP57" s="1394" t="n"/>
      <c r="CQ57" s="1394" t="n"/>
      <c r="CR57" s="1395" t="n"/>
      <c r="CS57" s="1393" t="n"/>
      <c r="CT57" s="1409" t="n"/>
      <c r="CU57" s="1394" t="n"/>
      <c r="CV57" s="1394" t="n"/>
      <c r="CW57" s="1394" t="n"/>
      <c r="CX57" s="1396" t="n"/>
    </row>
    <row r="58" ht="16.5" customHeight="1" s="838">
      <c r="B58" s="765" t="n"/>
      <c r="C58" s="720" t="inlineStr">
        <is>
          <t>감가상각비</t>
        </is>
      </c>
      <c r="D58" s="1360" t="n">
        <v>37.173353</v>
      </c>
      <c r="E58" s="1361" t="n">
        <v>27.693252</v>
      </c>
      <c r="F58" s="1361" t="n">
        <v>15.438232</v>
      </c>
      <c r="G58" s="1361" t="n">
        <v>37.194064</v>
      </c>
      <c r="H58" s="1361" t="n">
        <v>37.173353</v>
      </c>
      <c r="I58" s="1361" t="n">
        <v>31.618519</v>
      </c>
      <c r="J58" s="1361" t="n">
        <v>37.111761</v>
      </c>
      <c r="K58" s="1361" t="n">
        <v>37.173353</v>
      </c>
      <c r="L58" s="1361" t="n">
        <v>16.688764</v>
      </c>
      <c r="M58" s="1361" t="n">
        <v>37.111761</v>
      </c>
      <c r="N58" s="1361" t="n">
        <v>59.73971</v>
      </c>
      <c r="O58" s="1361" t="n">
        <v>53.552917</v>
      </c>
      <c r="P58" s="1362">
        <f>SUM(D58:O58)</f>
        <v/>
      </c>
      <c r="Q58" s="1360" t="n">
        <v>33.167683</v>
      </c>
      <c r="R58" s="1361" t="n">
        <v>14.656931</v>
      </c>
      <c r="S58" s="1361" t="n">
        <v>32.499095</v>
      </c>
      <c r="T58" s="1361" t="n">
        <v>19.366313</v>
      </c>
      <c r="U58" s="1361" t="n">
        <v>17.328253</v>
      </c>
      <c r="V58" s="1361" t="n">
        <v>34.693815</v>
      </c>
      <c r="W58" s="1361" t="n">
        <v>21.007382</v>
      </c>
      <c r="X58" s="1361" t="n">
        <v>59.73971</v>
      </c>
      <c r="Y58" s="1361" t="n">
        <v>37.173353</v>
      </c>
      <c r="Z58" s="1361" t="n">
        <v>20.103841</v>
      </c>
      <c r="AA58" s="1361" t="n">
        <v>19.393389</v>
      </c>
      <c r="AB58" s="1361" t="n">
        <v>19.393389</v>
      </c>
      <c r="AC58" s="1362">
        <f>SUM(Q58:AB58)</f>
        <v/>
      </c>
      <c r="AD58" s="1363" t="n">
        <v>30.495111</v>
      </c>
      <c r="AE58" s="1364" t="n">
        <v>14.046097</v>
      </c>
      <c r="AF58" s="1364" t="n">
        <v>14.046097</v>
      </c>
      <c r="AG58" s="1364" t="n">
        <v>14.046097</v>
      </c>
      <c r="AH58" s="1364" t="n">
        <v>14.046097</v>
      </c>
      <c r="AI58" s="1365" t="n">
        <v>14.046097</v>
      </c>
      <c r="AJ58" s="1391" t="n">
        <v>11.190437</v>
      </c>
      <c r="AK58" s="1364" t="n">
        <v>14.046097</v>
      </c>
      <c r="AL58" s="1364" t="n">
        <v>14.046097</v>
      </c>
      <c r="AM58" s="1364" t="n">
        <v>14.046097</v>
      </c>
      <c r="AN58" s="1365" t="n">
        <v>14.046097</v>
      </c>
      <c r="AO58" s="1391" t="n">
        <v>24.305517</v>
      </c>
      <c r="AP58" s="1365" t="n">
        <v>11.190437</v>
      </c>
      <c r="AQ58" s="1392" t="n">
        <v>11.190437</v>
      </c>
      <c r="AR58" s="1392" t="n">
        <v>11.190437</v>
      </c>
      <c r="AS58" s="1392" t="n">
        <v>11.190437</v>
      </c>
      <c r="AT58" s="1392" t="n">
        <v>11.190437</v>
      </c>
      <c r="AU58" s="1391" t="n">
        <v>17.982752</v>
      </c>
      <c r="AV58" s="1364" t="n">
        <v>11.190437</v>
      </c>
      <c r="AW58" s="1364" t="n">
        <v>11.190437</v>
      </c>
      <c r="AX58" s="1364" t="n">
        <v>24.305517</v>
      </c>
      <c r="AY58" s="1364" t="n">
        <v>11.190437</v>
      </c>
      <c r="AZ58" s="1365" t="n">
        <v>24.305517</v>
      </c>
      <c r="BA58" s="1393" t="n"/>
      <c r="BB58" s="1394" t="n"/>
      <c r="BC58" s="1394" t="n"/>
      <c r="BD58" s="1394" t="n"/>
      <c r="BE58" s="1394" t="n"/>
      <c r="BF58" s="1394" t="n"/>
      <c r="BG58" s="1395" t="n"/>
      <c r="BH58" s="1393" t="n"/>
      <c r="BI58" s="1394" t="n"/>
      <c r="BJ58" s="1394" t="n"/>
      <c r="BK58" s="1394" t="n"/>
      <c r="BL58" s="1394" t="n"/>
      <c r="BM58" s="1395" t="n"/>
      <c r="BN58" s="1393" t="n"/>
      <c r="BO58" s="1394" t="n"/>
      <c r="BP58" s="1394" t="n"/>
      <c r="BQ58" s="1394" t="n"/>
      <c r="BR58" s="1394" t="n"/>
      <c r="BS58" s="1395" t="n"/>
      <c r="BT58" s="1393" t="n"/>
      <c r="BU58" s="1394" t="n"/>
      <c r="BV58" s="1394" t="n"/>
      <c r="BW58" s="1394" t="n"/>
      <c r="BX58" s="1394" t="n"/>
      <c r="BY58" s="1394" t="n"/>
      <c r="BZ58" s="1395" t="n"/>
      <c r="CA58" s="1393" t="n"/>
      <c r="CB58" s="1394" t="n"/>
      <c r="CC58" s="1394" t="n"/>
      <c r="CD58" s="1394" t="n"/>
      <c r="CE58" s="1394" t="n"/>
      <c r="CF58" s="1395" t="n"/>
      <c r="CG58" s="1393" t="n"/>
      <c r="CH58" s="1394" t="n"/>
      <c r="CI58" s="1394" t="n"/>
      <c r="CJ58" s="1394" t="n"/>
      <c r="CK58" s="1394" t="n"/>
      <c r="CL58" s="1395" t="n"/>
      <c r="CM58" s="1393" t="n"/>
      <c r="CN58" s="1394" t="n"/>
      <c r="CO58" s="1394" t="n"/>
      <c r="CP58" s="1394" t="n"/>
      <c r="CQ58" s="1394" t="n"/>
      <c r="CR58" s="1395" t="n"/>
      <c r="CS58" s="1393" t="n"/>
      <c r="CT58" s="1409" t="n"/>
      <c r="CU58" s="1394" t="n"/>
      <c r="CV58" s="1394" t="n"/>
      <c r="CW58" s="1394" t="n"/>
      <c r="CX58" s="1396" t="n"/>
    </row>
    <row r="59" ht="16.5" customHeight="1" s="838">
      <c r="B59" s="765" t="n"/>
      <c r="C59" s="720" t="inlineStr">
        <is>
          <t>로열티</t>
        </is>
      </c>
      <c r="D59" s="1360" t="n">
        <v>20.103841</v>
      </c>
      <c r="E59" s="1361" t="n">
        <v>16.688764</v>
      </c>
      <c r="F59" s="1361" t="n">
        <v>31.373747</v>
      </c>
      <c r="G59" s="1361" t="n">
        <v>31.618519</v>
      </c>
      <c r="H59" s="1361" t="n">
        <v>19.602052</v>
      </c>
      <c r="I59" s="1361" t="n">
        <v>22.257288</v>
      </c>
      <c r="J59" s="1361" t="n">
        <v>34.5171</v>
      </c>
      <c r="K59" s="1361" t="n">
        <v>29.176663</v>
      </c>
      <c r="L59" s="1361" t="n">
        <v>32.499095</v>
      </c>
      <c r="M59" s="1361" t="n">
        <v>24.126692</v>
      </c>
      <c r="N59" s="1361" t="n">
        <v>29.383119</v>
      </c>
      <c r="O59" s="1361" t="n">
        <v>59.73971</v>
      </c>
      <c r="P59" s="1362">
        <f>SUM(D59:O59)</f>
        <v/>
      </c>
      <c r="Q59" s="1360" t="n">
        <v>34.812547</v>
      </c>
      <c r="R59" s="1361" t="n">
        <v>31.373747</v>
      </c>
      <c r="S59" s="1361" t="n">
        <v>39.526994</v>
      </c>
      <c r="T59" s="1361" t="n">
        <v>17.328253</v>
      </c>
      <c r="U59" s="1361" t="n">
        <v>16.688764</v>
      </c>
      <c r="V59" s="1361" t="n">
        <v>27.693252</v>
      </c>
      <c r="W59" s="1361" t="n">
        <v>19.602052</v>
      </c>
      <c r="X59" s="1361" t="n">
        <v>27.25241</v>
      </c>
      <c r="Y59" s="1361" t="n">
        <v>19.393389</v>
      </c>
      <c r="Z59" s="1361" t="n">
        <v>37.194064</v>
      </c>
      <c r="AA59" s="1361" t="n">
        <v>39.526994</v>
      </c>
      <c r="AB59" s="1361" t="n">
        <v>0</v>
      </c>
      <c r="AC59" s="1362">
        <f>SUM(Q59:AB59)</f>
        <v/>
      </c>
      <c r="AD59" s="1363" t="n">
        <v>2.955636</v>
      </c>
      <c r="AE59" s="1364" t="n">
        <v>1.509258</v>
      </c>
      <c r="AF59" s="1364" t="n">
        <v>1.509258</v>
      </c>
      <c r="AG59" s="1364" t="n">
        <v>1.509258</v>
      </c>
      <c r="AH59" s="1364" t="n">
        <v>1.509258</v>
      </c>
      <c r="AI59" s="1365" t="n">
        <v>1.509258</v>
      </c>
      <c r="AJ59" s="1391" t="n">
        <v>1.895698</v>
      </c>
      <c r="AK59" s="1364" t="n">
        <v>1.509258</v>
      </c>
      <c r="AL59" s="1364" t="n">
        <v>1.509258</v>
      </c>
      <c r="AM59" s="1364" t="n">
        <v>1.509258</v>
      </c>
      <c r="AN59" s="1365" t="n">
        <v>1.509258</v>
      </c>
      <c r="AO59" s="1391" t="n">
        <v>4.399416</v>
      </c>
      <c r="AP59" s="1365" t="n">
        <v>1.895698</v>
      </c>
      <c r="AQ59" s="1392" t="n">
        <v>1.895698</v>
      </c>
      <c r="AR59" s="1392" t="n">
        <v>1.895698</v>
      </c>
      <c r="AS59" s="1392" t="n">
        <v>1.895698</v>
      </c>
      <c r="AT59" s="1392" t="n">
        <v>1.895698</v>
      </c>
      <c r="AU59" s="1391" t="n">
        <v>5.298103</v>
      </c>
      <c r="AV59" s="1364" t="n">
        <v>1.895698</v>
      </c>
      <c r="AW59" s="1364" t="n">
        <v>1.895698</v>
      </c>
      <c r="AX59" s="1364" t="n">
        <v>4.399416</v>
      </c>
      <c r="AY59" s="1364" t="n">
        <v>1.895698</v>
      </c>
      <c r="AZ59" s="1365" t="n">
        <v>4.399416</v>
      </c>
      <c r="BA59" s="1393" t="n"/>
      <c r="BB59" s="1394" t="n"/>
      <c r="BC59" s="1394" t="n"/>
      <c r="BD59" s="1394" t="n"/>
      <c r="BE59" s="1394" t="n"/>
      <c r="BF59" s="1394" t="n"/>
      <c r="BG59" s="1395" t="n"/>
      <c r="BH59" s="1393" t="n"/>
      <c r="BI59" s="1394" t="n"/>
      <c r="BJ59" s="1394" t="n"/>
      <c r="BK59" s="1394" t="n"/>
      <c r="BL59" s="1394" t="n"/>
      <c r="BM59" s="1395" t="n"/>
      <c r="BN59" s="1393" t="n"/>
      <c r="BO59" s="1394" t="n"/>
      <c r="BP59" s="1394" t="n"/>
      <c r="BQ59" s="1394" t="n"/>
      <c r="BR59" s="1394" t="n"/>
      <c r="BS59" s="1395" t="n"/>
      <c r="BT59" s="1393" t="n"/>
      <c r="BU59" s="1394" t="n"/>
      <c r="BV59" s="1394" t="n"/>
      <c r="BW59" s="1394" t="n"/>
      <c r="BX59" s="1394" t="n"/>
      <c r="BY59" s="1394" t="n"/>
      <c r="BZ59" s="1395" t="n"/>
      <c r="CA59" s="1393" t="n"/>
      <c r="CB59" s="1394" t="n"/>
      <c r="CC59" s="1394" t="n"/>
      <c r="CD59" s="1394" t="n"/>
      <c r="CE59" s="1394" t="n"/>
      <c r="CF59" s="1395" t="n"/>
      <c r="CG59" s="1393" t="n"/>
      <c r="CH59" s="1394" t="n"/>
      <c r="CI59" s="1394" t="n"/>
      <c r="CJ59" s="1394" t="n"/>
      <c r="CK59" s="1394" t="n"/>
      <c r="CL59" s="1395" t="n"/>
      <c r="CM59" s="1393" t="n"/>
      <c r="CN59" s="1394" t="n"/>
      <c r="CO59" s="1394" t="n"/>
      <c r="CP59" s="1394" t="n"/>
      <c r="CQ59" s="1394" t="n"/>
      <c r="CR59" s="1395" t="n"/>
      <c r="CS59" s="1393" t="n"/>
      <c r="CT59" s="1409" t="n"/>
      <c r="CU59" s="1394" t="n"/>
      <c r="CV59" s="1394" t="n"/>
      <c r="CW59" s="1394" t="n"/>
      <c r="CX59" s="1396" t="n"/>
    </row>
    <row r="60" ht="16.5" customHeight="1" s="838">
      <c r="B60" s="765" t="n"/>
      <c r="C60" s="720" t="inlineStr">
        <is>
          <t>소모품비</t>
        </is>
      </c>
      <c r="D60" s="1410" t="n">
        <v>16.215853</v>
      </c>
      <c r="E60" s="1411" t="n">
        <v>18.643462</v>
      </c>
      <c r="F60" s="1411" t="n">
        <v>29.383119</v>
      </c>
      <c r="G60" s="1411" t="n">
        <v>34.812547</v>
      </c>
      <c r="H60" s="1411" t="n">
        <v>24.296677</v>
      </c>
      <c r="I60" s="1411" t="n">
        <v>34.5171</v>
      </c>
      <c r="J60" s="1411" t="n">
        <v>42.703856</v>
      </c>
      <c r="K60" s="1411" t="n">
        <v>35.296292</v>
      </c>
      <c r="L60" s="1411" t="n">
        <v>31.373747</v>
      </c>
      <c r="M60" s="1411" t="n">
        <v>42.703856</v>
      </c>
      <c r="N60" s="1411" t="n">
        <v>19.393389</v>
      </c>
      <c r="O60" s="1411" t="n">
        <v>17.242908</v>
      </c>
      <c r="P60" s="1362">
        <f>SUM(D60:O60)</f>
        <v/>
      </c>
      <c r="Q60" s="1410" t="n">
        <v>28.31935</v>
      </c>
      <c r="R60" s="1411" t="n">
        <v>33.084154</v>
      </c>
      <c r="S60" s="1411" t="n">
        <v>10.573024</v>
      </c>
      <c r="T60" s="1411" t="n">
        <v>16.688764</v>
      </c>
      <c r="U60" s="1411" t="n">
        <v>59.73971</v>
      </c>
      <c r="V60" s="1411" t="n">
        <v>33.084154</v>
      </c>
      <c r="W60" s="1411" t="n">
        <v>9.255420000000001</v>
      </c>
      <c r="X60" s="1411" t="n">
        <v>9.255420000000001</v>
      </c>
      <c r="Y60" s="1411" t="n">
        <v>28.31935</v>
      </c>
      <c r="Z60" s="1411" t="n">
        <v>24.126692</v>
      </c>
      <c r="AA60" s="1411" t="n">
        <v>29.236404</v>
      </c>
      <c r="AB60" s="1411" t="n">
        <v>27.693252</v>
      </c>
      <c r="AC60" s="1362">
        <f>SUM(Q60:AB60)</f>
        <v/>
      </c>
      <c r="AD60" s="1363" t="n">
        <v>5.875513</v>
      </c>
      <c r="AE60" s="1364" t="n">
        <v>4.28166</v>
      </c>
      <c r="AF60" s="1364" t="n">
        <v>4.28166</v>
      </c>
      <c r="AG60" s="1364" t="n">
        <v>4.28166</v>
      </c>
      <c r="AH60" s="1364" t="n">
        <v>4.28166</v>
      </c>
      <c r="AI60" s="1365" t="n">
        <v>4.28166</v>
      </c>
      <c r="AJ60" s="1391" t="n">
        <v>1.996993</v>
      </c>
      <c r="AK60" s="1364" t="n">
        <v>4.28166</v>
      </c>
      <c r="AL60" s="1364" t="n">
        <v>4.28166</v>
      </c>
      <c r="AM60" s="1364" t="n">
        <v>4.28166</v>
      </c>
      <c r="AN60" s="1365" t="n">
        <v>4.28166</v>
      </c>
      <c r="AO60" s="1391" t="n">
        <v>6.263167</v>
      </c>
      <c r="AP60" s="1365" t="n">
        <v>1.996993</v>
      </c>
      <c r="AQ60" s="1392" t="n">
        <v>1.996993</v>
      </c>
      <c r="AR60" s="1392" t="n">
        <v>1.996993</v>
      </c>
      <c r="AS60" s="1392" t="n">
        <v>1.996993</v>
      </c>
      <c r="AT60" s="1392" t="n">
        <v>1.996993</v>
      </c>
      <c r="AU60" s="1391" t="n">
        <v>1.948464</v>
      </c>
      <c r="AV60" s="1364" t="n">
        <v>1.996993</v>
      </c>
      <c r="AW60" s="1364" t="n">
        <v>1.996993</v>
      </c>
      <c r="AX60" s="1364" t="n">
        <v>6.263167</v>
      </c>
      <c r="AY60" s="1364" t="n">
        <v>1.996993</v>
      </c>
      <c r="AZ60" s="1365" t="n">
        <v>6.263167</v>
      </c>
      <c r="BA60" s="1393" t="n"/>
      <c r="BB60" s="1394" t="n"/>
      <c r="BC60" s="1394" t="n"/>
      <c r="BD60" s="1394" t="n"/>
      <c r="BE60" s="1394" t="n"/>
      <c r="BF60" s="1394" t="n"/>
      <c r="BG60" s="1395" t="n"/>
      <c r="BH60" s="1393" t="n"/>
      <c r="BI60" s="1394" t="n"/>
      <c r="BJ60" s="1394" t="n"/>
      <c r="BK60" s="1394" t="n"/>
      <c r="BL60" s="1394" t="n"/>
      <c r="BM60" s="1395" t="n"/>
      <c r="BN60" s="1393" t="n"/>
      <c r="BO60" s="1394" t="n"/>
      <c r="BP60" s="1394" t="n"/>
      <c r="BQ60" s="1394" t="n"/>
      <c r="BR60" s="1394" t="n"/>
      <c r="BS60" s="1395" t="n"/>
      <c r="BT60" s="1393" t="n"/>
      <c r="BU60" s="1394" t="n"/>
      <c r="BV60" s="1394" t="n"/>
      <c r="BW60" s="1394" t="n"/>
      <c r="BX60" s="1394" t="n"/>
      <c r="BY60" s="1394" t="n"/>
      <c r="BZ60" s="1395" t="n"/>
      <c r="CA60" s="1393" t="n"/>
      <c r="CB60" s="1394" t="n"/>
      <c r="CC60" s="1394" t="n"/>
      <c r="CD60" s="1394" t="n"/>
      <c r="CE60" s="1394" t="n"/>
      <c r="CF60" s="1395" t="n"/>
      <c r="CG60" s="1393" t="n"/>
      <c r="CH60" s="1394" t="n"/>
      <c r="CI60" s="1394" t="n"/>
      <c r="CJ60" s="1394" t="n"/>
      <c r="CK60" s="1394" t="n"/>
      <c r="CL60" s="1395" t="n"/>
      <c r="CM60" s="1393" t="n"/>
      <c r="CN60" s="1394" t="n"/>
      <c r="CO60" s="1394" t="n"/>
      <c r="CP60" s="1394" t="n"/>
      <c r="CQ60" s="1394" t="n"/>
      <c r="CR60" s="1395" t="n"/>
      <c r="CS60" s="1393" t="n"/>
      <c r="CT60" s="1409" t="n"/>
      <c r="CU60" s="1394" t="n"/>
      <c r="CV60" s="1394" t="n"/>
      <c r="CW60" s="1394" t="n"/>
      <c r="CX60" s="1396" t="n"/>
    </row>
    <row r="61" ht="16.5" customHeight="1" s="838">
      <c r="B61" s="765" t="n"/>
      <c r="C61" s="720" t="inlineStr">
        <is>
          <t>임차료</t>
        </is>
      </c>
      <c r="D61" s="1410" t="n">
        <v>9.255420000000001</v>
      </c>
      <c r="E61" s="1411" t="n">
        <v>16.215853</v>
      </c>
      <c r="F61" s="1411" t="n">
        <v>24.126692</v>
      </c>
      <c r="G61" s="1411" t="n">
        <v>35.296292</v>
      </c>
      <c r="H61" s="1411" t="n">
        <v>4.420408</v>
      </c>
      <c r="I61" s="1411" t="n">
        <v>53.552917</v>
      </c>
      <c r="J61" s="1411" t="n">
        <v>7.709729</v>
      </c>
      <c r="K61" s="1411" t="n">
        <v>4.420408</v>
      </c>
      <c r="L61" s="1411" t="n">
        <v>59.73971</v>
      </c>
      <c r="M61" s="1411" t="n">
        <v>37.737699</v>
      </c>
      <c r="N61" s="1411" t="n">
        <v>34.833263</v>
      </c>
      <c r="O61" s="1411" t="n">
        <v>9.696059</v>
      </c>
      <c r="P61" s="1362">
        <f>SUM(D61:O61)</f>
        <v/>
      </c>
      <c r="Q61" s="1410" t="n">
        <v>20.103841</v>
      </c>
      <c r="R61" s="1411" t="n">
        <v>31.373747</v>
      </c>
      <c r="S61" s="1411" t="n">
        <v>24.296677</v>
      </c>
      <c r="T61" s="1411" t="n">
        <v>29.236404</v>
      </c>
      <c r="U61" s="1411" t="n">
        <v>4.420408</v>
      </c>
      <c r="V61" s="1411" t="n">
        <v>31.618519</v>
      </c>
      <c r="W61" s="1411" t="n">
        <v>19.393389</v>
      </c>
      <c r="X61" s="1411" t="n">
        <v>37.111761</v>
      </c>
      <c r="Y61" s="1411" t="n">
        <v>33.167683</v>
      </c>
      <c r="Z61" s="1411" t="n">
        <v>29.383119</v>
      </c>
      <c r="AA61" s="1411" t="n">
        <v>59.73971</v>
      </c>
      <c r="AB61" s="1411" t="n">
        <v>33.167683</v>
      </c>
      <c r="AC61" s="1362">
        <f>SUM(Q61:AB61)</f>
        <v/>
      </c>
      <c r="AD61" s="1363" t="n">
        <v>4.28166</v>
      </c>
      <c r="AE61" s="1364" t="n">
        <v>4.112765</v>
      </c>
      <c r="AF61" s="1364" t="n">
        <v>4.112765</v>
      </c>
      <c r="AG61" s="1364" t="n">
        <v>4.112765</v>
      </c>
      <c r="AH61" s="1364" t="n">
        <v>4.112765</v>
      </c>
      <c r="AI61" s="1365" t="n">
        <v>4.112765</v>
      </c>
      <c r="AJ61" s="1391" t="n">
        <v>9.269643</v>
      </c>
      <c r="AK61" s="1364" t="n">
        <v>4.112765</v>
      </c>
      <c r="AL61" s="1364" t="n">
        <v>4.112765</v>
      </c>
      <c r="AM61" s="1364" t="n">
        <v>4.112765</v>
      </c>
      <c r="AN61" s="1365" t="n">
        <v>4.112765</v>
      </c>
      <c r="AO61" s="1391" t="n">
        <v>4.257788</v>
      </c>
      <c r="AP61" s="1365" t="n">
        <v>9.269643</v>
      </c>
      <c r="AQ61" s="1392" t="n">
        <v>9.269643</v>
      </c>
      <c r="AR61" s="1392" t="n">
        <v>9.269643</v>
      </c>
      <c r="AS61" s="1392" t="n">
        <v>9.269643</v>
      </c>
      <c r="AT61" s="1392" t="n">
        <v>9.269643</v>
      </c>
      <c r="AU61" s="1391" t="n">
        <v>2.219662</v>
      </c>
      <c r="AV61" s="1364" t="n">
        <v>9.269643</v>
      </c>
      <c r="AW61" s="1364" t="n">
        <v>9.269643</v>
      </c>
      <c r="AX61" s="1364" t="n">
        <v>4.257788</v>
      </c>
      <c r="AY61" s="1364" t="n">
        <v>9.269643</v>
      </c>
      <c r="AZ61" s="1365" t="n">
        <v>4.257788</v>
      </c>
      <c r="BA61" s="1393" t="n"/>
      <c r="BB61" s="1394" t="n"/>
      <c r="BC61" s="1394" t="n"/>
      <c r="BD61" s="1394" t="n"/>
      <c r="BE61" s="1394" t="n"/>
      <c r="BF61" s="1394" t="n"/>
      <c r="BG61" s="1395" t="n"/>
      <c r="BH61" s="1393" t="n"/>
      <c r="BI61" s="1394" t="n"/>
      <c r="BJ61" s="1394" t="n"/>
      <c r="BK61" s="1394" t="n"/>
      <c r="BL61" s="1394" t="n"/>
      <c r="BM61" s="1395" t="n"/>
      <c r="BN61" s="1393" t="n"/>
      <c r="BO61" s="1394" t="n"/>
      <c r="BP61" s="1394" t="n"/>
      <c r="BQ61" s="1394" t="n"/>
      <c r="BR61" s="1394" t="n"/>
      <c r="BS61" s="1395" t="n"/>
      <c r="BT61" s="1393" t="n"/>
      <c r="BU61" s="1394" t="n"/>
      <c r="BV61" s="1394" t="n"/>
      <c r="BW61" s="1394" t="n"/>
      <c r="BX61" s="1394" t="n"/>
      <c r="BY61" s="1394" t="n"/>
      <c r="BZ61" s="1395" t="n"/>
      <c r="CA61" s="1393" t="n"/>
      <c r="CB61" s="1394" t="n"/>
      <c r="CC61" s="1394" t="n"/>
      <c r="CD61" s="1394" t="n"/>
      <c r="CE61" s="1394" t="n"/>
      <c r="CF61" s="1395" t="n"/>
      <c r="CG61" s="1393" t="n"/>
      <c r="CH61" s="1394" t="n"/>
      <c r="CI61" s="1394" t="n"/>
      <c r="CJ61" s="1394" t="n"/>
      <c r="CK61" s="1394" t="n"/>
      <c r="CL61" s="1395" t="n"/>
      <c r="CM61" s="1393" t="n"/>
      <c r="CN61" s="1394" t="n"/>
      <c r="CO61" s="1394" t="n"/>
      <c r="CP61" s="1394" t="n"/>
      <c r="CQ61" s="1394" t="n"/>
      <c r="CR61" s="1395" t="n"/>
      <c r="CS61" s="1393" t="n"/>
      <c r="CT61" s="1409" t="n"/>
      <c r="CU61" s="1394" t="n"/>
      <c r="CV61" s="1394" t="n"/>
      <c r="CW61" s="1394" t="n"/>
      <c r="CX61" s="1396" t="n"/>
    </row>
    <row r="62" ht="16.5" customHeight="1" s="838">
      <c r="B62" s="765" t="n"/>
      <c r="C62" s="720" t="inlineStr">
        <is>
          <t>세금과공과</t>
        </is>
      </c>
      <c r="D62" s="1410" t="n">
        <v>20.103841</v>
      </c>
      <c r="E62" s="1411" t="n">
        <v>29.176663</v>
      </c>
      <c r="F62" s="1411" t="n">
        <v>53.552917</v>
      </c>
      <c r="G62" s="1411" t="n">
        <v>39.526994</v>
      </c>
      <c r="H62" s="1411" t="n">
        <v>16.215853</v>
      </c>
      <c r="I62" s="1411" t="n">
        <v>59.73971</v>
      </c>
      <c r="J62" s="1411" t="n">
        <v>29.236404</v>
      </c>
      <c r="K62" s="1411" t="n">
        <v>37.111761</v>
      </c>
      <c r="L62" s="1411" t="n">
        <v>59.73971</v>
      </c>
      <c r="M62" s="1411" t="n">
        <v>18.643462</v>
      </c>
      <c r="N62" s="1411" t="n">
        <v>34.812547</v>
      </c>
      <c r="O62" s="1411" t="n">
        <v>19.366313</v>
      </c>
      <c r="P62" s="1362">
        <f>SUM(D62:O62)</f>
        <v/>
      </c>
      <c r="Q62" s="1410" t="n">
        <v>53.552917</v>
      </c>
      <c r="R62" s="1411" t="n">
        <v>22.257288</v>
      </c>
      <c r="S62" s="1411" t="n">
        <v>31.373747</v>
      </c>
      <c r="T62" s="1411" t="n">
        <v>35.296292</v>
      </c>
      <c r="U62" s="1411" t="n">
        <v>37.173353</v>
      </c>
      <c r="V62" s="1411" t="n">
        <v>19.602052</v>
      </c>
      <c r="W62" s="1411" t="n">
        <v>42.703856</v>
      </c>
      <c r="X62" s="1411" t="n">
        <v>19.602052</v>
      </c>
      <c r="Y62" s="1411" t="n">
        <v>34.5171</v>
      </c>
      <c r="Z62" s="1411" t="n">
        <v>10.573024</v>
      </c>
      <c r="AA62" s="1411" t="n">
        <v>21.007382</v>
      </c>
      <c r="AB62" s="1411" t="n">
        <v>35.296292</v>
      </c>
      <c r="AC62" s="1362">
        <f>SUM(Q62:AB62)</f>
        <v/>
      </c>
      <c r="AD62" s="1363" t="n">
        <v>5.044061</v>
      </c>
      <c r="AE62" s="1364" t="n">
        <v>2.85548</v>
      </c>
      <c r="AF62" s="1364" t="n">
        <v>2.85548</v>
      </c>
      <c r="AG62" s="1364" t="n">
        <v>2.85548</v>
      </c>
      <c r="AH62" s="1364" t="n">
        <v>2.85548</v>
      </c>
      <c r="AI62" s="1365" t="n">
        <v>2.85548</v>
      </c>
      <c r="AJ62" s="1391" t="n">
        <v>2.352609</v>
      </c>
      <c r="AK62" s="1364" t="n">
        <v>2.85548</v>
      </c>
      <c r="AL62" s="1364" t="n">
        <v>2.85548</v>
      </c>
      <c r="AM62" s="1364" t="n">
        <v>2.85548</v>
      </c>
      <c r="AN62" s="1365" t="n">
        <v>2.85548</v>
      </c>
      <c r="AO62" s="1391" t="n">
        <v>1.962477</v>
      </c>
      <c r="AP62" s="1365" t="n">
        <v>2.352609</v>
      </c>
      <c r="AQ62" s="1392" t="n">
        <v>2.352609</v>
      </c>
      <c r="AR62" s="1392" t="n">
        <v>2.352609</v>
      </c>
      <c r="AS62" s="1392" t="n">
        <v>2.352609</v>
      </c>
      <c r="AT62" s="1392" t="n">
        <v>2.352609</v>
      </c>
      <c r="AU62" s="1391" t="n">
        <v>3.010909</v>
      </c>
      <c r="AV62" s="1364" t="n">
        <v>2.352609</v>
      </c>
      <c r="AW62" s="1364" t="n">
        <v>2.352609</v>
      </c>
      <c r="AX62" s="1364" t="n">
        <v>1.962477</v>
      </c>
      <c r="AY62" s="1364" t="n">
        <v>2.352609</v>
      </c>
      <c r="AZ62" s="1365" t="n">
        <v>1.962477</v>
      </c>
      <c r="BA62" s="1393" t="n"/>
      <c r="BB62" s="1394" t="n"/>
      <c r="BC62" s="1394" t="n"/>
      <c r="BD62" s="1394" t="n"/>
      <c r="BE62" s="1394" t="n"/>
      <c r="BF62" s="1394" t="n"/>
      <c r="BG62" s="1395" t="n"/>
      <c r="BH62" s="1393" t="n"/>
      <c r="BI62" s="1394" t="n"/>
      <c r="BJ62" s="1394" t="n"/>
      <c r="BK62" s="1394" t="n"/>
      <c r="BL62" s="1394" t="n"/>
      <c r="BM62" s="1395" t="n"/>
      <c r="BN62" s="1393" t="n"/>
      <c r="BO62" s="1394" t="n"/>
      <c r="BP62" s="1394" t="n"/>
      <c r="BQ62" s="1394" t="n"/>
      <c r="BR62" s="1394" t="n"/>
      <c r="BS62" s="1395" t="n"/>
      <c r="BT62" s="1393" t="n"/>
      <c r="BU62" s="1394" t="n"/>
      <c r="BV62" s="1394" t="n"/>
      <c r="BW62" s="1394" t="n"/>
      <c r="BX62" s="1394" t="n"/>
      <c r="BY62" s="1394" t="n"/>
      <c r="BZ62" s="1395" t="n"/>
      <c r="CA62" s="1393" t="n"/>
      <c r="CB62" s="1394" t="n"/>
      <c r="CC62" s="1394" t="n"/>
      <c r="CD62" s="1394" t="n"/>
      <c r="CE62" s="1394" t="n"/>
      <c r="CF62" s="1395" t="n"/>
      <c r="CG62" s="1393" t="n"/>
      <c r="CH62" s="1394" t="n"/>
      <c r="CI62" s="1394" t="n"/>
      <c r="CJ62" s="1394" t="n"/>
      <c r="CK62" s="1394" t="n"/>
      <c r="CL62" s="1395" t="n"/>
      <c r="CM62" s="1393" t="n"/>
      <c r="CN62" s="1394" t="n"/>
      <c r="CO62" s="1394" t="n"/>
      <c r="CP62" s="1394" t="n"/>
      <c r="CQ62" s="1394" t="n"/>
      <c r="CR62" s="1395" t="n"/>
      <c r="CS62" s="1393" t="n"/>
      <c r="CT62" s="1409" t="n"/>
      <c r="CU62" s="1394" t="n"/>
      <c r="CV62" s="1394" t="n"/>
      <c r="CW62" s="1394" t="n"/>
      <c r="CX62" s="1396" t="n"/>
    </row>
    <row r="63" ht="16.5" customHeight="1" s="838">
      <c r="B63" s="765" t="n"/>
      <c r="C63" s="724" t="inlineStr">
        <is>
          <t>IT.</t>
        </is>
      </c>
      <c r="D63" s="1410" t="n">
        <v>27.25241</v>
      </c>
      <c r="E63" s="1411" t="n">
        <v>53.552917</v>
      </c>
      <c r="F63" s="1411" t="n">
        <v>19.393389</v>
      </c>
      <c r="G63" s="1411" t="n">
        <v>37.194064</v>
      </c>
      <c r="H63" s="1411" t="n">
        <v>7.709729</v>
      </c>
      <c r="I63" s="1411" t="n">
        <v>24.126692</v>
      </c>
      <c r="J63" s="1411" t="n">
        <v>20.103841</v>
      </c>
      <c r="K63" s="1411" t="n">
        <v>37.737699</v>
      </c>
      <c r="L63" s="1411" t="n">
        <v>16.215853</v>
      </c>
      <c r="M63" s="1411" t="n">
        <v>9.255420000000001</v>
      </c>
      <c r="N63" s="1411" t="n">
        <v>31.373747</v>
      </c>
      <c r="O63" s="1411" t="n">
        <v>19.393389</v>
      </c>
      <c r="P63" s="1362">
        <f>SUM(D63:O63)</f>
        <v/>
      </c>
      <c r="Q63" s="1410" t="n">
        <v>18.643462</v>
      </c>
      <c r="R63" s="1411" t="n">
        <v>16.688764</v>
      </c>
      <c r="S63" s="1411" t="n">
        <v>7.709729</v>
      </c>
      <c r="T63" s="1411" t="n">
        <v>53.552917</v>
      </c>
      <c r="U63" s="1411" t="n">
        <v>29.176663</v>
      </c>
      <c r="V63" s="1411" t="n">
        <v>39.526994</v>
      </c>
      <c r="W63" s="1411" t="n">
        <v>34.5171</v>
      </c>
      <c r="X63" s="1411" t="n">
        <v>34.693815</v>
      </c>
      <c r="Y63" s="1411" t="n">
        <v>31.618519</v>
      </c>
      <c r="Z63" s="1411" t="n">
        <v>31.373747</v>
      </c>
      <c r="AA63" s="1411" t="n">
        <v>9.255420000000001</v>
      </c>
      <c r="AB63" s="1411" t="n">
        <v>25.333354</v>
      </c>
      <c r="AC63" s="1362">
        <f>SUM(Q63:AB63)</f>
        <v/>
      </c>
      <c r="AD63" s="1363" t="n">
        <v>10.670847</v>
      </c>
      <c r="AE63" s="1364" t="n">
        <v>15.928522</v>
      </c>
      <c r="AF63" s="1364" t="n">
        <v>15.928522</v>
      </c>
      <c r="AG63" s="1364" t="n">
        <v>15.928522</v>
      </c>
      <c r="AH63" s="1364" t="n">
        <v>15.928522</v>
      </c>
      <c r="AI63" s="1365" t="n">
        <v>15.928522</v>
      </c>
      <c r="AJ63" s="1391" t="n">
        <v>25.511896</v>
      </c>
      <c r="AK63" s="1364" t="n">
        <v>15.928522</v>
      </c>
      <c r="AL63" s="1364" t="n">
        <v>15.928522</v>
      </c>
      <c r="AM63" s="1364" t="n">
        <v>15.928522</v>
      </c>
      <c r="AN63" s="1365" t="n">
        <v>15.928522</v>
      </c>
      <c r="AO63" s="1391" t="n">
        <v>6.82552</v>
      </c>
      <c r="AP63" s="1365" t="n">
        <v>25.511896</v>
      </c>
      <c r="AQ63" s="1392" t="n">
        <v>25.511896</v>
      </c>
      <c r="AR63" s="1392" t="n">
        <v>25.511896</v>
      </c>
      <c r="AS63" s="1392" t="n">
        <v>25.511896</v>
      </c>
      <c r="AT63" s="1392" t="n">
        <v>25.511896</v>
      </c>
      <c r="AU63" s="1391" t="n">
        <v>15.17958</v>
      </c>
      <c r="AV63" s="1364" t="n">
        <v>25.511896</v>
      </c>
      <c r="AW63" s="1364" t="n">
        <v>25.511896</v>
      </c>
      <c r="AX63" s="1364" t="n">
        <v>13.746379</v>
      </c>
      <c r="AY63" s="1364" t="n">
        <v>25.511896</v>
      </c>
      <c r="AZ63" s="1365" t="n">
        <v>13.746379</v>
      </c>
      <c r="BA63" s="1393" t="n"/>
      <c r="BB63" s="1394" t="n"/>
      <c r="BC63" s="1394" t="n"/>
      <c r="BD63" s="1394" t="n"/>
      <c r="BE63" s="1394" t="n"/>
      <c r="BF63" s="1394" t="n"/>
      <c r="BG63" s="1395" t="n"/>
      <c r="BH63" s="1393" t="n"/>
      <c r="BI63" s="1394" t="n"/>
      <c r="BJ63" s="1394" t="n"/>
      <c r="BK63" s="1394" t="n"/>
      <c r="BL63" s="1394" t="n"/>
      <c r="BM63" s="1395" t="n"/>
      <c r="BN63" s="1393" t="n"/>
      <c r="BO63" s="1394" t="n"/>
      <c r="BP63" s="1394" t="n"/>
      <c r="BQ63" s="1394" t="n"/>
      <c r="BR63" s="1394" t="n"/>
      <c r="BS63" s="1395" t="n"/>
      <c r="BT63" s="1393" t="n"/>
      <c r="BU63" s="1394" t="n"/>
      <c r="BV63" s="1394" t="n"/>
      <c r="BW63" s="1394" t="n"/>
      <c r="BX63" s="1394" t="n"/>
      <c r="BY63" s="1394" t="n"/>
      <c r="BZ63" s="1395" t="n"/>
      <c r="CA63" s="1393" t="n"/>
      <c r="CB63" s="1394" t="n"/>
      <c r="CC63" s="1394" t="n"/>
      <c r="CD63" s="1394" t="n"/>
      <c r="CE63" s="1394" t="n"/>
      <c r="CF63" s="1395" t="n"/>
      <c r="CG63" s="1393" t="n"/>
      <c r="CH63" s="1394" t="n"/>
      <c r="CI63" s="1394" t="n"/>
      <c r="CJ63" s="1394" t="n"/>
      <c r="CK63" s="1394" t="n"/>
      <c r="CL63" s="1395" t="n"/>
      <c r="CM63" s="1393" t="n"/>
      <c r="CN63" s="1394" t="n"/>
      <c r="CO63" s="1394" t="n"/>
      <c r="CP63" s="1394" t="n"/>
      <c r="CQ63" s="1394" t="n"/>
      <c r="CR63" s="1395" t="n"/>
      <c r="CS63" s="1393" t="n"/>
      <c r="CT63" s="1409" t="n"/>
      <c r="CU63" s="1394" t="n"/>
      <c r="CV63" s="1394" t="n"/>
      <c r="CW63" s="1394" t="n"/>
      <c r="CX63" s="1396" t="n"/>
    </row>
    <row r="64" ht="16.5" customHeight="1" s="838">
      <c r="B64" s="765" t="n"/>
      <c r="C64" s="720" t="inlineStr">
        <is>
          <t>법무수수료</t>
        </is>
      </c>
      <c r="D64" s="1410" t="n">
        <v>16.215853</v>
      </c>
      <c r="E64" s="1411" t="n">
        <v>21.007382</v>
      </c>
      <c r="F64" s="1411" t="n">
        <v>4.420408</v>
      </c>
      <c r="G64" s="1411" t="n">
        <v>37.111761</v>
      </c>
      <c r="H64" s="1411" t="n">
        <v>25.333354</v>
      </c>
      <c r="I64" s="1411" t="n">
        <v>29.383119</v>
      </c>
      <c r="J64" s="1411" t="n">
        <v>20.103841</v>
      </c>
      <c r="K64" s="1411" t="n">
        <v>37.111761</v>
      </c>
      <c r="L64" s="1411" t="n">
        <v>20.228582</v>
      </c>
      <c r="M64" s="1411" t="n">
        <v>34.693815</v>
      </c>
      <c r="N64" s="1411" t="n">
        <v>25.333354</v>
      </c>
      <c r="O64" s="1411" t="n">
        <v>24.296677</v>
      </c>
      <c r="P64" s="1362">
        <f>SUM(D64:O64)</f>
        <v/>
      </c>
      <c r="Q64" s="1410" t="n">
        <v>34.833263</v>
      </c>
      <c r="R64" s="1411" t="n">
        <v>11.908059</v>
      </c>
      <c r="S64" s="1411" t="n">
        <v>59.73971</v>
      </c>
      <c r="T64" s="1411" t="n">
        <v>35.296292</v>
      </c>
      <c r="U64" s="1411" t="n">
        <v>24.320362</v>
      </c>
      <c r="V64" s="1411" t="n">
        <v>18.643462</v>
      </c>
      <c r="W64" s="1411" t="n">
        <v>22.257288</v>
      </c>
      <c r="X64" s="1411" t="n">
        <v>31.618519</v>
      </c>
      <c r="Y64" s="1411" t="n">
        <v>4.420408</v>
      </c>
      <c r="Z64" s="1411" t="n">
        <v>31.373747</v>
      </c>
      <c r="AA64" s="1411" t="n">
        <v>19.602052</v>
      </c>
      <c r="AB64" s="1411" t="n">
        <v>31.373747</v>
      </c>
      <c r="AC64" s="1362">
        <f>SUM(Q64:AB64)</f>
        <v/>
      </c>
      <c r="AD64" s="1363" t="n">
        <v>3.463631</v>
      </c>
      <c r="AE64" s="1364" t="n">
        <v>4.824401</v>
      </c>
      <c r="AF64" s="1364" t="n">
        <v>4.824401</v>
      </c>
      <c r="AG64" s="1364" t="n">
        <v>4.824401</v>
      </c>
      <c r="AH64" s="1364" t="n">
        <v>4.824401</v>
      </c>
      <c r="AI64" s="1365" t="n">
        <v>4.824401</v>
      </c>
      <c r="AJ64" s="1391" t="n">
        <v>0.8691759999999999</v>
      </c>
      <c r="AK64" s="1364" t="n">
        <v>4.824401</v>
      </c>
      <c r="AL64" s="1364" t="n">
        <v>4.824401</v>
      </c>
      <c r="AM64" s="1364" t="n">
        <v>4.824401</v>
      </c>
      <c r="AN64" s="1365" t="n">
        <v>4.824401</v>
      </c>
      <c r="AO64" s="1391" t="n">
        <v>2.870242</v>
      </c>
      <c r="AP64" s="1365" t="n">
        <v>0.8691759999999999</v>
      </c>
      <c r="AQ64" s="1392" t="n">
        <v>0.8691759999999999</v>
      </c>
      <c r="AR64" s="1392" t="n">
        <v>0.8691759999999999</v>
      </c>
      <c r="AS64" s="1392" t="n">
        <v>0.8691759999999999</v>
      </c>
      <c r="AT64" s="1392" t="n">
        <v>0.8691759999999999</v>
      </c>
      <c r="AU64" s="1391" t="n">
        <v>1.677686</v>
      </c>
      <c r="AV64" s="1364" t="n">
        <v>0.8691759999999999</v>
      </c>
      <c r="AW64" s="1364" t="n">
        <v>0.8691759999999999</v>
      </c>
      <c r="AX64" s="1364" t="n">
        <v>2.870242</v>
      </c>
      <c r="AY64" s="1364" t="n">
        <v>0.8691759999999999</v>
      </c>
      <c r="AZ64" s="1365" t="n">
        <v>2.870242</v>
      </c>
      <c r="BA64" s="1393" t="n"/>
      <c r="BB64" s="1394" t="n"/>
      <c r="BC64" s="1394" t="n"/>
      <c r="BD64" s="1394" t="n"/>
      <c r="BE64" s="1394" t="n"/>
      <c r="BF64" s="1394" t="n"/>
      <c r="BG64" s="1395" t="n"/>
      <c r="BH64" s="1393" t="n"/>
      <c r="BI64" s="1394" t="n"/>
      <c r="BJ64" s="1394" t="n"/>
      <c r="BK64" s="1394" t="n"/>
      <c r="BL64" s="1394" t="n"/>
      <c r="BM64" s="1395" t="n"/>
      <c r="BN64" s="1393" t="n"/>
      <c r="BO64" s="1394" t="n"/>
      <c r="BP64" s="1394" t="n"/>
      <c r="BQ64" s="1394" t="n"/>
      <c r="BR64" s="1394" t="n"/>
      <c r="BS64" s="1395" t="n"/>
      <c r="BT64" s="1393" t="n"/>
      <c r="BU64" s="1394" t="n"/>
      <c r="BV64" s="1394" t="n"/>
      <c r="BW64" s="1394" t="n"/>
      <c r="BX64" s="1394" t="n"/>
      <c r="BY64" s="1394" t="n"/>
      <c r="BZ64" s="1395" t="n"/>
      <c r="CA64" s="1393" t="n"/>
      <c r="CB64" s="1394" t="n"/>
      <c r="CC64" s="1394" t="n"/>
      <c r="CD64" s="1394" t="n"/>
      <c r="CE64" s="1394" t="n"/>
      <c r="CF64" s="1395" t="n"/>
      <c r="CG64" s="1393" t="n"/>
      <c r="CH64" s="1394" t="n"/>
      <c r="CI64" s="1394" t="n"/>
      <c r="CJ64" s="1394" t="n"/>
      <c r="CK64" s="1394" t="n"/>
      <c r="CL64" s="1395" t="n"/>
      <c r="CM64" s="1393" t="n"/>
      <c r="CN64" s="1394" t="n"/>
      <c r="CO64" s="1394" t="n"/>
      <c r="CP64" s="1394" t="n"/>
      <c r="CQ64" s="1394" t="n"/>
      <c r="CR64" s="1395" t="n"/>
      <c r="CS64" s="1393" t="n"/>
      <c r="CT64" s="1409" t="n"/>
      <c r="CU64" s="1394" t="n"/>
      <c r="CV64" s="1394" t="n"/>
      <c r="CW64" s="1394" t="n"/>
      <c r="CX64" s="1396" t="n"/>
    </row>
    <row r="65" ht="16.5" customHeight="1" s="838">
      <c r="B65" s="765" t="n"/>
      <c r="C65" s="720" t="inlineStr">
        <is>
          <t>출장비</t>
        </is>
      </c>
      <c r="D65" s="1410" t="n">
        <v>59.73971</v>
      </c>
      <c r="E65" s="1411" t="n">
        <v>9.255420000000001</v>
      </c>
      <c r="F65" s="1411" t="n">
        <v>10.573024</v>
      </c>
      <c r="G65" s="1411" t="n">
        <v>24.126692</v>
      </c>
      <c r="H65" s="1411" t="n">
        <v>31.373747</v>
      </c>
      <c r="I65" s="1411" t="n">
        <v>14.656931</v>
      </c>
      <c r="J65" s="1411" t="n">
        <v>29.176663</v>
      </c>
      <c r="K65" s="1411" t="n">
        <v>10.573024</v>
      </c>
      <c r="L65" s="1411" t="n">
        <v>33.167683</v>
      </c>
      <c r="M65" s="1411" t="n">
        <v>17.328253</v>
      </c>
      <c r="N65" s="1411" t="n">
        <v>34.693815</v>
      </c>
      <c r="O65" s="1411" t="n">
        <v>29.236404</v>
      </c>
      <c r="P65" s="1362">
        <f>SUM(D65:O65)</f>
        <v/>
      </c>
      <c r="Q65" s="1410" t="n">
        <v>17.242908</v>
      </c>
      <c r="R65" s="1411" t="n">
        <v>28.31935</v>
      </c>
      <c r="S65" s="1411" t="n">
        <v>36.206176</v>
      </c>
      <c r="T65" s="1411" t="n">
        <v>36.206176</v>
      </c>
      <c r="U65" s="1411" t="n">
        <v>37.194064</v>
      </c>
      <c r="V65" s="1411" t="n">
        <v>35.296292</v>
      </c>
      <c r="W65" s="1411" t="n">
        <v>14.656931</v>
      </c>
      <c r="X65" s="1411" t="n">
        <v>35.296292</v>
      </c>
      <c r="Y65" s="1411" t="n">
        <v>15.438232</v>
      </c>
      <c r="Z65" s="1411" t="n">
        <v>73.146286</v>
      </c>
      <c r="AA65" s="1411" t="n">
        <v>36.206176</v>
      </c>
      <c r="AB65" s="1411" t="n">
        <v>28.31935</v>
      </c>
      <c r="AC65" s="1362">
        <f>SUM(Q65:AB65)</f>
        <v/>
      </c>
      <c r="AD65" s="1363" t="n">
        <v>2.839899</v>
      </c>
      <c r="AE65" s="1364" t="n">
        <v>3.351064</v>
      </c>
      <c r="AF65" s="1364" t="n">
        <v>3.351064</v>
      </c>
      <c r="AG65" s="1364" t="n">
        <v>3.351064</v>
      </c>
      <c r="AH65" s="1364" t="n">
        <v>3.351064</v>
      </c>
      <c r="AI65" s="1365" t="n">
        <v>3.351064</v>
      </c>
      <c r="AJ65" s="1391" t="n">
        <v>4.726802</v>
      </c>
      <c r="AK65" s="1364" t="n">
        <v>3.351064</v>
      </c>
      <c r="AL65" s="1364" t="n">
        <v>3.351064</v>
      </c>
      <c r="AM65" s="1364" t="n">
        <v>3.351064</v>
      </c>
      <c r="AN65" s="1365" t="n">
        <v>3.351064</v>
      </c>
      <c r="AO65" s="1391" t="n">
        <v>4.272333</v>
      </c>
      <c r="AP65" s="1365" t="n">
        <v>4.726802</v>
      </c>
      <c r="AQ65" s="1392" t="n">
        <v>4.726802</v>
      </c>
      <c r="AR65" s="1392" t="n">
        <v>4.726802</v>
      </c>
      <c r="AS65" s="1392" t="n">
        <v>4.726802</v>
      </c>
      <c r="AT65" s="1392" t="n">
        <v>4.726802</v>
      </c>
      <c r="AU65" s="1391" t="n">
        <v>7.221755</v>
      </c>
      <c r="AV65" s="1364" t="n">
        <v>4.726802</v>
      </c>
      <c r="AW65" s="1364" t="n">
        <v>4.726802</v>
      </c>
      <c r="AX65" s="1364" t="n">
        <v>4.272333</v>
      </c>
      <c r="AY65" s="1364" t="n">
        <v>4.726802</v>
      </c>
      <c r="AZ65" s="1365" t="n">
        <v>4.272333</v>
      </c>
      <c r="BA65" s="1393" t="n"/>
      <c r="BB65" s="1394" t="n"/>
      <c r="BC65" s="1394" t="n"/>
      <c r="BD65" s="1394" t="n"/>
      <c r="BE65" s="1394" t="n"/>
      <c r="BF65" s="1394" t="n"/>
      <c r="BG65" s="1395" t="n"/>
      <c r="BH65" s="1393" t="n"/>
      <c r="BI65" s="1394" t="n"/>
      <c r="BJ65" s="1394" t="n"/>
      <c r="BK65" s="1394" t="n"/>
      <c r="BL65" s="1394" t="n"/>
      <c r="BM65" s="1395" t="n"/>
      <c r="BN65" s="1393" t="n"/>
      <c r="BO65" s="1394" t="n"/>
      <c r="BP65" s="1394" t="n"/>
      <c r="BQ65" s="1394" t="n"/>
      <c r="BR65" s="1394" t="n"/>
      <c r="BS65" s="1395" t="n"/>
      <c r="BT65" s="1393" t="n"/>
      <c r="BU65" s="1394" t="n"/>
      <c r="BV65" s="1394" t="n"/>
      <c r="BW65" s="1394" t="n"/>
      <c r="BX65" s="1394" t="n"/>
      <c r="BY65" s="1394" t="n"/>
      <c r="BZ65" s="1395" t="n"/>
      <c r="CA65" s="1393" t="n"/>
      <c r="CB65" s="1394" t="n"/>
      <c r="CC65" s="1394" t="n"/>
      <c r="CD65" s="1394" t="n"/>
      <c r="CE65" s="1394" t="n"/>
      <c r="CF65" s="1395" t="n"/>
      <c r="CG65" s="1393" t="n"/>
      <c r="CH65" s="1394" t="n"/>
      <c r="CI65" s="1394" t="n"/>
      <c r="CJ65" s="1394" t="n"/>
      <c r="CK65" s="1394" t="n"/>
      <c r="CL65" s="1395" t="n"/>
      <c r="CM65" s="1393" t="n"/>
      <c r="CN65" s="1394" t="n"/>
      <c r="CO65" s="1394" t="n"/>
      <c r="CP65" s="1394" t="n"/>
      <c r="CQ65" s="1394" t="n"/>
      <c r="CR65" s="1395" t="n"/>
      <c r="CS65" s="1393" t="n"/>
      <c r="CT65" s="1409" t="n"/>
      <c r="CU65" s="1394" t="n"/>
      <c r="CV65" s="1394" t="n"/>
      <c r="CW65" s="1394" t="n"/>
      <c r="CX65" s="1396" t="n"/>
    </row>
    <row r="66" ht="16.5" customHeight="1" s="838">
      <c r="B66" s="765" t="n"/>
      <c r="C66" s="720" t="inlineStr">
        <is>
          <t>업무추진비</t>
        </is>
      </c>
      <c r="D66" s="1410" t="n">
        <v>53.552917</v>
      </c>
      <c r="E66" s="1411" t="n">
        <v>35.296292</v>
      </c>
      <c r="F66" s="1411" t="n">
        <v>34.833263</v>
      </c>
      <c r="G66" s="1411" t="n">
        <v>19.602052</v>
      </c>
      <c r="H66" s="1411" t="n">
        <v>31.618519</v>
      </c>
      <c r="I66" s="1411" t="n">
        <v>27.693252</v>
      </c>
      <c r="J66" s="1411" t="n">
        <v>31.373747</v>
      </c>
      <c r="K66" s="1411" t="n">
        <v>20.228582</v>
      </c>
      <c r="L66" s="1411" t="n">
        <v>7.709729</v>
      </c>
      <c r="M66" s="1411" t="n">
        <v>25.333354</v>
      </c>
      <c r="N66" s="1411" t="n">
        <v>19.366313</v>
      </c>
      <c r="O66" s="1411" t="n">
        <v>9.696059</v>
      </c>
      <c r="P66" s="1362">
        <f>SUM(D66:O66)</f>
        <v/>
      </c>
      <c r="Q66" s="1410" t="n">
        <v>24.296677</v>
      </c>
      <c r="R66" s="1411" t="n">
        <v>17.242908</v>
      </c>
      <c r="S66" s="1411" t="n">
        <v>28.31935</v>
      </c>
      <c r="T66" s="1411" t="n">
        <v>16.688764</v>
      </c>
      <c r="U66" s="1411" t="n">
        <v>25.333354</v>
      </c>
      <c r="V66" s="1411" t="n">
        <v>27.25241</v>
      </c>
      <c r="W66" s="1411" t="n">
        <v>7.709729</v>
      </c>
      <c r="X66" s="1411" t="n">
        <v>33.084154</v>
      </c>
      <c r="Y66" s="1411" t="n">
        <v>19.602052</v>
      </c>
      <c r="Z66" s="1411" t="n">
        <v>24.320362</v>
      </c>
      <c r="AA66" s="1411" t="n">
        <v>20.103841</v>
      </c>
      <c r="AB66" s="1411" t="n">
        <v>24.296677</v>
      </c>
      <c r="AC66" s="1362">
        <f>SUM(Q66:AB66)</f>
        <v/>
      </c>
      <c r="AD66" s="1363" t="n">
        <v>1.84809</v>
      </c>
      <c r="AE66" s="1364" t="n">
        <v>8.210677</v>
      </c>
      <c r="AF66" s="1364" t="n">
        <v>8.210677</v>
      </c>
      <c r="AG66" s="1364" t="n">
        <v>8.210677</v>
      </c>
      <c r="AH66" s="1364" t="n">
        <v>8.210677</v>
      </c>
      <c r="AI66" s="1365" t="n">
        <v>8.210677</v>
      </c>
      <c r="AJ66" s="1391" t="n">
        <v>1.811649</v>
      </c>
      <c r="AK66" s="1364" t="n">
        <v>8.210677</v>
      </c>
      <c r="AL66" s="1364" t="n">
        <v>8.210677</v>
      </c>
      <c r="AM66" s="1364" t="n">
        <v>8.210677</v>
      </c>
      <c r="AN66" s="1365" t="n">
        <v>8.210677</v>
      </c>
      <c r="AO66" s="1391" t="n">
        <v>2.103222</v>
      </c>
      <c r="AP66" s="1365" t="n">
        <v>1.811649</v>
      </c>
      <c r="AQ66" s="1392" t="n">
        <v>1.811649</v>
      </c>
      <c r="AR66" s="1392" t="n">
        <v>1.811649</v>
      </c>
      <c r="AS66" s="1392" t="n">
        <v>1.811649</v>
      </c>
      <c r="AT66" s="1392" t="n">
        <v>1.811649</v>
      </c>
      <c r="AU66" s="1391" t="n">
        <v>2.596832</v>
      </c>
      <c r="AV66" s="1364" t="n">
        <v>1.811649</v>
      </c>
      <c r="AW66" s="1364" t="n">
        <v>1.811649</v>
      </c>
      <c r="AX66" s="1364" t="n">
        <v>2.103222</v>
      </c>
      <c r="AY66" s="1364" t="n">
        <v>1.811649</v>
      </c>
      <c r="AZ66" s="1365" t="n">
        <v>2.103222</v>
      </c>
      <c r="BA66" s="1393" t="n"/>
      <c r="BB66" s="1394" t="n"/>
      <c r="BC66" s="1394" t="n"/>
      <c r="BD66" s="1394" t="n"/>
      <c r="BE66" s="1394" t="n"/>
      <c r="BF66" s="1394" t="n"/>
      <c r="BG66" s="1395" t="n"/>
      <c r="BH66" s="1393" t="n"/>
      <c r="BI66" s="1394" t="n"/>
      <c r="BJ66" s="1394" t="n"/>
      <c r="BK66" s="1394" t="n"/>
      <c r="BL66" s="1394" t="n"/>
      <c r="BM66" s="1395" t="n"/>
      <c r="BN66" s="1393" t="n"/>
      <c r="BO66" s="1394" t="n"/>
      <c r="BP66" s="1394" t="n"/>
      <c r="BQ66" s="1394" t="n"/>
      <c r="BR66" s="1394" t="n"/>
      <c r="BS66" s="1395" t="n"/>
      <c r="BT66" s="1393" t="n"/>
      <c r="BU66" s="1394" t="n"/>
      <c r="BV66" s="1394" t="n"/>
      <c r="BW66" s="1394" t="n"/>
      <c r="BX66" s="1394" t="n"/>
      <c r="BY66" s="1394" t="n"/>
      <c r="BZ66" s="1395" t="n"/>
      <c r="CA66" s="1393" t="n"/>
      <c r="CB66" s="1394" t="n"/>
      <c r="CC66" s="1394" t="n"/>
      <c r="CD66" s="1394" t="n"/>
      <c r="CE66" s="1394" t="n"/>
      <c r="CF66" s="1395" t="n"/>
      <c r="CG66" s="1393" t="n"/>
      <c r="CH66" s="1394" t="n"/>
      <c r="CI66" s="1394" t="n"/>
      <c r="CJ66" s="1394" t="n"/>
      <c r="CK66" s="1394" t="n"/>
      <c r="CL66" s="1395" t="n"/>
      <c r="CM66" s="1393" t="n"/>
      <c r="CN66" s="1394" t="n"/>
      <c r="CO66" s="1394" t="n"/>
      <c r="CP66" s="1394" t="n"/>
      <c r="CQ66" s="1394" t="n"/>
      <c r="CR66" s="1395" t="n"/>
      <c r="CS66" s="1393" t="n"/>
      <c r="CT66" s="1409" t="n"/>
      <c r="CU66" s="1394" t="n"/>
      <c r="CV66" s="1394" t="n"/>
      <c r="CW66" s="1394" t="n"/>
      <c r="CX66" s="1396" t="n"/>
    </row>
    <row r="67" ht="16.5" customHeight="1" s="838">
      <c r="B67" s="765" t="n"/>
      <c r="C67" s="720" t="inlineStr">
        <is>
          <t>수도광열비</t>
        </is>
      </c>
      <c r="D67" s="1410" t="n">
        <v>17.328253</v>
      </c>
      <c r="E67" s="1411" t="n">
        <v>18.643462</v>
      </c>
      <c r="F67" s="1411" t="n">
        <v>20.103841</v>
      </c>
      <c r="G67" s="1411" t="n">
        <v>17.242908</v>
      </c>
      <c r="H67" s="1411" t="n">
        <v>24.126692</v>
      </c>
      <c r="I67" s="1411" t="n">
        <v>16.215853</v>
      </c>
      <c r="J67" s="1411" t="n">
        <v>24.126692</v>
      </c>
      <c r="K67" s="1411" t="n">
        <v>7.709729</v>
      </c>
      <c r="L67" s="1411" t="n">
        <v>59.73971</v>
      </c>
      <c r="M67" s="1411" t="n">
        <v>37.173353</v>
      </c>
      <c r="N67" s="1411" t="n">
        <v>34.5171</v>
      </c>
      <c r="O67" s="1411" t="n">
        <v>73.146286</v>
      </c>
      <c r="P67" s="1362">
        <f>SUM(D67:O67)</f>
        <v/>
      </c>
      <c r="Q67" s="1410" t="n">
        <v>19.602052</v>
      </c>
      <c r="R67" s="1411" t="n">
        <v>37.173353</v>
      </c>
      <c r="S67" s="1411" t="n">
        <v>37.194064</v>
      </c>
      <c r="T67" s="1411" t="n">
        <v>24.296677</v>
      </c>
      <c r="U67" s="1411" t="n">
        <v>33.084154</v>
      </c>
      <c r="V67" s="1411" t="n">
        <v>59.73971</v>
      </c>
      <c r="W67" s="1411" t="n">
        <v>53.552917</v>
      </c>
      <c r="X67" s="1411" t="n">
        <v>53.552917</v>
      </c>
      <c r="Y67" s="1411" t="n">
        <v>21.007382</v>
      </c>
      <c r="Z67" s="1411" t="n">
        <v>31.618519</v>
      </c>
      <c r="AA67" s="1411" t="n">
        <v>25.333354</v>
      </c>
      <c r="AB67" s="1411" t="n">
        <v>27.25241</v>
      </c>
      <c r="AC67" s="1362">
        <f>SUM(Q67:AB67)</f>
        <v/>
      </c>
      <c r="AD67" s="1363" t="n">
        <v>2.071113</v>
      </c>
      <c r="AE67" s="1364" t="n">
        <v>1.594727</v>
      </c>
      <c r="AF67" s="1364" t="n">
        <v>1.594727</v>
      </c>
      <c r="AG67" s="1364" t="n">
        <v>1.594727</v>
      </c>
      <c r="AH67" s="1364" t="n">
        <v>1.594727</v>
      </c>
      <c r="AI67" s="1365" t="n">
        <v>1.594727</v>
      </c>
      <c r="AJ67" s="1391" t="n">
        <v>1.925964</v>
      </c>
      <c r="AK67" s="1364" t="n">
        <v>1.594727</v>
      </c>
      <c r="AL67" s="1364" t="n">
        <v>1.594727</v>
      </c>
      <c r="AM67" s="1364" t="n">
        <v>1.594727</v>
      </c>
      <c r="AN67" s="1365" t="n">
        <v>1.594727</v>
      </c>
      <c r="AO67" s="1391" t="n">
        <v>0.781644</v>
      </c>
      <c r="AP67" s="1365" t="n">
        <v>1.925964</v>
      </c>
      <c r="AQ67" s="1392" t="n">
        <v>1.925964</v>
      </c>
      <c r="AR67" s="1392" t="n">
        <v>1.925964</v>
      </c>
      <c r="AS67" s="1392" t="n">
        <v>1.925964</v>
      </c>
      <c r="AT67" s="1392" t="n">
        <v>1.925964</v>
      </c>
      <c r="AU67" s="1391" t="n">
        <v>1.115319</v>
      </c>
      <c r="AV67" s="1364" t="n">
        <v>1.925964</v>
      </c>
      <c r="AW67" s="1364" t="n">
        <v>1.925964</v>
      </c>
      <c r="AX67" s="1364" t="n">
        <v>0.781644</v>
      </c>
      <c r="AY67" s="1364" t="n">
        <v>1.925964</v>
      </c>
      <c r="AZ67" s="1365" t="n">
        <v>0.781644</v>
      </c>
      <c r="BA67" s="1393" t="n"/>
      <c r="BB67" s="1394" t="n"/>
      <c r="BC67" s="1394" t="n"/>
      <c r="BD67" s="1394" t="n"/>
      <c r="BE67" s="1394" t="n"/>
      <c r="BF67" s="1394" t="n"/>
      <c r="BG67" s="1395" t="n"/>
      <c r="BH67" s="1393" t="n"/>
      <c r="BI67" s="1394" t="n"/>
      <c r="BJ67" s="1394" t="n"/>
      <c r="BK67" s="1394" t="n"/>
      <c r="BL67" s="1394" t="n"/>
      <c r="BM67" s="1395" t="n"/>
      <c r="BN67" s="1393" t="n"/>
      <c r="BO67" s="1394" t="n"/>
      <c r="BP67" s="1394" t="n"/>
      <c r="BQ67" s="1394" t="n"/>
      <c r="BR67" s="1394" t="n"/>
      <c r="BS67" s="1395" t="n"/>
      <c r="BT67" s="1393" t="n"/>
      <c r="BU67" s="1394" t="n"/>
      <c r="BV67" s="1394" t="n"/>
      <c r="BW67" s="1394" t="n"/>
      <c r="BX67" s="1394" t="n"/>
      <c r="BY67" s="1394" t="n"/>
      <c r="BZ67" s="1395" t="n"/>
      <c r="CA67" s="1393" t="n"/>
      <c r="CB67" s="1394" t="n"/>
      <c r="CC67" s="1394" t="n"/>
      <c r="CD67" s="1394" t="n"/>
      <c r="CE67" s="1394" t="n"/>
      <c r="CF67" s="1395" t="n"/>
      <c r="CG67" s="1393" t="n"/>
      <c r="CH67" s="1394" t="n"/>
      <c r="CI67" s="1394" t="n"/>
      <c r="CJ67" s="1394" t="n"/>
      <c r="CK67" s="1394" t="n"/>
      <c r="CL67" s="1395" t="n"/>
      <c r="CM67" s="1393" t="n"/>
      <c r="CN67" s="1394" t="n"/>
      <c r="CO67" s="1394" t="n"/>
      <c r="CP67" s="1394" t="n"/>
      <c r="CQ67" s="1394" t="n"/>
      <c r="CR67" s="1395" t="n"/>
      <c r="CS67" s="1393" t="n"/>
      <c r="CT67" s="1409" t="n"/>
      <c r="CU67" s="1394" t="n"/>
      <c r="CV67" s="1394" t="n"/>
      <c r="CW67" s="1394" t="n"/>
      <c r="CX67" s="1396" t="n"/>
    </row>
    <row r="68" ht="16.5" customHeight="1" s="838">
      <c r="B68" s="765" t="n"/>
      <c r="C68" s="720" t="inlineStr">
        <is>
          <t>보험료</t>
        </is>
      </c>
      <c r="D68" s="1410" t="n">
        <v>19.393389</v>
      </c>
      <c r="E68" s="1411" t="n">
        <v>31.373747</v>
      </c>
      <c r="F68" s="1411" t="n">
        <v>4.420408</v>
      </c>
      <c r="G68" s="1411" t="n">
        <v>31.618519</v>
      </c>
      <c r="H68" s="1411" t="n">
        <v>18.643462</v>
      </c>
      <c r="I68" s="1411" t="n">
        <v>9.696059</v>
      </c>
      <c r="J68" s="1411" t="n">
        <v>21.007382</v>
      </c>
      <c r="K68" s="1411" t="n">
        <v>59.73971</v>
      </c>
      <c r="L68" s="1411" t="n">
        <v>42.703856</v>
      </c>
      <c r="M68" s="1411" t="n">
        <v>29.236404</v>
      </c>
      <c r="N68" s="1411" t="n">
        <v>42.703856</v>
      </c>
      <c r="O68" s="1411" t="n">
        <v>31.618519</v>
      </c>
      <c r="P68" s="1362">
        <f>SUM(D68:O68)</f>
        <v/>
      </c>
      <c r="Q68" s="1410" t="n">
        <v>29.383119</v>
      </c>
      <c r="R68" s="1411" t="n">
        <v>27.693252</v>
      </c>
      <c r="S68" s="1411" t="n">
        <v>34.812547</v>
      </c>
      <c r="T68" s="1411" t="n">
        <v>19.393389</v>
      </c>
      <c r="U68" s="1411" t="n">
        <v>33.167683</v>
      </c>
      <c r="V68" s="1411" t="n">
        <v>7.709729</v>
      </c>
      <c r="W68" s="1411" t="n">
        <v>37.737699</v>
      </c>
      <c r="X68" s="1411" t="n">
        <v>7.709729</v>
      </c>
      <c r="Y68" s="1411" t="n">
        <v>24.296677</v>
      </c>
      <c r="Z68" s="1411" t="n">
        <v>17.242908</v>
      </c>
      <c r="AA68" s="1411" t="n">
        <v>29.236404</v>
      </c>
      <c r="AB68" s="1411" t="n">
        <v>39.526994</v>
      </c>
      <c r="AC68" s="1362">
        <f>SUM(Q68:AB68)</f>
        <v/>
      </c>
      <c r="AD68" s="1363" t="n">
        <v>3.46835</v>
      </c>
      <c r="AE68" s="1364" t="n">
        <v>1.007363</v>
      </c>
      <c r="AF68" s="1364" t="n">
        <v>1.007363</v>
      </c>
      <c r="AG68" s="1364" t="n">
        <v>1.007363</v>
      </c>
      <c r="AH68" s="1364" t="n">
        <v>1.007363</v>
      </c>
      <c r="AI68" s="1365" t="n">
        <v>1.007363</v>
      </c>
      <c r="AJ68" s="1391" t="n">
        <v>1.972928</v>
      </c>
      <c r="AK68" s="1364" t="n">
        <v>1.007363</v>
      </c>
      <c r="AL68" s="1364" t="n">
        <v>1.007363</v>
      </c>
      <c r="AM68" s="1364" t="n">
        <v>1.007363</v>
      </c>
      <c r="AN68" s="1365" t="n">
        <v>1.007363</v>
      </c>
      <c r="AO68" s="1391" t="n">
        <v>3.033064</v>
      </c>
      <c r="AP68" s="1365" t="n">
        <v>1.972928</v>
      </c>
      <c r="AQ68" s="1392" t="n">
        <v>1.972928</v>
      </c>
      <c r="AR68" s="1392" t="n">
        <v>1.972928</v>
      </c>
      <c r="AS68" s="1392" t="n">
        <v>1.972928</v>
      </c>
      <c r="AT68" s="1392" t="n">
        <v>1.972928</v>
      </c>
      <c r="AU68" s="1391" t="n">
        <v>1.307027</v>
      </c>
      <c r="AV68" s="1364" t="n">
        <v>1.972928</v>
      </c>
      <c r="AW68" s="1364" t="n">
        <v>1.972928</v>
      </c>
      <c r="AX68" s="1364" t="n">
        <v>3.033064</v>
      </c>
      <c r="AY68" s="1364" t="n">
        <v>1.972928</v>
      </c>
      <c r="AZ68" s="1365" t="n">
        <v>3.033064</v>
      </c>
      <c r="BA68" s="1393" t="n"/>
      <c r="BB68" s="1394" t="n"/>
      <c r="BC68" s="1394" t="n"/>
      <c r="BD68" s="1394" t="n"/>
      <c r="BE68" s="1394" t="n"/>
      <c r="BF68" s="1394" t="n"/>
      <c r="BG68" s="1395" t="n"/>
      <c r="BH68" s="1393" t="n"/>
      <c r="BI68" s="1394" t="n"/>
      <c r="BJ68" s="1394" t="n"/>
      <c r="BK68" s="1394" t="n"/>
      <c r="BL68" s="1394" t="n"/>
      <c r="BM68" s="1395" t="n"/>
      <c r="BN68" s="1393" t="n"/>
      <c r="BO68" s="1394" t="n"/>
      <c r="BP68" s="1394" t="n"/>
      <c r="BQ68" s="1394" t="n"/>
      <c r="BR68" s="1394" t="n"/>
      <c r="BS68" s="1395" t="n"/>
      <c r="BT68" s="1393" t="n"/>
      <c r="BU68" s="1394" t="n"/>
      <c r="BV68" s="1394" t="n"/>
      <c r="BW68" s="1394" t="n"/>
      <c r="BX68" s="1394" t="n"/>
      <c r="BY68" s="1394" t="n"/>
      <c r="BZ68" s="1395" t="n"/>
      <c r="CA68" s="1393" t="n"/>
      <c r="CB68" s="1394" t="n"/>
      <c r="CC68" s="1394" t="n"/>
      <c r="CD68" s="1394" t="n"/>
      <c r="CE68" s="1394" t="n"/>
      <c r="CF68" s="1395" t="n"/>
      <c r="CG68" s="1393" t="n"/>
      <c r="CH68" s="1394" t="n"/>
      <c r="CI68" s="1394" t="n"/>
      <c r="CJ68" s="1394" t="n"/>
      <c r="CK68" s="1394" t="n"/>
      <c r="CL68" s="1395" t="n"/>
      <c r="CM68" s="1393" t="n"/>
      <c r="CN68" s="1394" t="n"/>
      <c r="CO68" s="1394" t="n"/>
      <c r="CP68" s="1394" t="n"/>
      <c r="CQ68" s="1394" t="n"/>
      <c r="CR68" s="1395" t="n"/>
      <c r="CS68" s="1393" t="n"/>
      <c r="CT68" s="1409" t="n"/>
      <c r="CU68" s="1394" t="n"/>
      <c r="CV68" s="1394" t="n"/>
      <c r="CW68" s="1394" t="n"/>
      <c r="CX68" s="1396" t="n"/>
    </row>
    <row r="69" ht="16.5" customHeight="1" s="838">
      <c r="B69" s="765" t="n"/>
      <c r="C69" s="720" t="inlineStr">
        <is>
          <t>수선비</t>
        </is>
      </c>
      <c r="D69" s="1410" t="n">
        <v>24.126692</v>
      </c>
      <c r="E69" s="1411" t="n">
        <v>34.833263</v>
      </c>
      <c r="F69" s="1411" t="n">
        <v>16.688764</v>
      </c>
      <c r="G69" s="1411" t="n">
        <v>9.696059</v>
      </c>
      <c r="H69" s="1411" t="n">
        <v>4.420408</v>
      </c>
      <c r="I69" s="1411" t="n">
        <v>34.812547</v>
      </c>
      <c r="J69" s="1411" t="n">
        <v>34.693815</v>
      </c>
      <c r="K69" s="1411" t="n">
        <v>34.833263</v>
      </c>
      <c r="L69" s="1411" t="n">
        <v>37.111761</v>
      </c>
      <c r="M69" s="1411" t="n">
        <v>34.5171</v>
      </c>
      <c r="N69" s="1411" t="n">
        <v>39.526994</v>
      </c>
      <c r="O69" s="1411" t="n">
        <v>29.236404</v>
      </c>
      <c r="P69" s="1362">
        <f>SUM(D69:O69)</f>
        <v/>
      </c>
      <c r="Q69" s="1410" t="n">
        <v>9.696059</v>
      </c>
      <c r="R69" s="1411" t="n">
        <v>19.602052</v>
      </c>
      <c r="S69" s="1411" t="n">
        <v>19.366313</v>
      </c>
      <c r="T69" s="1411" t="n">
        <v>31.373747</v>
      </c>
      <c r="U69" s="1411" t="n">
        <v>29.176663</v>
      </c>
      <c r="V69" s="1411" t="n">
        <v>33.084154</v>
      </c>
      <c r="W69" s="1411" t="n">
        <v>19.393389</v>
      </c>
      <c r="X69" s="1411" t="n">
        <v>14.656931</v>
      </c>
      <c r="Y69" s="1411" t="n">
        <v>37.173353</v>
      </c>
      <c r="Z69" s="1411" t="n">
        <v>27.693252</v>
      </c>
      <c r="AA69" s="1411" t="n">
        <v>34.5171</v>
      </c>
      <c r="AB69" s="1411" t="n">
        <v>15.438232</v>
      </c>
      <c r="AC69" s="1362">
        <f>SUM(Q69:AB69)</f>
        <v/>
      </c>
      <c r="AD69" s="1363" t="n">
        <v>2.77793</v>
      </c>
      <c r="AE69" s="1364" t="n">
        <v>2.367518</v>
      </c>
      <c r="AF69" s="1364" t="n">
        <v>2.367518</v>
      </c>
      <c r="AG69" s="1364" t="n">
        <v>2.367518</v>
      </c>
      <c r="AH69" s="1364" t="n">
        <v>2.367518</v>
      </c>
      <c r="AI69" s="1365" t="n">
        <v>2.367518</v>
      </c>
      <c r="AJ69" s="1391" t="n">
        <v>1.664815</v>
      </c>
      <c r="AK69" s="1364" t="n">
        <v>2.367518</v>
      </c>
      <c r="AL69" s="1364" t="n">
        <v>2.367518</v>
      </c>
      <c r="AM69" s="1364" t="n">
        <v>2.367518</v>
      </c>
      <c r="AN69" s="1365" t="n">
        <v>2.367518</v>
      </c>
      <c r="AO69" s="1391" t="n">
        <v>4.28166</v>
      </c>
      <c r="AP69" s="1365" t="n">
        <v>1.664815</v>
      </c>
      <c r="AQ69" s="1392" t="n">
        <v>1.664815</v>
      </c>
      <c r="AR69" s="1392" t="n">
        <v>1.664815</v>
      </c>
      <c r="AS69" s="1392" t="n">
        <v>1.664815</v>
      </c>
      <c r="AT69" s="1392" t="n">
        <v>1.664815</v>
      </c>
      <c r="AU69" s="1391" t="n">
        <v>9.42698</v>
      </c>
      <c r="AV69" s="1364" t="n">
        <v>1.664815</v>
      </c>
      <c r="AW69" s="1364" t="n">
        <v>1.664815</v>
      </c>
      <c r="AX69" s="1364" t="n">
        <v>4.28166</v>
      </c>
      <c r="AY69" s="1364" t="n">
        <v>1.664815</v>
      </c>
      <c r="AZ69" s="1365" t="n">
        <v>4.28166</v>
      </c>
      <c r="BA69" s="1393" t="n"/>
      <c r="BB69" s="1394" t="n"/>
      <c r="BC69" s="1394" t="n"/>
      <c r="BD69" s="1394" t="n"/>
      <c r="BE69" s="1394" t="n"/>
      <c r="BF69" s="1394" t="n"/>
      <c r="BG69" s="1395" t="n"/>
      <c r="BH69" s="1393" t="n"/>
      <c r="BI69" s="1394" t="n"/>
      <c r="BJ69" s="1394" t="n"/>
      <c r="BK69" s="1394" t="n"/>
      <c r="BL69" s="1394" t="n"/>
      <c r="BM69" s="1395" t="n"/>
      <c r="BN69" s="1393" t="n"/>
      <c r="BO69" s="1394" t="n"/>
      <c r="BP69" s="1394" t="n"/>
      <c r="BQ69" s="1394" t="n"/>
      <c r="BR69" s="1394" t="n"/>
      <c r="BS69" s="1395" t="n"/>
      <c r="BT69" s="1393" t="n"/>
      <c r="BU69" s="1394" t="n"/>
      <c r="BV69" s="1394" t="n"/>
      <c r="BW69" s="1394" t="n"/>
      <c r="BX69" s="1394" t="n"/>
      <c r="BY69" s="1394" t="n"/>
      <c r="BZ69" s="1395" t="n"/>
      <c r="CA69" s="1393" t="n"/>
      <c r="CB69" s="1394" t="n"/>
      <c r="CC69" s="1394" t="n"/>
      <c r="CD69" s="1394" t="n"/>
      <c r="CE69" s="1394" t="n"/>
      <c r="CF69" s="1395" t="n"/>
      <c r="CG69" s="1393" t="n"/>
      <c r="CH69" s="1394" t="n"/>
      <c r="CI69" s="1394" t="n"/>
      <c r="CJ69" s="1394" t="n"/>
      <c r="CK69" s="1394" t="n"/>
      <c r="CL69" s="1395" t="n"/>
      <c r="CM69" s="1393" t="n"/>
      <c r="CN69" s="1394" t="n"/>
      <c r="CO69" s="1394" t="n"/>
      <c r="CP69" s="1394" t="n"/>
      <c r="CQ69" s="1394" t="n"/>
      <c r="CR69" s="1395" t="n"/>
      <c r="CS69" s="1393" t="n"/>
      <c r="CT69" s="1409" t="n"/>
      <c r="CU69" s="1394" t="n"/>
      <c r="CV69" s="1394" t="n"/>
      <c r="CW69" s="1394" t="n"/>
      <c r="CX69" s="1396" t="n"/>
    </row>
    <row r="70" ht="16.5" customHeight="1" s="838">
      <c r="B70" s="765" t="n"/>
      <c r="C70" s="720" t="inlineStr">
        <is>
          <t>통신비</t>
        </is>
      </c>
      <c r="D70" s="1410" t="n">
        <v>53.552917</v>
      </c>
      <c r="E70" s="1411" t="n">
        <v>27.693252</v>
      </c>
      <c r="F70" s="1411" t="n">
        <v>20.103841</v>
      </c>
      <c r="G70" s="1411" t="n">
        <v>33.167683</v>
      </c>
      <c r="H70" s="1411" t="n">
        <v>34.693815</v>
      </c>
      <c r="I70" s="1411" t="n">
        <v>35.296292</v>
      </c>
      <c r="J70" s="1411" t="n">
        <v>29.383119</v>
      </c>
      <c r="K70" s="1411" t="n">
        <v>16.215853</v>
      </c>
      <c r="L70" s="1411" t="n">
        <v>37.173353</v>
      </c>
      <c r="M70" s="1411" t="n">
        <v>25.333354</v>
      </c>
      <c r="N70" s="1411" t="n">
        <v>7.709729</v>
      </c>
      <c r="O70" s="1411" t="n">
        <v>16.688764</v>
      </c>
      <c r="P70" s="1362">
        <f>SUM(D70:O70)</f>
        <v/>
      </c>
      <c r="Q70" s="1410" t="n">
        <v>25.333354</v>
      </c>
      <c r="R70" s="1411" t="n">
        <v>9.696059</v>
      </c>
      <c r="S70" s="1411" t="n">
        <v>20.103841</v>
      </c>
      <c r="T70" s="1411" t="n">
        <v>19.366313</v>
      </c>
      <c r="U70" s="1411" t="n">
        <v>22.257288</v>
      </c>
      <c r="V70" s="1411" t="n">
        <v>27.25241</v>
      </c>
      <c r="W70" s="1411" t="n">
        <v>9.255420000000001</v>
      </c>
      <c r="X70" s="1411" t="n">
        <v>24.126692</v>
      </c>
      <c r="Y70" s="1411" t="n">
        <v>27.693252</v>
      </c>
      <c r="Z70" s="1411" t="n">
        <v>10.573024</v>
      </c>
      <c r="AA70" s="1411" t="n">
        <v>59.73971</v>
      </c>
      <c r="AB70" s="1411" t="n">
        <v>42.703856</v>
      </c>
      <c r="AC70" s="1362">
        <f>SUM(Q70:AB70)</f>
        <v/>
      </c>
      <c r="AD70" s="1363" t="n">
        <v>1.90879</v>
      </c>
      <c r="AE70" s="1364" t="n">
        <v>3.314926</v>
      </c>
      <c r="AF70" s="1364" t="n">
        <v>3.314926</v>
      </c>
      <c r="AG70" s="1364" t="n">
        <v>3.314926</v>
      </c>
      <c r="AH70" s="1364" t="n">
        <v>3.314926</v>
      </c>
      <c r="AI70" s="1365" t="n">
        <v>3.314926</v>
      </c>
      <c r="AJ70" s="1391" t="n">
        <v>1.43816</v>
      </c>
      <c r="AK70" s="1364" t="n">
        <v>3.314926</v>
      </c>
      <c r="AL70" s="1364" t="n">
        <v>3.314926</v>
      </c>
      <c r="AM70" s="1364" t="n">
        <v>3.314926</v>
      </c>
      <c r="AN70" s="1365" t="n">
        <v>3.314926</v>
      </c>
      <c r="AO70" s="1391" t="n">
        <v>5.561973</v>
      </c>
      <c r="AP70" s="1365" t="n">
        <v>1.43816</v>
      </c>
      <c r="AQ70" s="1392" t="n">
        <v>1.43816</v>
      </c>
      <c r="AR70" s="1392" t="n">
        <v>1.43816</v>
      </c>
      <c r="AS70" s="1392" t="n">
        <v>1.43816</v>
      </c>
      <c r="AT70" s="1392" t="n">
        <v>1.43816</v>
      </c>
      <c r="AU70" s="1391" t="n">
        <v>7.182871</v>
      </c>
      <c r="AV70" s="1364" t="n">
        <v>1.43816</v>
      </c>
      <c r="AW70" s="1364" t="n">
        <v>1.43816</v>
      </c>
      <c r="AX70" s="1364" t="n">
        <v>5.561973</v>
      </c>
      <c r="AY70" s="1364" t="n">
        <v>1.43816</v>
      </c>
      <c r="AZ70" s="1365" t="n">
        <v>5.561973</v>
      </c>
      <c r="BA70" s="1393" t="n"/>
      <c r="BB70" s="1394" t="n"/>
      <c r="BC70" s="1394" t="n"/>
      <c r="BD70" s="1394" t="n"/>
      <c r="BE70" s="1394" t="n"/>
      <c r="BF70" s="1394" t="n"/>
      <c r="BG70" s="1395" t="n"/>
      <c r="BH70" s="1393" t="n"/>
      <c r="BI70" s="1394" t="n"/>
      <c r="BJ70" s="1394" t="n"/>
      <c r="BK70" s="1394" t="n"/>
      <c r="BL70" s="1394" t="n"/>
      <c r="BM70" s="1395" t="n"/>
      <c r="BN70" s="1393" t="n"/>
      <c r="BO70" s="1394" t="n"/>
      <c r="BP70" s="1394" t="n"/>
      <c r="BQ70" s="1394" t="n"/>
      <c r="BR70" s="1394" t="n"/>
      <c r="BS70" s="1395" t="n"/>
      <c r="BT70" s="1393" t="n"/>
      <c r="BU70" s="1394" t="n"/>
      <c r="BV70" s="1394" t="n"/>
      <c r="BW70" s="1394" t="n"/>
      <c r="BX70" s="1394" t="n"/>
      <c r="BY70" s="1394" t="n"/>
      <c r="BZ70" s="1395" t="n"/>
      <c r="CA70" s="1393" t="n"/>
      <c r="CB70" s="1394" t="n"/>
      <c r="CC70" s="1394" t="n"/>
      <c r="CD70" s="1394" t="n"/>
      <c r="CE70" s="1394" t="n"/>
      <c r="CF70" s="1395" t="n"/>
      <c r="CG70" s="1393" t="n"/>
      <c r="CH70" s="1394" t="n"/>
      <c r="CI70" s="1394" t="n"/>
      <c r="CJ70" s="1394" t="n"/>
      <c r="CK70" s="1394" t="n"/>
      <c r="CL70" s="1395" t="n"/>
      <c r="CM70" s="1393" t="n"/>
      <c r="CN70" s="1394" t="n"/>
      <c r="CO70" s="1394" t="n"/>
      <c r="CP70" s="1394" t="n"/>
      <c r="CQ70" s="1394" t="n"/>
      <c r="CR70" s="1395" t="n"/>
      <c r="CS70" s="1393" t="n"/>
      <c r="CT70" s="1409" t="n"/>
      <c r="CU70" s="1394" t="n"/>
      <c r="CV70" s="1394" t="n"/>
      <c r="CW70" s="1394" t="n"/>
      <c r="CX70" s="1396" t="n"/>
    </row>
    <row r="71" ht="16.5" customHeight="1" s="838">
      <c r="B71" s="765" t="n"/>
      <c r="C71" s="720" t="inlineStr">
        <is>
          <t>샘플비</t>
        </is>
      </c>
      <c r="D71" s="1410" t="n">
        <v>29.176663</v>
      </c>
      <c r="E71" s="1411" t="n">
        <v>27.693252</v>
      </c>
      <c r="F71" s="1411" t="n">
        <v>19.602052</v>
      </c>
      <c r="G71" s="1411" t="n">
        <v>17.242908</v>
      </c>
      <c r="H71" s="1411" t="n">
        <v>42.703856</v>
      </c>
      <c r="I71" s="1411" t="n">
        <v>31.373747</v>
      </c>
      <c r="J71" s="1411" t="n">
        <v>53.552917</v>
      </c>
      <c r="K71" s="1411" t="n">
        <v>27.693252</v>
      </c>
      <c r="L71" s="1411" t="n">
        <v>-6.732074</v>
      </c>
      <c r="M71" s="1411" t="n">
        <v>34.833263</v>
      </c>
      <c r="N71" s="1411" t="n">
        <v>34.812547</v>
      </c>
      <c r="O71" s="1411" t="n">
        <v>42.703856</v>
      </c>
      <c r="P71" s="1362">
        <f>SUM(D71:O71)</f>
        <v/>
      </c>
      <c r="Q71" s="1410" t="n">
        <v>29.383119</v>
      </c>
      <c r="R71" s="1411" t="n">
        <v>29.383119</v>
      </c>
      <c r="S71" s="1411" t="n">
        <v>27.693252</v>
      </c>
      <c r="T71" s="1411" t="n">
        <v>42.703856</v>
      </c>
      <c r="U71" s="1411" t="n">
        <v>31.618519</v>
      </c>
      <c r="V71" s="1411" t="n">
        <v>53.552917</v>
      </c>
      <c r="W71" s="1411" t="n">
        <v>24.320362</v>
      </c>
      <c r="X71" s="1411" t="n">
        <v>29.176663</v>
      </c>
      <c r="Y71" s="1411" t="n">
        <v>24.126692</v>
      </c>
      <c r="Z71" s="1411" t="n">
        <v>37.194064</v>
      </c>
      <c r="AA71" s="1411" t="n">
        <v>36.206176</v>
      </c>
      <c r="AB71" s="1411" t="n">
        <v>4.420408</v>
      </c>
      <c r="AC71" s="1362">
        <f>SUM(Q71:AB71)</f>
        <v/>
      </c>
      <c r="AD71" s="1363" t="n">
        <v>-0.022586</v>
      </c>
      <c r="AE71" s="1364" t="n">
        <v>0.94915</v>
      </c>
      <c r="AF71" s="1364" t="n">
        <v>0.94915</v>
      </c>
      <c r="AG71" s="1364" t="n">
        <v>0.94915</v>
      </c>
      <c r="AH71" s="1364" t="n">
        <v>0.94915</v>
      </c>
      <c r="AI71" s="1365" t="n">
        <v>0.94915</v>
      </c>
      <c r="AJ71" s="1391" t="n">
        <v>0.270183</v>
      </c>
      <c r="AK71" s="1364" t="n">
        <v>0.94915</v>
      </c>
      <c r="AL71" s="1364" t="n">
        <v>0.94915</v>
      </c>
      <c r="AM71" s="1364" t="n">
        <v>0.94915</v>
      </c>
      <c r="AN71" s="1365" t="n">
        <v>0.94915</v>
      </c>
      <c r="AO71" s="1391" t="n">
        <v>-0.001778</v>
      </c>
      <c r="AP71" s="1365" t="n">
        <v>0.270183</v>
      </c>
      <c r="AQ71" s="1392" t="n">
        <v>0.270183</v>
      </c>
      <c r="AR71" s="1392" t="n">
        <v>0.270183</v>
      </c>
      <c r="AS71" s="1392" t="n">
        <v>0.270183</v>
      </c>
      <c r="AT71" s="1392" t="n">
        <v>0.270183</v>
      </c>
      <c r="AU71" s="1391" t="n">
        <v>1.543487</v>
      </c>
      <c r="AV71" s="1364" t="n">
        <v>0.270183</v>
      </c>
      <c r="AW71" s="1364" t="n">
        <v>0.270183</v>
      </c>
      <c r="AX71" s="1364" t="n">
        <v>-0.001778</v>
      </c>
      <c r="AY71" s="1364" t="n">
        <v>0.270183</v>
      </c>
      <c r="AZ71" s="1365" t="n">
        <v>-0.001778</v>
      </c>
      <c r="BA71" s="1393" t="n"/>
      <c r="BB71" s="1394" t="n"/>
      <c r="BC71" s="1394" t="n"/>
      <c r="BD71" s="1394" t="n"/>
      <c r="BE71" s="1394" t="n"/>
      <c r="BF71" s="1394" t="n"/>
      <c r="BG71" s="1395" t="n"/>
      <c r="BH71" s="1393" t="n"/>
      <c r="BI71" s="1394" t="n"/>
      <c r="BJ71" s="1394" t="n"/>
      <c r="BK71" s="1394" t="n"/>
      <c r="BL71" s="1394" t="n"/>
      <c r="BM71" s="1395" t="n"/>
      <c r="BN71" s="1393" t="n"/>
      <c r="BO71" s="1394" t="n"/>
      <c r="BP71" s="1394" t="n"/>
      <c r="BQ71" s="1394" t="n"/>
      <c r="BR71" s="1394" t="n"/>
      <c r="BS71" s="1395" t="n"/>
      <c r="BT71" s="1393" t="n"/>
      <c r="BU71" s="1394" t="n"/>
      <c r="BV71" s="1394" t="n"/>
      <c r="BW71" s="1394" t="n"/>
      <c r="BX71" s="1394" t="n"/>
      <c r="BY71" s="1394" t="n"/>
      <c r="BZ71" s="1395" t="n"/>
      <c r="CA71" s="1393" t="n"/>
      <c r="CB71" s="1394" t="n"/>
      <c r="CC71" s="1394" t="n"/>
      <c r="CD71" s="1394" t="n"/>
      <c r="CE71" s="1394" t="n"/>
      <c r="CF71" s="1395" t="n"/>
      <c r="CG71" s="1393" t="n"/>
      <c r="CH71" s="1394" t="n"/>
      <c r="CI71" s="1394" t="n"/>
      <c r="CJ71" s="1394" t="n"/>
      <c r="CK71" s="1394" t="n"/>
      <c r="CL71" s="1395" t="n"/>
      <c r="CM71" s="1393" t="n"/>
      <c r="CN71" s="1394" t="n"/>
      <c r="CO71" s="1394" t="n"/>
      <c r="CP71" s="1394" t="n"/>
      <c r="CQ71" s="1394" t="n"/>
      <c r="CR71" s="1395" t="n"/>
      <c r="CS71" s="1393" t="n"/>
      <c r="CT71" s="1409" t="n"/>
      <c r="CU71" s="1394" t="n"/>
      <c r="CV71" s="1394" t="n"/>
      <c r="CW71" s="1394" t="n"/>
      <c r="CX71" s="1396" t="n"/>
    </row>
    <row r="72" ht="16.5" customHeight="1" s="838">
      <c r="B72" s="765" t="n"/>
      <c r="C72" s="720" t="inlineStr">
        <is>
          <t>교육비</t>
        </is>
      </c>
      <c r="D72" s="1410" t="n">
        <v>20.103841</v>
      </c>
      <c r="E72" s="1411" t="n">
        <v>20.103841</v>
      </c>
      <c r="F72" s="1411" t="n">
        <v>19.602052</v>
      </c>
      <c r="G72" s="1411" t="n">
        <v>29.236404</v>
      </c>
      <c r="H72" s="1411" t="n">
        <v>21.007382</v>
      </c>
      <c r="I72" s="1411" t="n">
        <v>18.643462</v>
      </c>
      <c r="J72" s="1411" t="n">
        <v>32.499095</v>
      </c>
      <c r="K72" s="1411" t="n">
        <v>31.373747</v>
      </c>
      <c r="L72" s="1411" t="n">
        <v>11.908059</v>
      </c>
      <c r="M72" s="1411" t="n">
        <v>33.084154</v>
      </c>
      <c r="N72" s="1411" t="n">
        <v>4.420408</v>
      </c>
      <c r="O72" s="1411" t="n">
        <v>32.499095</v>
      </c>
      <c r="P72" s="1362">
        <f>SUM(D72:O72)</f>
        <v/>
      </c>
      <c r="Q72" s="1410" t="n">
        <v>21.007382</v>
      </c>
      <c r="R72" s="1411" t="n">
        <v>27.25241</v>
      </c>
      <c r="S72" s="1411" t="n">
        <v>29.176663</v>
      </c>
      <c r="T72" s="1411" t="n">
        <v>53.552917</v>
      </c>
      <c r="U72" s="1411" t="n">
        <v>22.257288</v>
      </c>
      <c r="V72" s="1411" t="n">
        <v>29.383119</v>
      </c>
      <c r="W72" s="1411" t="n">
        <v>22.257288</v>
      </c>
      <c r="X72" s="1411" t="n">
        <v>31.618519</v>
      </c>
      <c r="Y72" s="1411" t="n">
        <v>34.812547</v>
      </c>
      <c r="Z72" s="1411" t="n">
        <v>9.696059</v>
      </c>
      <c r="AA72" s="1411" t="n">
        <v>42.703856</v>
      </c>
      <c r="AB72" s="1411" t="n">
        <v>22.257288</v>
      </c>
      <c r="AC72" s="1362">
        <f>SUM(Q72:AB72)</f>
        <v/>
      </c>
      <c r="AD72" s="1363" t="n">
        <v>1.485103</v>
      </c>
      <c r="AE72" s="1364" t="n">
        <v>1.480629</v>
      </c>
      <c r="AF72" s="1364" t="n">
        <v>1.480629</v>
      </c>
      <c r="AG72" s="1364" t="n">
        <v>1.480629</v>
      </c>
      <c r="AH72" s="1364" t="n">
        <v>1.480629</v>
      </c>
      <c r="AI72" s="1365" t="n">
        <v>1.480629</v>
      </c>
      <c r="AJ72" s="1391" t="n">
        <v>3.981717</v>
      </c>
      <c r="AK72" s="1364" t="n">
        <v>1.480629</v>
      </c>
      <c r="AL72" s="1364" t="n">
        <v>1.480629</v>
      </c>
      <c r="AM72" s="1364" t="n">
        <v>1.480629</v>
      </c>
      <c r="AN72" s="1365" t="n">
        <v>1.480629</v>
      </c>
      <c r="AO72" s="1391" t="n">
        <v>2.163833</v>
      </c>
      <c r="AP72" s="1365" t="n">
        <v>3.981717</v>
      </c>
      <c r="AQ72" s="1392" t="n">
        <v>3.981717</v>
      </c>
      <c r="AR72" s="1392" t="n">
        <v>3.981717</v>
      </c>
      <c r="AS72" s="1392" t="n">
        <v>3.981717</v>
      </c>
      <c r="AT72" s="1392" t="n">
        <v>3.981717</v>
      </c>
      <c r="AU72" s="1391" t="n">
        <v>3.409687</v>
      </c>
      <c r="AV72" s="1364" t="n">
        <v>3.981717</v>
      </c>
      <c r="AW72" s="1364" t="n">
        <v>3.981717</v>
      </c>
      <c r="AX72" s="1364" t="n">
        <v>2.163833</v>
      </c>
      <c r="AY72" s="1364" t="n">
        <v>3.981717</v>
      </c>
      <c r="AZ72" s="1365" t="n">
        <v>2.163833</v>
      </c>
      <c r="BA72" s="1393" t="n"/>
      <c r="BB72" s="1394" t="n"/>
      <c r="BC72" s="1394" t="n"/>
      <c r="BD72" s="1394" t="n"/>
      <c r="BE72" s="1394" t="n"/>
      <c r="BF72" s="1394" t="n"/>
      <c r="BG72" s="1395" t="n"/>
      <c r="BH72" s="1393" t="n"/>
      <c r="BI72" s="1394" t="n"/>
      <c r="BJ72" s="1394" t="n"/>
      <c r="BK72" s="1394" t="n"/>
      <c r="BL72" s="1394" t="n"/>
      <c r="BM72" s="1395" t="n"/>
      <c r="BN72" s="1393" t="n"/>
      <c r="BO72" s="1394" t="n"/>
      <c r="BP72" s="1394" t="n"/>
      <c r="BQ72" s="1394" t="n"/>
      <c r="BR72" s="1394" t="n"/>
      <c r="BS72" s="1395" t="n"/>
      <c r="BT72" s="1393" t="n"/>
      <c r="BU72" s="1394" t="n"/>
      <c r="BV72" s="1394" t="n"/>
      <c r="BW72" s="1394" t="n"/>
      <c r="BX72" s="1394" t="n"/>
      <c r="BY72" s="1394" t="n"/>
      <c r="BZ72" s="1395" t="n"/>
      <c r="CA72" s="1393" t="n"/>
      <c r="CB72" s="1394" t="n"/>
      <c r="CC72" s="1394" t="n"/>
      <c r="CD72" s="1394" t="n"/>
      <c r="CE72" s="1394" t="n"/>
      <c r="CF72" s="1395" t="n"/>
      <c r="CG72" s="1393" t="n"/>
      <c r="CH72" s="1394" t="n"/>
      <c r="CI72" s="1394" t="n"/>
      <c r="CJ72" s="1394" t="n"/>
      <c r="CK72" s="1394" t="n"/>
      <c r="CL72" s="1395" t="n"/>
      <c r="CM72" s="1393" t="n"/>
      <c r="CN72" s="1394" t="n"/>
      <c r="CO72" s="1394" t="n"/>
      <c r="CP72" s="1394" t="n"/>
      <c r="CQ72" s="1394" t="n"/>
      <c r="CR72" s="1395" t="n"/>
      <c r="CS72" s="1393" t="n"/>
      <c r="CT72" s="1409" t="n"/>
      <c r="CU72" s="1394" t="n"/>
      <c r="CV72" s="1394" t="n"/>
      <c r="CW72" s="1394" t="n"/>
      <c r="CX72" s="1396" t="n"/>
    </row>
    <row r="73" ht="17.25" customHeight="1" s="838">
      <c r="B73" s="760" t="n"/>
      <c r="C73" s="725" t="inlineStr">
        <is>
          <t>기타</t>
        </is>
      </c>
      <c r="D73" s="1412" t="n">
        <v>-17.488066</v>
      </c>
      <c r="E73" s="1413" t="n">
        <v>-6.804284</v>
      </c>
      <c r="F73" s="1413" t="n">
        <v>-8.091125</v>
      </c>
      <c r="G73" s="1413" t="n">
        <v>-6.732074</v>
      </c>
      <c r="H73" s="1413" t="n">
        <v>-6.732074</v>
      </c>
      <c r="I73" s="1413" t="n">
        <v>-17.546635</v>
      </c>
      <c r="J73" s="1413" t="n">
        <v>-17.735068</v>
      </c>
      <c r="K73" s="1413" t="n">
        <v>-6.804284</v>
      </c>
      <c r="L73" s="1413" t="n">
        <v>-17.735068</v>
      </c>
      <c r="M73" s="1413" t="n">
        <v>-17.546635</v>
      </c>
      <c r="N73" s="1413" t="n">
        <v>-17.488066</v>
      </c>
      <c r="O73" s="1413" t="n">
        <v>-16.966691</v>
      </c>
      <c r="P73" s="1377">
        <f>SUM(D73:O73)</f>
        <v/>
      </c>
      <c r="Q73" s="1412" t="n">
        <v>-16.966691</v>
      </c>
      <c r="R73" s="1413" t="n">
        <v>-3.427021</v>
      </c>
      <c r="S73" s="1413" t="n">
        <v>-17.488066</v>
      </c>
      <c r="T73" s="1413" t="n">
        <v>-3.427021</v>
      </c>
      <c r="U73" s="1413" t="n">
        <v>-3.427021</v>
      </c>
      <c r="V73" s="1413" t="n">
        <v>-17.546635</v>
      </c>
      <c r="W73" s="1413" t="n">
        <v>-8.091125</v>
      </c>
      <c r="X73" s="1413" t="n">
        <v>-6.732074</v>
      </c>
      <c r="Y73" s="1413" t="n">
        <v>-17.488066</v>
      </c>
      <c r="Z73" s="1413" t="n">
        <v>-3.427021</v>
      </c>
      <c r="AA73" s="1413" t="n">
        <v>-6.732074</v>
      </c>
      <c r="AB73" s="1413" t="n">
        <v>-8.091125</v>
      </c>
      <c r="AC73" s="1377">
        <f>SUM(Q73:AB73)</f>
        <v/>
      </c>
      <c r="AD73" s="1378" t="n">
        <v>-32.735171</v>
      </c>
      <c r="AE73" s="1379" t="n">
        <v>-17.106352</v>
      </c>
      <c r="AF73" s="1379" t="n">
        <v>-17.106352</v>
      </c>
      <c r="AG73" s="1379" t="n">
        <v>-17.106352</v>
      </c>
      <c r="AH73" s="1379" t="n">
        <v>-17.106352</v>
      </c>
      <c r="AI73" s="1380" t="n">
        <v>-17.106352</v>
      </c>
      <c r="AJ73" s="1414" t="n">
        <v>-7.246417</v>
      </c>
      <c r="AK73" s="1379" t="n">
        <v>-17.106352</v>
      </c>
      <c r="AL73" s="1379" t="n">
        <v>-17.106352</v>
      </c>
      <c r="AM73" s="1379" t="n">
        <v>-17.106352</v>
      </c>
      <c r="AN73" s="1380" t="n">
        <v>-17.106352</v>
      </c>
      <c r="AO73" s="1414" t="n">
        <v>-16.043194</v>
      </c>
      <c r="AP73" s="1380" t="n">
        <v>-17.106352</v>
      </c>
      <c r="AQ73" s="1415" t="n">
        <v>-17.106352</v>
      </c>
      <c r="AR73" s="1415" t="n">
        <v>-17.106352</v>
      </c>
      <c r="AS73" s="1415" t="n">
        <v>-17.106352</v>
      </c>
      <c r="AT73" s="1415" t="n">
        <v>-17.106352</v>
      </c>
      <c r="AU73" s="1414" t="n">
        <v>-8.536161999999999</v>
      </c>
      <c r="AV73" s="1379" t="n">
        <v>-17.106352</v>
      </c>
      <c r="AW73" s="1379" t="n">
        <v>-17.106352</v>
      </c>
      <c r="AX73" s="1379" t="n">
        <v>-17.106352</v>
      </c>
      <c r="AY73" s="1379" t="n">
        <v>-17.106352</v>
      </c>
      <c r="AZ73" s="1380" t="n">
        <v>-17.106352</v>
      </c>
      <c r="BA73" s="1404" t="n"/>
      <c r="BB73" s="1405" t="n"/>
      <c r="BC73" s="1405" t="n"/>
      <c r="BD73" s="1405" t="n"/>
      <c r="BE73" s="1405" t="n"/>
      <c r="BF73" s="1405" t="n"/>
      <c r="BG73" s="1406" t="n"/>
      <c r="BH73" s="1404" t="n"/>
      <c r="BI73" s="1405" t="n"/>
      <c r="BJ73" s="1405" t="n"/>
      <c r="BK73" s="1405" t="n"/>
      <c r="BL73" s="1405" t="n"/>
      <c r="BM73" s="1406" t="n"/>
      <c r="BN73" s="1404" t="n"/>
      <c r="BO73" s="1405" t="n"/>
      <c r="BP73" s="1405" t="n"/>
      <c r="BQ73" s="1405" t="n"/>
      <c r="BR73" s="1405" t="n"/>
      <c r="BS73" s="1406" t="n"/>
      <c r="BT73" s="1404" t="n"/>
      <c r="BU73" s="1405" t="n"/>
      <c r="BV73" s="1405" t="n"/>
      <c r="BW73" s="1405" t="n"/>
      <c r="BX73" s="1405" t="n"/>
      <c r="BY73" s="1405" t="n"/>
      <c r="BZ73" s="1406" t="n"/>
      <c r="CA73" s="1404" t="n"/>
      <c r="CB73" s="1405" t="n"/>
      <c r="CC73" s="1405" t="n"/>
      <c r="CD73" s="1405" t="n"/>
      <c r="CE73" s="1405" t="n"/>
      <c r="CF73" s="1406" t="n"/>
      <c r="CG73" s="1404" t="n"/>
      <c r="CH73" s="1405" t="n"/>
      <c r="CI73" s="1405" t="n"/>
      <c r="CJ73" s="1405" t="n"/>
      <c r="CK73" s="1405" t="n"/>
      <c r="CL73" s="1406" t="n"/>
      <c r="CM73" s="1404" t="n"/>
      <c r="CN73" s="1405" t="n"/>
      <c r="CO73" s="1405" t="n"/>
      <c r="CP73" s="1405" t="n"/>
      <c r="CQ73" s="1405" t="n"/>
      <c r="CR73" s="1406" t="n"/>
      <c r="CS73" s="1404" t="n"/>
      <c r="CT73" s="1416" t="n"/>
      <c r="CU73" s="1405" t="n"/>
      <c r="CV73" s="1405" t="n"/>
      <c r="CW73" s="1405" t="n"/>
      <c r="CX73" s="1407" t="n"/>
    </row>
    <row r="76" ht="16.5" customHeight="1" s="838">
      <c r="P76" s="1417" t="n"/>
    </row>
    <row r="77" ht="16.5" customHeight="1" s="838">
      <c r="D77" s="1418" t="n"/>
      <c r="E77" s="1418" t="n"/>
      <c r="F77" s="1418" t="n"/>
      <c r="G77" s="1418" t="n"/>
      <c r="H77" s="1418" t="n"/>
      <c r="I77" s="1418" t="n"/>
      <c r="J77" s="1418" t="n"/>
      <c r="K77" s="1418" t="n"/>
      <c r="L77" s="1418" t="n"/>
      <c r="M77" s="1418" t="n"/>
      <c r="N77" s="1418" t="n"/>
      <c r="O77" s="1418" t="n"/>
      <c r="P77" s="1418" t="n"/>
    </row>
    <row r="80" ht="16.5" customHeight="1" s="838">
      <c r="P80" s="1417" t="n"/>
    </row>
    <row r="81" ht="16.5" customHeight="1" s="838">
      <c r="D81" s="1418" t="n"/>
      <c r="E81" s="1418" t="n"/>
      <c r="F81" s="1418" t="n"/>
      <c r="G81" s="1418" t="n"/>
      <c r="H81" s="1418" t="n"/>
      <c r="I81" s="1418" t="n"/>
      <c r="J81" s="1418" t="n"/>
      <c r="K81" s="1418" t="n"/>
      <c r="L81" s="1418" t="n"/>
      <c r="M81" s="1418" t="n"/>
      <c r="N81" s="1418" t="n"/>
      <c r="O81" s="1418" t="n"/>
      <c r="P81" s="1418" t="n"/>
    </row>
  </sheetData>
  <mergeCells count="21">
    <mergeCell ref="AO3:AT3"/>
    <mergeCell ref="CG3:CL3"/>
    <mergeCell ref="BH3:BM3"/>
    <mergeCell ref="CS3:CX3"/>
    <mergeCell ref="AC3:AC4"/>
    <mergeCell ref="B5:B27"/>
    <mergeCell ref="Q2:AC2"/>
    <mergeCell ref="B51:B73"/>
    <mergeCell ref="B2:C4"/>
    <mergeCell ref="AD2:CX2"/>
    <mergeCell ref="CA3:CF3"/>
    <mergeCell ref="AJ3:AN3"/>
    <mergeCell ref="CM3:CR3"/>
    <mergeCell ref="AU3:AZ3"/>
    <mergeCell ref="P3:P4"/>
    <mergeCell ref="AD3:AI3"/>
    <mergeCell ref="D2:P2"/>
    <mergeCell ref="B28:B50"/>
    <mergeCell ref="BA3:BG3"/>
    <mergeCell ref="BT3:BZ3"/>
    <mergeCell ref="BN3:BS3"/>
  </mergeCell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조민/선임/키친솔루션AX/혁신운영팀</dc:creator>
  <dc:language xmlns:dc="http://purl.org/dc/elements/1.1/">en-US</dc:language>
  <dcterms:created xmlns:dcterms="http://purl.org/dc/terms/" xmlns:xsi="http://www.w3.org/2001/XMLSchema-instance" xsi:type="dcterms:W3CDTF">2026-06-19T02:09:06Z</dcterms:created>
  <dcterms:modified xmlns:dcterms="http://purl.org/dc/terms/" xmlns:xsi="http://www.w3.org/2001/XMLSchema-instance" xsi:type="dcterms:W3CDTF">2026-07-02T09:45:05Z</dcterms:modified>
  <cp:lastModifiedBy>조민/선임/키친솔루션AX/혁신운영팀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0x010100CDCFEE1AEA3ABD4692F3E176F7236A7D</vt:lpwstr>
  </property>
  <property name="MSIP_Label_cc6ed9fc-fefc-4a0c-a6d6-10cf236c0d4f_ActionId" fmtid="{D5CDD505-2E9C-101B-9397-08002B2CF9AE}" pid="3">
    <vt:lpwstr xmlns:vt="http://schemas.openxmlformats.org/officeDocument/2006/docPropsVTypes">9ed6c9da-2ad4-45a9-831a-a6949afe3dd6</vt:lpwstr>
  </property>
  <property name="MSIP_Label_cc6ed9fc-fefc-4a0c-a6d6-10cf236c0d4f_ContentBits" fmtid="{D5CDD505-2E9C-101B-9397-08002B2CF9AE}" pid="4">
    <vt:lpwstr xmlns:vt="http://schemas.openxmlformats.org/officeDocument/2006/docPropsVTypes">0</vt:lpwstr>
  </property>
  <property name="MSIP_Label_cc6ed9fc-fefc-4a0c-a6d6-10cf236c0d4f_Enabled" fmtid="{D5CDD505-2E9C-101B-9397-08002B2CF9AE}" pid="5">
    <vt:lpwstr xmlns:vt="http://schemas.openxmlformats.org/officeDocument/2006/docPropsVTypes">true</vt:lpwstr>
  </property>
  <property name="MSIP_Label_cc6ed9fc-fefc-4a0c-a6d6-10cf236c0d4f_Method" fmtid="{D5CDD505-2E9C-101B-9397-08002B2CF9AE}" pid="6">
    <vt:lpwstr xmlns:vt="http://schemas.openxmlformats.org/officeDocument/2006/docPropsVTypes">Standard</vt:lpwstr>
  </property>
  <property name="MSIP_Label_cc6ed9fc-fefc-4a0c-a6d6-10cf236c0d4f_Name" fmtid="{D5CDD505-2E9C-101B-9397-08002B2CF9AE}" pid="7">
    <vt:lpwstr xmlns:vt="http://schemas.openxmlformats.org/officeDocument/2006/docPropsVTypes">Internal use only</vt:lpwstr>
  </property>
  <property name="MSIP_Label_cc6ed9fc-fefc-4a0c-a6d6-10cf236c0d4f_SetDate" fmtid="{D5CDD505-2E9C-101B-9397-08002B2CF9AE}" pid="8">
    <vt:lpwstr xmlns:vt="http://schemas.openxmlformats.org/officeDocument/2006/docPropsVTypes">2026-06-19T02:03:49Z</vt:lpwstr>
  </property>
  <property name="MSIP_Label_cc6ed9fc-fefc-4a0c-a6d6-10cf236c0d4f_SiteId" fmtid="{D5CDD505-2E9C-101B-9397-08002B2CF9AE}" pid="9">
    <vt:lpwstr xmlns:vt="http://schemas.openxmlformats.org/officeDocument/2006/docPropsVTypes">5069cde4-642a-45c0-8094-d0c2dec10be3</vt:lpwstr>
  </property>
  <property name="MediaServiceImageTags" fmtid="{D5CDD505-2E9C-101B-9397-08002B2CF9AE}" pid="10">
    <vt:lpwstr xmlns:vt="http://schemas.openxmlformats.org/officeDocument/2006/docPropsVTypes"/>
  </property>
</Properties>
</file>